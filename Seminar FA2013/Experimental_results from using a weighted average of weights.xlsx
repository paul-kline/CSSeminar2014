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7795" windowHeight="9525" activeTab="2"/>
  </bookViews>
  <sheets>
    <sheet name="clones" sheetId="1" r:id="rId1"/>
    <sheet name="SlightMod" sheetId="5" r:id="rId2"/>
    <sheet name="weighted average of weights" sheetId="3" r:id="rId3"/>
    <sheet name="Sheet4" sheetId="4" r:id="rId4"/>
    <sheet name="chart of clones" sheetId="2" r:id="rId5"/>
  </sheets>
  <definedNames>
    <definedName name="_xlnm._FilterDatabase" localSheetId="0" hidden="1">clones!$T$2:$Y$281</definedName>
    <definedName name="_xlnm._FilterDatabase" localSheetId="1" hidden="1">SlightMod!$T$2:$Y$281</definedName>
  </definedNames>
  <calcPr calcId="125725"/>
</workbook>
</file>

<file path=xl/calcChain.xml><?xml version="1.0" encoding="utf-8"?>
<calcChain xmlns="http://schemas.openxmlformats.org/spreadsheetml/2006/main">
  <c r="E10" i="2"/>
  <c r="U282" i="1"/>
  <c r="V282" s="1"/>
  <c r="W282" s="1"/>
  <c r="U283"/>
  <c r="V283" s="1"/>
  <c r="W283" s="1"/>
  <c r="U284"/>
  <c r="V284"/>
  <c r="W284" s="1"/>
  <c r="U285"/>
  <c r="V285" s="1"/>
  <c r="W285" s="1"/>
  <c r="U286"/>
  <c r="V286" s="1"/>
  <c r="W286" s="1"/>
  <c r="U287"/>
  <c r="V287" s="1"/>
  <c r="W287" s="1"/>
  <c r="U288"/>
  <c r="V288"/>
  <c r="W288" s="1"/>
  <c r="U289"/>
  <c r="V289" s="1"/>
  <c r="W289" s="1"/>
  <c r="U290"/>
  <c r="V290" s="1"/>
  <c r="W290" s="1"/>
  <c r="U291"/>
  <c r="V291" s="1"/>
  <c r="W291" s="1"/>
  <c r="U292"/>
  <c r="V292"/>
  <c r="W292" s="1"/>
  <c r="U293"/>
  <c r="V293" s="1"/>
  <c r="W293" s="1"/>
  <c r="U294"/>
  <c r="V294" s="1"/>
  <c r="W294" s="1"/>
  <c r="U295"/>
  <c r="V295" s="1"/>
  <c r="W295" s="1"/>
  <c r="U296"/>
  <c r="V296"/>
  <c r="W296" s="1"/>
  <c r="U297"/>
  <c r="V297" s="1"/>
  <c r="W297" s="1"/>
  <c r="U298"/>
  <c r="V298" s="1"/>
  <c r="W298" s="1"/>
  <c r="U299"/>
  <c r="V299" s="1"/>
  <c r="W299" s="1"/>
  <c r="U300"/>
  <c r="V300"/>
  <c r="W300" s="1"/>
  <c r="U301"/>
  <c r="V301" s="1"/>
  <c r="W301" s="1"/>
  <c r="AA283" i="5"/>
  <c r="V98"/>
  <c r="W98" s="1"/>
  <c r="U98"/>
  <c r="U208"/>
  <c r="V208" s="1"/>
  <c r="W208" s="1"/>
  <c r="U195"/>
  <c r="V195" s="1"/>
  <c r="W195" s="1"/>
  <c r="U24"/>
  <c r="V24" s="1"/>
  <c r="W24" s="1"/>
  <c r="U168"/>
  <c r="V168" s="1"/>
  <c r="W168" s="1"/>
  <c r="V203"/>
  <c r="W203" s="1"/>
  <c r="X203" s="1"/>
  <c r="U203"/>
  <c r="U66"/>
  <c r="V66" s="1"/>
  <c r="W66" s="1"/>
  <c r="U132"/>
  <c r="V132" s="1"/>
  <c r="W132" s="1"/>
  <c r="X132" s="1"/>
  <c r="U265"/>
  <c r="V265" s="1"/>
  <c r="W265" s="1"/>
  <c r="U116"/>
  <c r="V116" s="1"/>
  <c r="W116" s="1"/>
  <c r="X116" s="1"/>
  <c r="U26"/>
  <c r="V26" s="1"/>
  <c r="W26" s="1"/>
  <c r="Y25"/>
  <c r="A25" s="1"/>
  <c r="B25" s="1"/>
  <c r="C25" s="1"/>
  <c r="V25"/>
  <c r="W25" s="1"/>
  <c r="X25" s="1"/>
  <c r="U25"/>
  <c r="V233"/>
  <c r="W233" s="1"/>
  <c r="U233"/>
  <c r="U269"/>
  <c r="V269" s="1"/>
  <c r="W269" s="1"/>
  <c r="X269" s="1"/>
  <c r="U18"/>
  <c r="V18" s="1"/>
  <c r="W18" s="1"/>
  <c r="U118"/>
  <c r="V118" s="1"/>
  <c r="W118" s="1"/>
  <c r="X118" s="1"/>
  <c r="U196"/>
  <c r="V196" s="1"/>
  <c r="W196" s="1"/>
  <c r="U146"/>
  <c r="V146" s="1"/>
  <c r="W146" s="1"/>
  <c r="X146" s="1"/>
  <c r="U93"/>
  <c r="V93" s="1"/>
  <c r="W93" s="1"/>
  <c r="U266"/>
  <c r="V266" s="1"/>
  <c r="W266" s="1"/>
  <c r="U209"/>
  <c r="V209" s="1"/>
  <c r="W209" s="1"/>
  <c r="U244"/>
  <c r="V244" s="1"/>
  <c r="W244" s="1"/>
  <c r="U191"/>
  <c r="V191" s="1"/>
  <c r="W191" s="1"/>
  <c r="X191" s="1"/>
  <c r="V4"/>
  <c r="W4" s="1"/>
  <c r="X4" s="1"/>
  <c r="U4"/>
  <c r="U273"/>
  <c r="V273" s="1"/>
  <c r="W273" s="1"/>
  <c r="X273" s="1"/>
  <c r="Y273" s="1"/>
  <c r="A273" s="1"/>
  <c r="U131"/>
  <c r="V131" s="1"/>
  <c r="W131" s="1"/>
  <c r="U212"/>
  <c r="V212" s="1"/>
  <c r="W212" s="1"/>
  <c r="U55"/>
  <c r="V55" s="1"/>
  <c r="W55" s="1"/>
  <c r="V76"/>
  <c r="W76" s="1"/>
  <c r="X76" s="1"/>
  <c r="Y76" s="1"/>
  <c r="A76" s="1"/>
  <c r="B76" s="1"/>
  <c r="C76" s="1"/>
  <c r="U76"/>
  <c r="U135"/>
  <c r="V135" s="1"/>
  <c r="W135" s="1"/>
  <c r="U235"/>
  <c r="V235" s="1"/>
  <c r="W235" s="1"/>
  <c r="X235" s="1"/>
  <c r="Y235" s="1"/>
  <c r="A235" s="1"/>
  <c r="V179"/>
  <c r="W179" s="1"/>
  <c r="U179"/>
  <c r="U207"/>
  <c r="V207" s="1"/>
  <c r="W207" s="1"/>
  <c r="V101"/>
  <c r="W101" s="1"/>
  <c r="U101"/>
  <c r="U117"/>
  <c r="V117" s="1"/>
  <c r="W117" s="1"/>
  <c r="X117" s="1"/>
  <c r="U40"/>
  <c r="V40" s="1"/>
  <c r="W40" s="1"/>
  <c r="X40" s="1"/>
  <c r="U193"/>
  <c r="V193" s="1"/>
  <c r="W193" s="1"/>
  <c r="U8"/>
  <c r="V8" s="1"/>
  <c r="W8" s="1"/>
  <c r="X46"/>
  <c r="U46"/>
  <c r="V46" s="1"/>
  <c r="W46" s="1"/>
  <c r="U103"/>
  <c r="V103" s="1"/>
  <c r="W103" s="1"/>
  <c r="U33"/>
  <c r="V33" s="1"/>
  <c r="W33" s="1"/>
  <c r="U140"/>
  <c r="V140" s="1"/>
  <c r="W140" s="1"/>
  <c r="V220"/>
  <c r="W220" s="1"/>
  <c r="X220" s="1"/>
  <c r="U220"/>
  <c r="U19"/>
  <c r="V19" s="1"/>
  <c r="W19" s="1"/>
  <c r="U201"/>
  <c r="V201" s="1"/>
  <c r="W201" s="1"/>
  <c r="U14"/>
  <c r="V14" s="1"/>
  <c r="W14" s="1"/>
  <c r="X14" s="1"/>
  <c r="U128"/>
  <c r="V128" s="1"/>
  <c r="W128" s="1"/>
  <c r="X128" s="1"/>
  <c r="U61"/>
  <c r="V61" s="1"/>
  <c r="W61" s="1"/>
  <c r="U68"/>
  <c r="V68" s="1"/>
  <c r="W68" s="1"/>
  <c r="U262"/>
  <c r="V262" s="1"/>
  <c r="W262" s="1"/>
  <c r="U63"/>
  <c r="V63" s="1"/>
  <c r="W63" s="1"/>
  <c r="X63" s="1"/>
  <c r="U194"/>
  <c r="V194" s="1"/>
  <c r="W194" s="1"/>
  <c r="U85"/>
  <c r="V85" s="1"/>
  <c r="W85" s="1"/>
  <c r="U47"/>
  <c r="V47" s="1"/>
  <c r="W47" s="1"/>
  <c r="U59"/>
  <c r="V59" s="1"/>
  <c r="W59" s="1"/>
  <c r="X59" s="1"/>
  <c r="U35"/>
  <c r="V35" s="1"/>
  <c r="W35" s="1"/>
  <c r="U77"/>
  <c r="V77" s="1"/>
  <c r="W77" s="1"/>
  <c r="U172"/>
  <c r="V172" s="1"/>
  <c r="W172" s="1"/>
  <c r="V100"/>
  <c r="W100" s="1"/>
  <c r="U100"/>
  <c r="U217"/>
  <c r="V217" s="1"/>
  <c r="W217" s="1"/>
  <c r="U279"/>
  <c r="V279" s="1"/>
  <c r="W279" s="1"/>
  <c r="U216"/>
  <c r="V216" s="1"/>
  <c r="W216" s="1"/>
  <c r="X216" s="1"/>
  <c r="U82"/>
  <c r="V82" s="1"/>
  <c r="W82" s="1"/>
  <c r="U206"/>
  <c r="V206" s="1"/>
  <c r="W206" s="1"/>
  <c r="U200"/>
  <c r="V200" s="1"/>
  <c r="W200" s="1"/>
  <c r="V51"/>
  <c r="W51" s="1"/>
  <c r="U51"/>
  <c r="V38"/>
  <c r="W38" s="1"/>
  <c r="U38"/>
  <c r="U102"/>
  <c r="V102" s="1"/>
  <c r="W102" s="1"/>
  <c r="U277"/>
  <c r="V277" s="1"/>
  <c r="W277" s="1"/>
  <c r="U249"/>
  <c r="V249" s="1"/>
  <c r="W249" s="1"/>
  <c r="X249" s="1"/>
  <c r="U165"/>
  <c r="V165" s="1"/>
  <c r="W165" s="1"/>
  <c r="U27"/>
  <c r="V27" s="1"/>
  <c r="W27" s="1"/>
  <c r="V127"/>
  <c r="W127" s="1"/>
  <c r="U127"/>
  <c r="U23"/>
  <c r="V23" s="1"/>
  <c r="W23" s="1"/>
  <c r="U92"/>
  <c r="V92" s="1"/>
  <c r="W92" s="1"/>
  <c r="X92" s="1"/>
  <c r="U107"/>
  <c r="V107" s="1"/>
  <c r="W107" s="1"/>
  <c r="X107" s="1"/>
  <c r="U231"/>
  <c r="V231" s="1"/>
  <c r="W231" s="1"/>
  <c r="U145"/>
  <c r="V145" s="1"/>
  <c r="W145" s="1"/>
  <c r="X145" s="1"/>
  <c r="W49"/>
  <c r="U49"/>
  <c r="V49" s="1"/>
  <c r="U275"/>
  <c r="V275" s="1"/>
  <c r="W275" s="1"/>
  <c r="U222"/>
  <c r="V222" s="1"/>
  <c r="W222" s="1"/>
  <c r="U120"/>
  <c r="V120" s="1"/>
  <c r="W120" s="1"/>
  <c r="V71"/>
  <c r="W71" s="1"/>
  <c r="X71" s="1"/>
  <c r="Y71" s="1"/>
  <c r="A71" s="1"/>
  <c r="U71"/>
  <c r="U78"/>
  <c r="V78" s="1"/>
  <c r="W78" s="1"/>
  <c r="U238"/>
  <c r="V238" s="1"/>
  <c r="W238" s="1"/>
  <c r="U271"/>
  <c r="V271" s="1"/>
  <c r="W271" s="1"/>
  <c r="X271" s="1"/>
  <c r="U229"/>
  <c r="V229" s="1"/>
  <c r="W229" s="1"/>
  <c r="U2"/>
  <c r="V2" s="1"/>
  <c r="W2" s="1"/>
  <c r="U259"/>
  <c r="V259" s="1"/>
  <c r="W259" s="1"/>
  <c r="X259" s="1"/>
  <c r="U252"/>
  <c r="V252" s="1"/>
  <c r="W252" s="1"/>
  <c r="X252" s="1"/>
  <c r="W158"/>
  <c r="X158" s="1"/>
  <c r="U158"/>
  <c r="V158" s="1"/>
  <c r="U44"/>
  <c r="V44" s="1"/>
  <c r="W44" s="1"/>
  <c r="U20"/>
  <c r="V20" s="1"/>
  <c r="W20" s="1"/>
  <c r="X20" s="1"/>
  <c r="U211"/>
  <c r="V211" s="1"/>
  <c r="W211" s="1"/>
  <c r="U192"/>
  <c r="V192" s="1"/>
  <c r="W192" s="1"/>
  <c r="U111"/>
  <c r="V111" s="1"/>
  <c r="W111" s="1"/>
  <c r="W245"/>
  <c r="X245" s="1"/>
  <c r="U245"/>
  <c r="V245" s="1"/>
  <c r="U227"/>
  <c r="V227" s="1"/>
  <c r="W227" s="1"/>
  <c r="X227" s="1"/>
  <c r="W232"/>
  <c r="X232" s="1"/>
  <c r="U232"/>
  <c r="V232" s="1"/>
  <c r="U87"/>
  <c r="V87" s="1"/>
  <c r="W87" s="1"/>
  <c r="X41"/>
  <c r="U41"/>
  <c r="V41" s="1"/>
  <c r="W41" s="1"/>
  <c r="U9"/>
  <c r="V9" s="1"/>
  <c r="W9" s="1"/>
  <c r="X9" s="1"/>
  <c r="U175"/>
  <c r="V175" s="1"/>
  <c r="W175" s="1"/>
  <c r="U177"/>
  <c r="V177" s="1"/>
  <c r="W177" s="1"/>
  <c r="U236"/>
  <c r="V236" s="1"/>
  <c r="W236" s="1"/>
  <c r="X236" s="1"/>
  <c r="U164"/>
  <c r="V164" s="1"/>
  <c r="W164" s="1"/>
  <c r="U214"/>
  <c r="V214" s="1"/>
  <c r="W214" s="1"/>
  <c r="V12"/>
  <c r="W12" s="1"/>
  <c r="U12"/>
  <c r="U95"/>
  <c r="V95" s="1"/>
  <c r="W95" s="1"/>
  <c r="U157"/>
  <c r="V157" s="1"/>
  <c r="W157" s="1"/>
  <c r="V60"/>
  <c r="W60" s="1"/>
  <c r="U60"/>
  <c r="U57"/>
  <c r="V57" s="1"/>
  <c r="W57" s="1"/>
  <c r="U155"/>
  <c r="V155" s="1"/>
  <c r="W155" s="1"/>
  <c r="U153"/>
  <c r="V153" s="1"/>
  <c r="W153" s="1"/>
  <c r="U167"/>
  <c r="V167" s="1"/>
  <c r="W167" s="1"/>
  <c r="U36"/>
  <c r="V36" s="1"/>
  <c r="W36" s="1"/>
  <c r="U124"/>
  <c r="V124" s="1"/>
  <c r="W124" s="1"/>
  <c r="U248"/>
  <c r="V248" s="1"/>
  <c r="W248" s="1"/>
  <c r="V45"/>
  <c r="W45" s="1"/>
  <c r="U45"/>
  <c r="U202"/>
  <c r="V202" s="1"/>
  <c r="W202" s="1"/>
  <c r="U255"/>
  <c r="V255" s="1"/>
  <c r="W255" s="1"/>
  <c r="U126"/>
  <c r="V126" s="1"/>
  <c r="W126" s="1"/>
  <c r="U225"/>
  <c r="V225" s="1"/>
  <c r="W225" s="1"/>
  <c r="U89"/>
  <c r="V89" s="1"/>
  <c r="W89" s="1"/>
  <c r="X89" s="1"/>
  <c r="U278"/>
  <c r="V278" s="1"/>
  <c r="W278" s="1"/>
  <c r="U6"/>
  <c r="V6" s="1"/>
  <c r="W6" s="1"/>
  <c r="V254"/>
  <c r="W254" s="1"/>
  <c r="U254"/>
  <c r="U258"/>
  <c r="V258" s="1"/>
  <c r="W258" s="1"/>
  <c r="U15"/>
  <c r="V15" s="1"/>
  <c r="W15" s="1"/>
  <c r="X15" s="1"/>
  <c r="U215"/>
  <c r="V215" s="1"/>
  <c r="W215" s="1"/>
  <c r="V246"/>
  <c r="W246" s="1"/>
  <c r="U246"/>
  <c r="U281"/>
  <c r="V281" s="1"/>
  <c r="W281" s="1"/>
  <c r="U122"/>
  <c r="V122" s="1"/>
  <c r="W122" s="1"/>
  <c r="X122" s="1"/>
  <c r="U163"/>
  <c r="V163" s="1"/>
  <c r="W163" s="1"/>
  <c r="V70"/>
  <c r="W70" s="1"/>
  <c r="U70"/>
  <c r="U182"/>
  <c r="V182" s="1"/>
  <c r="W182" s="1"/>
  <c r="V218"/>
  <c r="W218" s="1"/>
  <c r="X218" s="1"/>
  <c r="U218"/>
  <c r="U189"/>
  <c r="V189" s="1"/>
  <c r="W189" s="1"/>
  <c r="U84"/>
  <c r="V84" s="1"/>
  <c r="W84" s="1"/>
  <c r="U174"/>
  <c r="V174" s="1"/>
  <c r="W174" s="1"/>
  <c r="U181"/>
  <c r="V181" s="1"/>
  <c r="W181" s="1"/>
  <c r="X181" s="1"/>
  <c r="U29"/>
  <c r="V29" s="1"/>
  <c r="W29" s="1"/>
  <c r="U42"/>
  <c r="V42" s="1"/>
  <c r="W42" s="1"/>
  <c r="V224"/>
  <c r="W224" s="1"/>
  <c r="U224"/>
  <c r="U121"/>
  <c r="V121" s="1"/>
  <c r="W121" s="1"/>
  <c r="V160"/>
  <c r="W160" s="1"/>
  <c r="X160" s="1"/>
  <c r="U160"/>
  <c r="U243"/>
  <c r="V243" s="1"/>
  <c r="W243" s="1"/>
  <c r="W183"/>
  <c r="U183"/>
  <c r="V183" s="1"/>
  <c r="W31"/>
  <c r="U31"/>
  <c r="V31" s="1"/>
  <c r="U205"/>
  <c r="V205" s="1"/>
  <c r="W205" s="1"/>
  <c r="U28"/>
  <c r="V28" s="1"/>
  <c r="W28" s="1"/>
  <c r="U169"/>
  <c r="V169" s="1"/>
  <c r="W169" s="1"/>
  <c r="V91"/>
  <c r="W91" s="1"/>
  <c r="X91" s="1"/>
  <c r="U91"/>
  <c r="U272"/>
  <c r="V272" s="1"/>
  <c r="W272" s="1"/>
  <c r="X272" s="1"/>
  <c r="V54"/>
  <c r="W54" s="1"/>
  <c r="X54" s="1"/>
  <c r="U54"/>
  <c r="U37"/>
  <c r="V37" s="1"/>
  <c r="W37" s="1"/>
  <c r="X37" s="1"/>
  <c r="L37" s="1"/>
  <c r="U190"/>
  <c r="V190" s="1"/>
  <c r="W190" s="1"/>
  <c r="X190" s="1"/>
  <c r="L190" s="1"/>
  <c r="U242"/>
  <c r="V242" s="1"/>
  <c r="W242" s="1"/>
  <c r="W240"/>
  <c r="U240"/>
  <c r="V240" s="1"/>
  <c r="U188"/>
  <c r="V188" s="1"/>
  <c r="W188" s="1"/>
  <c r="U74"/>
  <c r="V74" s="1"/>
  <c r="W74" s="1"/>
  <c r="U176"/>
  <c r="V176" s="1"/>
  <c r="W176" s="1"/>
  <c r="X176" s="1"/>
  <c r="U30"/>
  <c r="V30" s="1"/>
  <c r="W30" s="1"/>
  <c r="U88"/>
  <c r="V88" s="1"/>
  <c r="W88" s="1"/>
  <c r="U90"/>
  <c r="V90" s="1"/>
  <c r="W90" s="1"/>
  <c r="X90" s="1"/>
  <c r="U247"/>
  <c r="V247" s="1"/>
  <c r="W247" s="1"/>
  <c r="U72"/>
  <c r="V72" s="1"/>
  <c r="W72" s="1"/>
  <c r="U154"/>
  <c r="V154" s="1"/>
  <c r="W154" s="1"/>
  <c r="U10"/>
  <c r="V10" s="1"/>
  <c r="W10" s="1"/>
  <c r="U152"/>
  <c r="V152" s="1"/>
  <c r="W152" s="1"/>
  <c r="V241"/>
  <c r="W241" s="1"/>
  <c r="U241"/>
  <c r="U268"/>
  <c r="V268" s="1"/>
  <c r="W268" s="1"/>
  <c r="U130"/>
  <c r="V130" s="1"/>
  <c r="W130" s="1"/>
  <c r="U21"/>
  <c r="V21" s="1"/>
  <c r="W21" s="1"/>
  <c r="V105"/>
  <c r="W105" s="1"/>
  <c r="U105"/>
  <c r="U143"/>
  <c r="V143" s="1"/>
  <c r="W143" s="1"/>
  <c r="U261"/>
  <c r="V261" s="1"/>
  <c r="W261" s="1"/>
  <c r="X261" s="1"/>
  <c r="X185"/>
  <c r="V185"/>
  <c r="W185" s="1"/>
  <c r="U185"/>
  <c r="U142"/>
  <c r="V142" s="1"/>
  <c r="W142" s="1"/>
  <c r="U134"/>
  <c r="V134" s="1"/>
  <c r="W134" s="1"/>
  <c r="X134" s="1"/>
  <c r="U16"/>
  <c r="V16" s="1"/>
  <c r="W16" s="1"/>
  <c r="U239"/>
  <c r="V239" s="1"/>
  <c r="W239" s="1"/>
  <c r="V65"/>
  <c r="W65" s="1"/>
  <c r="U65"/>
  <c r="U253"/>
  <c r="V253" s="1"/>
  <c r="W253" s="1"/>
  <c r="U73"/>
  <c r="V73" s="1"/>
  <c r="W73" s="1"/>
  <c r="X73" s="1"/>
  <c r="U58"/>
  <c r="V58" s="1"/>
  <c r="W58" s="1"/>
  <c r="U159"/>
  <c r="V159" s="1"/>
  <c r="W159" s="1"/>
  <c r="V67"/>
  <c r="W67" s="1"/>
  <c r="U67"/>
  <c r="W80"/>
  <c r="U80"/>
  <c r="V80" s="1"/>
  <c r="U234"/>
  <c r="V234" s="1"/>
  <c r="W234" s="1"/>
  <c r="X234" s="1"/>
  <c r="Y234" s="1"/>
  <c r="A234" s="1"/>
  <c r="B234" s="1"/>
  <c r="C234" s="1"/>
  <c r="U219"/>
  <c r="V219" s="1"/>
  <c r="W219" s="1"/>
  <c r="U13"/>
  <c r="V13" s="1"/>
  <c r="W13" s="1"/>
  <c r="W280"/>
  <c r="X280" s="1"/>
  <c r="V280"/>
  <c r="U280"/>
  <c r="U106"/>
  <c r="V106" s="1"/>
  <c r="W106" s="1"/>
  <c r="U22"/>
  <c r="V22" s="1"/>
  <c r="W22" s="1"/>
  <c r="X22" s="1"/>
  <c r="L22" s="1"/>
  <c r="U178"/>
  <c r="V178" s="1"/>
  <c r="W178" s="1"/>
  <c r="U257"/>
  <c r="V257" s="1"/>
  <c r="W257" s="1"/>
  <c r="V39"/>
  <c r="W39" s="1"/>
  <c r="X39" s="1"/>
  <c r="U39"/>
  <c r="U199"/>
  <c r="V199" s="1"/>
  <c r="W199" s="1"/>
  <c r="U75"/>
  <c r="V75" s="1"/>
  <c r="W75" s="1"/>
  <c r="U198"/>
  <c r="V198" s="1"/>
  <c r="W198" s="1"/>
  <c r="X198" s="1"/>
  <c r="Y198" s="1"/>
  <c r="A198" s="1"/>
  <c r="U62"/>
  <c r="V62" s="1"/>
  <c r="W62" s="1"/>
  <c r="U129"/>
  <c r="V129" s="1"/>
  <c r="W129" s="1"/>
  <c r="V52"/>
  <c r="W52" s="1"/>
  <c r="U52"/>
  <c r="U197"/>
  <c r="V197" s="1"/>
  <c r="W197" s="1"/>
  <c r="U11"/>
  <c r="V11" s="1"/>
  <c r="W11" s="1"/>
  <c r="X11" s="1"/>
  <c r="U221"/>
  <c r="V221" s="1"/>
  <c r="W221" s="1"/>
  <c r="U50"/>
  <c r="V50" s="1"/>
  <c r="W50" s="1"/>
  <c r="U137"/>
  <c r="V137" s="1"/>
  <c r="W137" s="1"/>
  <c r="U274"/>
  <c r="V274" s="1"/>
  <c r="W274" s="1"/>
  <c r="X173"/>
  <c r="V173"/>
  <c r="W173" s="1"/>
  <c r="U173"/>
  <c r="U83"/>
  <c r="V83" s="1"/>
  <c r="W83" s="1"/>
  <c r="X83" s="1"/>
  <c r="U162"/>
  <c r="V162" s="1"/>
  <c r="W162" s="1"/>
  <c r="U104"/>
  <c r="V104" s="1"/>
  <c r="W104" s="1"/>
  <c r="U3"/>
  <c r="V3" s="1"/>
  <c r="W3" s="1"/>
  <c r="U264"/>
  <c r="V264" s="1"/>
  <c r="W264" s="1"/>
  <c r="U64"/>
  <c r="V64" s="1"/>
  <c r="W64" s="1"/>
  <c r="U96"/>
  <c r="V96" s="1"/>
  <c r="W96" s="1"/>
  <c r="U223"/>
  <c r="V223" s="1"/>
  <c r="W223" s="1"/>
  <c r="X223" s="1"/>
  <c r="L223" s="1"/>
  <c r="U267"/>
  <c r="V267" s="1"/>
  <c r="W267" s="1"/>
  <c r="X267" s="1"/>
  <c r="U114"/>
  <c r="V114" s="1"/>
  <c r="W114" s="1"/>
  <c r="V108"/>
  <c r="W108" s="1"/>
  <c r="U108"/>
  <c r="U48"/>
  <c r="V48" s="1"/>
  <c r="W48" s="1"/>
  <c r="U228"/>
  <c r="V228" s="1"/>
  <c r="W228" s="1"/>
  <c r="U263"/>
  <c r="V263" s="1"/>
  <c r="W263" s="1"/>
  <c r="U187"/>
  <c r="V187" s="1"/>
  <c r="W187" s="1"/>
  <c r="U97"/>
  <c r="V97" s="1"/>
  <c r="W97" s="1"/>
  <c r="X97" s="1"/>
  <c r="L97" s="1"/>
  <c r="U148"/>
  <c r="V148" s="1"/>
  <c r="W148" s="1"/>
  <c r="X148" s="1"/>
  <c r="U251"/>
  <c r="V251" s="1"/>
  <c r="W251" s="1"/>
  <c r="U119"/>
  <c r="V119" s="1"/>
  <c r="W119" s="1"/>
  <c r="U86"/>
  <c r="V86" s="1"/>
  <c r="W86" s="1"/>
  <c r="U230"/>
  <c r="V230" s="1"/>
  <c r="W230" s="1"/>
  <c r="U149"/>
  <c r="V149" s="1"/>
  <c r="W149" s="1"/>
  <c r="U94"/>
  <c r="V94" s="1"/>
  <c r="W94" s="1"/>
  <c r="X171"/>
  <c r="L171" s="1"/>
  <c r="V171"/>
  <c r="W171" s="1"/>
  <c r="U171"/>
  <c r="U170"/>
  <c r="V170" s="1"/>
  <c r="W170" s="1"/>
  <c r="X170" s="1"/>
  <c r="U34"/>
  <c r="V34" s="1"/>
  <c r="W34" s="1"/>
  <c r="U260"/>
  <c r="V260" s="1"/>
  <c r="W260" s="1"/>
  <c r="U186"/>
  <c r="V186" s="1"/>
  <c r="W186" s="1"/>
  <c r="U125"/>
  <c r="V125" s="1"/>
  <c r="W125" s="1"/>
  <c r="U115"/>
  <c r="V115" s="1"/>
  <c r="W115" s="1"/>
  <c r="U7"/>
  <c r="V7" s="1"/>
  <c r="W7" s="1"/>
  <c r="U180"/>
  <c r="V180" s="1"/>
  <c r="W180" s="1"/>
  <c r="U141"/>
  <c r="V141" s="1"/>
  <c r="W141" s="1"/>
  <c r="X141" s="1"/>
  <c r="V43"/>
  <c r="W43" s="1"/>
  <c r="U43"/>
  <c r="U138"/>
  <c r="V138" s="1"/>
  <c r="W138" s="1"/>
  <c r="U147"/>
  <c r="V147" s="1"/>
  <c r="W147" s="1"/>
  <c r="U204"/>
  <c r="V204" s="1"/>
  <c r="W204" s="1"/>
  <c r="U5"/>
  <c r="V5" s="1"/>
  <c r="W5" s="1"/>
  <c r="U112"/>
  <c r="V112" s="1"/>
  <c r="W112" s="1"/>
  <c r="U53"/>
  <c r="V53" s="1"/>
  <c r="W53" s="1"/>
  <c r="X53" s="1"/>
  <c r="U99"/>
  <c r="V99" s="1"/>
  <c r="W99" s="1"/>
  <c r="X99" s="1"/>
  <c r="U133"/>
  <c r="V133" s="1"/>
  <c r="W133" s="1"/>
  <c r="U151"/>
  <c r="V151" s="1"/>
  <c r="W151" s="1"/>
  <c r="U237"/>
  <c r="V237" s="1"/>
  <c r="W237" s="1"/>
  <c r="U110"/>
  <c r="V110" s="1"/>
  <c r="W110" s="1"/>
  <c r="X110" s="1"/>
  <c r="L110" s="1"/>
  <c r="U276"/>
  <c r="V276" s="1"/>
  <c r="W276" s="1"/>
  <c r="U56"/>
  <c r="V56" s="1"/>
  <c r="W56" s="1"/>
  <c r="X56" s="1"/>
  <c r="L56" s="1"/>
  <c r="V210"/>
  <c r="W210" s="1"/>
  <c r="X210" s="1"/>
  <c r="L210" s="1"/>
  <c r="U210"/>
  <c r="U32"/>
  <c r="V32" s="1"/>
  <c r="W32" s="1"/>
  <c r="X32" s="1"/>
  <c r="U139"/>
  <c r="V139" s="1"/>
  <c r="W139" s="1"/>
  <c r="U161"/>
  <c r="V161" s="1"/>
  <c r="W161" s="1"/>
  <c r="U150"/>
  <c r="V150" s="1"/>
  <c r="W150" s="1"/>
  <c r="U109"/>
  <c r="V109" s="1"/>
  <c r="W109" s="1"/>
  <c r="X109" s="1"/>
  <c r="U69"/>
  <c r="V69" s="1"/>
  <c r="W69" s="1"/>
  <c r="V17"/>
  <c r="W17" s="1"/>
  <c r="X17" s="1"/>
  <c r="U17"/>
  <c r="U213"/>
  <c r="V213" s="1"/>
  <c r="W213" s="1"/>
  <c r="U256"/>
  <c r="V256" s="1"/>
  <c r="W256" s="1"/>
  <c r="U79"/>
  <c r="V79" s="1"/>
  <c r="W79" s="1"/>
  <c r="U113"/>
  <c r="V113" s="1"/>
  <c r="W113" s="1"/>
  <c r="U144"/>
  <c r="V144" s="1"/>
  <c r="W144" s="1"/>
  <c r="X156"/>
  <c r="L156" s="1"/>
  <c r="D156" s="1"/>
  <c r="U156"/>
  <c r="V156" s="1"/>
  <c r="W156" s="1"/>
  <c r="U136"/>
  <c r="V136" s="1"/>
  <c r="W136" s="1"/>
  <c r="U250"/>
  <c r="V250" s="1"/>
  <c r="W250" s="1"/>
  <c r="X250" s="1"/>
  <c r="V123"/>
  <c r="W123" s="1"/>
  <c r="X123" s="1"/>
  <c r="L123" s="1"/>
  <c r="U123"/>
  <c r="U81"/>
  <c r="V81" s="1"/>
  <c r="W81" s="1"/>
  <c r="X81" s="1"/>
  <c r="U184"/>
  <c r="V184" s="1"/>
  <c r="W184" s="1"/>
  <c r="U166"/>
  <c r="V166" s="1"/>
  <c r="W166" s="1"/>
  <c r="U226"/>
  <c r="V226" s="1"/>
  <c r="W226" s="1"/>
  <c r="U270"/>
  <c r="V270" s="1"/>
  <c r="W270" s="1"/>
  <c r="X270" s="1"/>
  <c r="U105" i="1"/>
  <c r="V105" s="1"/>
  <c r="U269"/>
  <c r="V269" s="1"/>
  <c r="U185"/>
  <c r="U216"/>
  <c r="V216" s="1"/>
  <c r="U7"/>
  <c r="V7" s="1"/>
  <c r="U189"/>
  <c r="V189" s="1"/>
  <c r="U83"/>
  <c r="V83" s="1"/>
  <c r="U110"/>
  <c r="V110" s="1"/>
  <c r="U106"/>
  <c r="U138"/>
  <c r="V138" s="1"/>
  <c r="U18"/>
  <c r="V18" s="1"/>
  <c r="U164"/>
  <c r="V164" s="1"/>
  <c r="U229"/>
  <c r="U258"/>
  <c r="U59"/>
  <c r="V59" s="1"/>
  <c r="U28"/>
  <c r="V28" s="1"/>
  <c r="U155"/>
  <c r="U98"/>
  <c r="V98" s="1"/>
  <c r="U60"/>
  <c r="V60" s="1"/>
  <c r="U232"/>
  <c r="U236"/>
  <c r="V236" s="1"/>
  <c r="U107"/>
  <c r="V107" s="1"/>
  <c r="U61"/>
  <c r="U152"/>
  <c r="U171"/>
  <c r="V171" s="1"/>
  <c r="U51"/>
  <c r="V51" s="1"/>
  <c r="U183"/>
  <c r="V183" s="1"/>
  <c r="U122"/>
  <c r="U143"/>
  <c r="U38"/>
  <c r="U148"/>
  <c r="V148" s="1"/>
  <c r="U35"/>
  <c r="V35" s="1"/>
  <c r="U163"/>
  <c r="V163" s="1"/>
  <c r="U40"/>
  <c r="V40" s="1"/>
  <c r="U22"/>
  <c r="V22" s="1"/>
  <c r="U33"/>
  <c r="V33" s="1"/>
  <c r="U277"/>
  <c r="U66"/>
  <c r="U179"/>
  <c r="V179" s="1"/>
  <c r="U102"/>
  <c r="V102" s="1"/>
  <c r="U190"/>
  <c r="V190" s="1"/>
  <c r="U242"/>
  <c r="V242" s="1"/>
  <c r="U57"/>
  <c r="U142"/>
  <c r="U240"/>
  <c r="V240" s="1"/>
  <c r="U132"/>
  <c r="V132" s="1"/>
  <c r="U259"/>
  <c r="V259" s="1"/>
  <c r="U69"/>
  <c r="V69" s="1"/>
  <c r="U278"/>
  <c r="V278" s="1"/>
  <c r="U54"/>
  <c r="V54" s="1"/>
  <c r="U25"/>
  <c r="U140"/>
  <c r="U249"/>
  <c r="U53"/>
  <c r="U91"/>
  <c r="V91" s="1"/>
  <c r="U275"/>
  <c r="V275" s="1"/>
  <c r="U109"/>
  <c r="U135"/>
  <c r="V135" s="1"/>
  <c r="U77"/>
  <c r="V77" s="1"/>
  <c r="U97"/>
  <c r="V97" s="1"/>
  <c r="U112"/>
  <c r="V112" s="1"/>
  <c r="U93"/>
  <c r="U17"/>
  <c r="U222"/>
  <c r="V222" s="1"/>
  <c r="U94"/>
  <c r="V94" s="1"/>
  <c r="U80"/>
  <c r="V80" s="1"/>
  <c r="U257"/>
  <c r="U50"/>
  <c r="V50" s="1"/>
  <c r="U72"/>
  <c r="U252"/>
  <c r="U251"/>
  <c r="V251" s="1"/>
  <c r="U268"/>
  <c r="V268" s="1"/>
  <c r="U212"/>
  <c r="V212" s="1"/>
  <c r="U186"/>
  <c r="V186" s="1"/>
  <c r="U71"/>
  <c r="V71" s="1"/>
  <c r="U153"/>
  <c r="U4"/>
  <c r="U16"/>
  <c r="U141"/>
  <c r="V141" s="1"/>
  <c r="U44"/>
  <c r="V44" s="1"/>
  <c r="U43"/>
  <c r="V43" s="1"/>
  <c r="U175"/>
  <c r="V175" s="1"/>
  <c r="U14"/>
  <c r="U237"/>
  <c r="U147"/>
  <c r="V147" s="1"/>
  <c r="U239"/>
  <c r="V239" s="1"/>
  <c r="U49"/>
  <c r="V49" s="1"/>
  <c r="U146"/>
  <c r="U13"/>
  <c r="V13" s="1"/>
  <c r="U158"/>
  <c r="V158" s="1"/>
  <c r="U116"/>
  <c r="V116" s="1"/>
  <c r="U56"/>
  <c r="U177"/>
  <c r="U204"/>
  <c r="V204" s="1"/>
  <c r="W204" s="1"/>
  <c r="U124"/>
  <c r="V124" s="1"/>
  <c r="U92"/>
  <c r="V92" s="1"/>
  <c r="U202"/>
  <c r="U30"/>
  <c r="V30" s="1"/>
  <c r="U5"/>
  <c r="V5" s="1"/>
  <c r="U215"/>
  <c r="U271"/>
  <c r="U120"/>
  <c r="V120" s="1"/>
  <c r="U82"/>
  <c r="V82" s="1"/>
  <c r="U213"/>
  <c r="U136"/>
  <c r="V136" s="1"/>
  <c r="U108"/>
  <c r="V108" s="1"/>
  <c r="U223"/>
  <c r="V223" s="1"/>
  <c r="U12"/>
  <c r="U10"/>
  <c r="U272"/>
  <c r="V272" s="1"/>
  <c r="W272" s="1"/>
  <c r="U63"/>
  <c r="U101"/>
  <c r="V101" s="1"/>
  <c r="U76"/>
  <c r="V76" s="1"/>
  <c r="U130"/>
  <c r="U241"/>
  <c r="U37"/>
  <c r="U264"/>
  <c r="V264" s="1"/>
  <c r="U248"/>
  <c r="V248" s="1"/>
  <c r="U182"/>
  <c r="V182" s="1"/>
  <c r="U26"/>
  <c r="V26" s="1"/>
  <c r="U191"/>
  <c r="V191" s="1"/>
  <c r="U170"/>
  <c r="U32"/>
  <c r="V32" s="1"/>
  <c r="U230"/>
  <c r="U21"/>
  <c r="U174"/>
  <c r="V174" s="1"/>
  <c r="U161"/>
  <c r="U159"/>
  <c r="V159" s="1"/>
  <c r="U45"/>
  <c r="V45" s="1"/>
  <c r="U6"/>
  <c r="U74"/>
  <c r="U157"/>
  <c r="U144"/>
  <c r="V144" s="1"/>
  <c r="U42"/>
  <c r="V42" s="1"/>
  <c r="U165"/>
  <c r="V165" s="1"/>
  <c r="U225"/>
  <c r="V225" s="1"/>
  <c r="U137"/>
  <c r="V137" s="1"/>
  <c r="U187"/>
  <c r="U117"/>
  <c r="V117" s="1"/>
  <c r="U263"/>
  <c r="U88"/>
  <c r="U279"/>
  <c r="V279" s="1"/>
  <c r="U188"/>
  <c r="V188" s="1"/>
  <c r="U85"/>
  <c r="V85" s="1"/>
  <c r="U19"/>
  <c r="U34"/>
  <c r="V34" s="1"/>
  <c r="U11"/>
  <c r="V11" s="1"/>
  <c r="U27"/>
  <c r="U256"/>
  <c r="V256" s="1"/>
  <c r="U114"/>
  <c r="U99"/>
  <c r="U247"/>
  <c r="V247" s="1"/>
  <c r="U221"/>
  <c r="V221" s="1"/>
  <c r="U31"/>
  <c r="U160"/>
  <c r="U168"/>
  <c r="U193"/>
  <c r="U238"/>
  <c r="U218"/>
  <c r="U29"/>
  <c r="V29" s="1"/>
  <c r="U273"/>
  <c r="U209"/>
  <c r="V209" s="1"/>
  <c r="U119"/>
  <c r="U274"/>
  <c r="U245"/>
  <c r="V245" s="1"/>
  <c r="U198"/>
  <c r="V198" s="1"/>
  <c r="U65"/>
  <c r="U200"/>
  <c r="V200" s="1"/>
  <c r="U276"/>
  <c r="U255"/>
  <c r="U219"/>
  <c r="V219" s="1"/>
  <c r="U79"/>
  <c r="U70"/>
  <c r="V70" s="1"/>
  <c r="U78"/>
  <c r="V78" s="1"/>
  <c r="U208"/>
  <c r="V208" s="1"/>
  <c r="U39"/>
  <c r="V39" s="1"/>
  <c r="U172"/>
  <c r="V172" s="1"/>
  <c r="U180"/>
  <c r="U75"/>
  <c r="U47"/>
  <c r="V47" s="1"/>
  <c r="U214"/>
  <c r="V214" s="1"/>
  <c r="U36"/>
  <c r="V36" s="1"/>
  <c r="W36" s="1"/>
  <c r="U217"/>
  <c r="V217" s="1"/>
  <c r="U184"/>
  <c r="U169"/>
  <c r="V169" s="1"/>
  <c r="U68"/>
  <c r="U228"/>
  <c r="V228" s="1"/>
  <c r="U243"/>
  <c r="V243" s="1"/>
  <c r="U162"/>
  <c r="V162" s="1"/>
  <c r="U194"/>
  <c r="U84"/>
  <c r="V84" s="1"/>
  <c r="U280"/>
  <c r="V280" s="1"/>
  <c r="U113"/>
  <c r="U100"/>
  <c r="V100" s="1"/>
  <c r="U156"/>
  <c r="U260"/>
  <c r="V260" s="1"/>
  <c r="U62"/>
  <c r="V62" s="1"/>
  <c r="U246"/>
  <c r="V246" s="1"/>
  <c r="U203"/>
  <c r="V203" s="1"/>
  <c r="U86"/>
  <c r="V86" s="1"/>
  <c r="U134"/>
  <c r="V134" s="1"/>
  <c r="U281"/>
  <c r="U111"/>
  <c r="U231"/>
  <c r="U196"/>
  <c r="V196" s="1"/>
  <c r="U220"/>
  <c r="V220" s="1"/>
  <c r="B75" i="4"/>
  <c r="C75" s="1"/>
  <c r="D75" s="1"/>
  <c r="B76"/>
  <c r="C76" s="1"/>
  <c r="D76" s="1"/>
  <c r="B77"/>
  <c r="C77" s="1"/>
  <c r="D77" s="1"/>
  <c r="B78"/>
  <c r="C78"/>
  <c r="D78" s="1"/>
  <c r="B79"/>
  <c r="C79" s="1"/>
  <c r="D79" s="1"/>
  <c r="B80"/>
  <c r="C80" s="1"/>
  <c r="D80" s="1"/>
  <c r="B81"/>
  <c r="C81" s="1"/>
  <c r="D81" s="1"/>
  <c r="B82"/>
  <c r="C82"/>
  <c r="D82" s="1"/>
  <c r="B83"/>
  <c r="C83" s="1"/>
  <c r="D83" s="1"/>
  <c r="B84"/>
  <c r="C84" s="1"/>
  <c r="D84" s="1"/>
  <c r="B85"/>
  <c r="C85" s="1"/>
  <c r="D85" s="1"/>
  <c r="B86"/>
  <c r="C86"/>
  <c r="D86" s="1"/>
  <c r="B87"/>
  <c r="C87" s="1"/>
  <c r="D87" s="1"/>
  <c r="B88"/>
  <c r="C88" s="1"/>
  <c r="D88" s="1"/>
  <c r="B89"/>
  <c r="C89" s="1"/>
  <c r="D89" s="1"/>
  <c r="B90"/>
  <c r="C90"/>
  <c r="D90" s="1"/>
  <c r="B91"/>
  <c r="C91" s="1"/>
  <c r="D91" s="1"/>
  <c r="B92"/>
  <c r="C92" s="1"/>
  <c r="D92" s="1"/>
  <c r="B93"/>
  <c r="C93" s="1"/>
  <c r="D93" s="1"/>
  <c r="B94"/>
  <c r="C94"/>
  <c r="D94" s="1"/>
  <c r="B95"/>
  <c r="C95" s="1"/>
  <c r="D95" s="1"/>
  <c r="B96"/>
  <c r="C96" s="1"/>
  <c r="D96" s="1"/>
  <c r="B97"/>
  <c r="C97" s="1"/>
  <c r="D97" s="1"/>
  <c r="B98"/>
  <c r="C98"/>
  <c r="D98" s="1"/>
  <c r="B99"/>
  <c r="C99" s="1"/>
  <c r="D99" s="1"/>
  <c r="B100"/>
  <c r="C100" s="1"/>
  <c r="D100" s="1"/>
  <c r="B101"/>
  <c r="C101" s="1"/>
  <c r="D101" s="1"/>
  <c r="B102"/>
  <c r="C102"/>
  <c r="D102" s="1"/>
  <c r="B103"/>
  <c r="C103" s="1"/>
  <c r="D103" s="1"/>
  <c r="B104"/>
  <c r="C104" s="1"/>
  <c r="D104" s="1"/>
  <c r="B105"/>
  <c r="C105" s="1"/>
  <c r="D105" s="1"/>
  <c r="B106"/>
  <c r="C106"/>
  <c r="D106" s="1"/>
  <c r="B107"/>
  <c r="C107" s="1"/>
  <c r="D107" s="1"/>
  <c r="B108"/>
  <c r="C108" s="1"/>
  <c r="D108" s="1"/>
  <c r="B109"/>
  <c r="C109" s="1"/>
  <c r="D109" s="1"/>
  <c r="B110"/>
  <c r="C110"/>
  <c r="D110" s="1"/>
  <c r="B111"/>
  <c r="C111" s="1"/>
  <c r="D111" s="1"/>
  <c r="B112"/>
  <c r="C112" s="1"/>
  <c r="D112" s="1"/>
  <c r="B113"/>
  <c r="C113" s="1"/>
  <c r="D113" s="1"/>
  <c r="B114"/>
  <c r="C114"/>
  <c r="D114" s="1"/>
  <c r="B115"/>
  <c r="C115" s="1"/>
  <c r="D115" s="1"/>
  <c r="B116"/>
  <c r="C116" s="1"/>
  <c r="D116" s="1"/>
  <c r="B117"/>
  <c r="C117" s="1"/>
  <c r="D117" s="1"/>
  <c r="B118"/>
  <c r="C118"/>
  <c r="D118" s="1"/>
  <c r="B119"/>
  <c r="C119" s="1"/>
  <c r="D119" s="1"/>
  <c r="B120"/>
  <c r="C120" s="1"/>
  <c r="D120" s="1"/>
  <c r="B121"/>
  <c r="C121" s="1"/>
  <c r="D121" s="1"/>
  <c r="B122"/>
  <c r="C122"/>
  <c r="D122" s="1"/>
  <c r="B123"/>
  <c r="C123" s="1"/>
  <c r="D123" s="1"/>
  <c r="B124"/>
  <c r="C124" s="1"/>
  <c r="D124" s="1"/>
  <c r="B125"/>
  <c r="C125" s="1"/>
  <c r="D125" s="1"/>
  <c r="B126"/>
  <c r="C126"/>
  <c r="D126" s="1"/>
  <c r="B127"/>
  <c r="C127" s="1"/>
  <c r="D127" s="1"/>
  <c r="B128"/>
  <c r="C128" s="1"/>
  <c r="D128" s="1"/>
  <c r="B129"/>
  <c r="C129" s="1"/>
  <c r="D129" s="1"/>
  <c r="B130"/>
  <c r="C130"/>
  <c r="D130" s="1"/>
  <c r="B131"/>
  <c r="C131" s="1"/>
  <c r="D131" s="1"/>
  <c r="B132"/>
  <c r="C132" s="1"/>
  <c r="D132" s="1"/>
  <c r="B133"/>
  <c r="C133" s="1"/>
  <c r="D133" s="1"/>
  <c r="E133" s="1"/>
  <c r="B134"/>
  <c r="C134"/>
  <c r="D134" s="1"/>
  <c r="B135"/>
  <c r="C135" s="1"/>
  <c r="D135" s="1"/>
  <c r="B136"/>
  <c r="C136" s="1"/>
  <c r="D136"/>
  <c r="B137"/>
  <c r="C137" s="1"/>
  <c r="D137" s="1"/>
  <c r="E137" s="1"/>
  <c r="B138"/>
  <c r="C138"/>
  <c r="D138" s="1"/>
  <c r="B139"/>
  <c r="C139" s="1"/>
  <c r="D139" s="1"/>
  <c r="B140"/>
  <c r="C140" s="1"/>
  <c r="D140" s="1"/>
  <c r="B141"/>
  <c r="C141" s="1"/>
  <c r="D141" s="1"/>
  <c r="E141" s="1"/>
  <c r="F141"/>
  <c r="G141" s="1"/>
  <c r="B142"/>
  <c r="C142"/>
  <c r="D142" s="1"/>
  <c r="B143"/>
  <c r="C143" s="1"/>
  <c r="D143" s="1"/>
  <c r="B144"/>
  <c r="C144" s="1"/>
  <c r="D144" s="1"/>
  <c r="B145"/>
  <c r="C145" s="1"/>
  <c r="D145" s="1"/>
  <c r="E145" s="1"/>
  <c r="F145"/>
  <c r="G145" s="1"/>
  <c r="B146"/>
  <c r="C146"/>
  <c r="D146" s="1"/>
  <c r="B147"/>
  <c r="C147" s="1"/>
  <c r="D147" s="1"/>
  <c r="B148"/>
  <c r="C148" s="1"/>
  <c r="D148" s="1"/>
  <c r="B149"/>
  <c r="C149" s="1"/>
  <c r="D149" s="1"/>
  <c r="E149" s="1"/>
  <c r="F149" s="1"/>
  <c r="G149" s="1"/>
  <c r="B150"/>
  <c r="C150"/>
  <c r="D150" s="1"/>
  <c r="B151"/>
  <c r="C151" s="1"/>
  <c r="D151" s="1"/>
  <c r="B152"/>
  <c r="C152" s="1"/>
  <c r="D152"/>
  <c r="B153"/>
  <c r="C153" s="1"/>
  <c r="D153" s="1"/>
  <c r="E153" s="1"/>
  <c r="B154"/>
  <c r="C154"/>
  <c r="D154" s="1"/>
  <c r="B155"/>
  <c r="C155" s="1"/>
  <c r="D155" s="1"/>
  <c r="B156"/>
  <c r="C156" s="1"/>
  <c r="D156" s="1"/>
  <c r="B157"/>
  <c r="C157" s="1"/>
  <c r="D157" s="1"/>
  <c r="E157" s="1"/>
  <c r="B158"/>
  <c r="C158"/>
  <c r="D158" s="1"/>
  <c r="B159"/>
  <c r="C159" s="1"/>
  <c r="D159" s="1"/>
  <c r="B160"/>
  <c r="C160" s="1"/>
  <c r="D160" s="1"/>
  <c r="B161"/>
  <c r="C161" s="1"/>
  <c r="D161" s="1"/>
  <c r="E161" s="1"/>
  <c r="F161"/>
  <c r="G161" s="1"/>
  <c r="B162"/>
  <c r="C162"/>
  <c r="D162" s="1"/>
  <c r="B163"/>
  <c r="C163" s="1"/>
  <c r="D163" s="1"/>
  <c r="B164"/>
  <c r="C164" s="1"/>
  <c r="D164"/>
  <c r="B165"/>
  <c r="C165" s="1"/>
  <c r="D165" s="1"/>
  <c r="E165" s="1"/>
  <c r="B166"/>
  <c r="C166"/>
  <c r="D166" s="1"/>
  <c r="B167"/>
  <c r="C167" s="1"/>
  <c r="D167" s="1"/>
  <c r="B168"/>
  <c r="C168" s="1"/>
  <c r="D168"/>
  <c r="B169"/>
  <c r="C169" s="1"/>
  <c r="D169" s="1"/>
  <c r="E169" s="1"/>
  <c r="B170"/>
  <c r="C170"/>
  <c r="D170" s="1"/>
  <c r="B171"/>
  <c r="C171" s="1"/>
  <c r="D171" s="1"/>
  <c r="B172"/>
  <c r="C172" s="1"/>
  <c r="D172" s="1"/>
  <c r="B173"/>
  <c r="C173" s="1"/>
  <c r="D173" s="1"/>
  <c r="E173" s="1"/>
  <c r="F173"/>
  <c r="G173" s="1"/>
  <c r="B174"/>
  <c r="C174"/>
  <c r="D174" s="1"/>
  <c r="B175"/>
  <c r="C175" s="1"/>
  <c r="D175" s="1"/>
  <c r="B176"/>
  <c r="C176" s="1"/>
  <c r="D176" s="1"/>
  <c r="B177"/>
  <c r="C177" s="1"/>
  <c r="D177" s="1"/>
  <c r="E177" s="1"/>
  <c r="F177"/>
  <c r="G177" s="1"/>
  <c r="B178"/>
  <c r="C178"/>
  <c r="D178" s="1"/>
  <c r="B179"/>
  <c r="C179" s="1"/>
  <c r="D179" s="1"/>
  <c r="B180"/>
  <c r="C180" s="1"/>
  <c r="D180" s="1"/>
  <c r="B181"/>
  <c r="C181" s="1"/>
  <c r="D181" s="1"/>
  <c r="E181" s="1"/>
  <c r="F181" s="1"/>
  <c r="G181" s="1"/>
  <c r="B182"/>
  <c r="C182"/>
  <c r="D182" s="1"/>
  <c r="B183"/>
  <c r="C183" s="1"/>
  <c r="D183" s="1"/>
  <c r="B184"/>
  <c r="C184" s="1"/>
  <c r="D184"/>
  <c r="B185"/>
  <c r="C185" s="1"/>
  <c r="D185" s="1"/>
  <c r="E185" s="1"/>
  <c r="B186"/>
  <c r="C186"/>
  <c r="D186" s="1"/>
  <c r="B187"/>
  <c r="C187" s="1"/>
  <c r="D187" s="1"/>
  <c r="B188"/>
  <c r="C188" s="1"/>
  <c r="D188" s="1"/>
  <c r="B189"/>
  <c r="C189" s="1"/>
  <c r="D189" s="1"/>
  <c r="E189" s="1"/>
  <c r="B190"/>
  <c r="C190"/>
  <c r="D190" s="1"/>
  <c r="B191"/>
  <c r="C191" s="1"/>
  <c r="D191" s="1"/>
  <c r="E191"/>
  <c r="B192"/>
  <c r="C192" s="1"/>
  <c r="D192" s="1"/>
  <c r="B193"/>
  <c r="C193" s="1"/>
  <c r="D193" s="1"/>
  <c r="E193" s="1"/>
  <c r="B194"/>
  <c r="C194"/>
  <c r="D194" s="1"/>
  <c r="B195"/>
  <c r="C195" s="1"/>
  <c r="D195" s="1"/>
  <c r="E195" s="1"/>
  <c r="B196"/>
  <c r="C196" s="1"/>
  <c r="D196"/>
  <c r="B197"/>
  <c r="C197" s="1"/>
  <c r="D197" s="1"/>
  <c r="E197" s="1"/>
  <c r="B198"/>
  <c r="C198"/>
  <c r="D198" s="1"/>
  <c r="B199"/>
  <c r="C199" s="1"/>
  <c r="D199" s="1"/>
  <c r="B200"/>
  <c r="C200" s="1"/>
  <c r="D200" s="1"/>
  <c r="B201"/>
  <c r="C201" s="1"/>
  <c r="D201" s="1"/>
  <c r="E201" s="1"/>
  <c r="F201"/>
  <c r="G201" s="1"/>
  <c r="B202"/>
  <c r="C202"/>
  <c r="D202" s="1"/>
  <c r="B203"/>
  <c r="C203" s="1"/>
  <c r="D203" s="1"/>
  <c r="E203"/>
  <c r="B204"/>
  <c r="C204" s="1"/>
  <c r="D204" s="1"/>
  <c r="B205"/>
  <c r="C205" s="1"/>
  <c r="D205" s="1"/>
  <c r="E205" s="1"/>
  <c r="F205"/>
  <c r="G205" s="1"/>
  <c r="B206"/>
  <c r="C206"/>
  <c r="D206" s="1"/>
  <c r="B207"/>
  <c r="C207" s="1"/>
  <c r="D207" s="1"/>
  <c r="B208"/>
  <c r="C208"/>
  <c r="D208"/>
  <c r="B209"/>
  <c r="C209" s="1"/>
  <c r="D209" s="1"/>
  <c r="E209" s="1"/>
  <c r="B210"/>
  <c r="C210"/>
  <c r="D210" s="1"/>
  <c r="B211"/>
  <c r="C211" s="1"/>
  <c r="D211" s="1"/>
  <c r="B212"/>
  <c r="C212"/>
  <c r="D212"/>
  <c r="B213"/>
  <c r="C213" s="1"/>
  <c r="D213" s="1"/>
  <c r="E213" s="1"/>
  <c r="B214"/>
  <c r="C214"/>
  <c r="D214" s="1"/>
  <c r="B215"/>
  <c r="C215" s="1"/>
  <c r="D215" s="1"/>
  <c r="E215"/>
  <c r="B216"/>
  <c r="C216"/>
  <c r="D216"/>
  <c r="B217"/>
  <c r="C217" s="1"/>
  <c r="D217" s="1"/>
  <c r="E217" s="1"/>
  <c r="B218"/>
  <c r="C218"/>
  <c r="D218" s="1"/>
  <c r="B219"/>
  <c r="C219" s="1"/>
  <c r="D219" s="1"/>
  <c r="B220"/>
  <c r="C220"/>
  <c r="D220"/>
  <c r="B221"/>
  <c r="C221" s="1"/>
  <c r="D221" s="1"/>
  <c r="E221" s="1"/>
  <c r="F221"/>
  <c r="G221" s="1"/>
  <c r="B222"/>
  <c r="C222"/>
  <c r="D222" s="1"/>
  <c r="B223"/>
  <c r="C223" s="1"/>
  <c r="D223" s="1"/>
  <c r="B224"/>
  <c r="C224"/>
  <c r="D224"/>
  <c r="B225"/>
  <c r="C225" s="1"/>
  <c r="D225" s="1"/>
  <c r="E225" s="1"/>
  <c r="B226"/>
  <c r="C226"/>
  <c r="D226" s="1"/>
  <c r="B227"/>
  <c r="C227" s="1"/>
  <c r="D227" s="1"/>
  <c r="B228"/>
  <c r="C228"/>
  <c r="D228"/>
  <c r="B229"/>
  <c r="C229" s="1"/>
  <c r="D229" s="1"/>
  <c r="E229" s="1"/>
  <c r="B230"/>
  <c r="C230"/>
  <c r="D230" s="1"/>
  <c r="B231"/>
  <c r="C231" s="1"/>
  <c r="D231" s="1"/>
  <c r="E231"/>
  <c r="B232"/>
  <c r="C232"/>
  <c r="D232"/>
  <c r="B233"/>
  <c r="C233" s="1"/>
  <c r="D233" s="1"/>
  <c r="E233" s="1"/>
  <c r="B234"/>
  <c r="C234"/>
  <c r="D234" s="1"/>
  <c r="B235"/>
  <c r="C235" s="1"/>
  <c r="D235" s="1"/>
  <c r="B236"/>
  <c r="C236"/>
  <c r="D236"/>
  <c r="B237"/>
  <c r="C237" s="1"/>
  <c r="D237" s="1"/>
  <c r="E237" s="1"/>
  <c r="F237"/>
  <c r="G237" s="1"/>
  <c r="B238"/>
  <c r="C238"/>
  <c r="D238" s="1"/>
  <c r="B239"/>
  <c r="C239" s="1"/>
  <c r="D239" s="1"/>
  <c r="B240"/>
  <c r="C240"/>
  <c r="D240"/>
  <c r="B241"/>
  <c r="C241" s="1"/>
  <c r="D241" s="1"/>
  <c r="E241" s="1"/>
  <c r="B242"/>
  <c r="C242"/>
  <c r="D242" s="1"/>
  <c r="B243"/>
  <c r="C243" s="1"/>
  <c r="D243" s="1"/>
  <c r="B244"/>
  <c r="C244"/>
  <c r="D244" s="1"/>
  <c r="B245"/>
  <c r="C245" s="1"/>
  <c r="D245" s="1"/>
  <c r="B246"/>
  <c r="C246"/>
  <c r="D246" s="1"/>
  <c r="B247"/>
  <c r="C247" s="1"/>
  <c r="D247" s="1"/>
  <c r="B248"/>
  <c r="C248"/>
  <c r="D248" s="1"/>
  <c r="B249"/>
  <c r="C249" s="1"/>
  <c r="D249" s="1"/>
  <c r="E249"/>
  <c r="F249" s="1"/>
  <c r="G249" s="1"/>
  <c r="B250"/>
  <c r="C250"/>
  <c r="D250" s="1"/>
  <c r="B251"/>
  <c r="C251" s="1"/>
  <c r="D251" s="1"/>
  <c r="B252"/>
  <c r="C252"/>
  <c r="D252" s="1"/>
  <c r="B253"/>
  <c r="C253" s="1"/>
  <c r="D253" s="1"/>
  <c r="B254"/>
  <c r="C254"/>
  <c r="D254" s="1"/>
  <c r="B255"/>
  <c r="C255" s="1"/>
  <c r="D255" s="1"/>
  <c r="B74"/>
  <c r="C74" s="1"/>
  <c r="D74" s="1"/>
  <c r="B73"/>
  <c r="C73" s="1"/>
  <c r="D73" s="1"/>
  <c r="F72"/>
  <c r="G72" s="1"/>
  <c r="E72"/>
  <c r="D72"/>
  <c r="C72"/>
  <c r="B72"/>
  <c r="B71"/>
  <c r="C71" s="1"/>
  <c r="D71" s="1"/>
  <c r="B70"/>
  <c r="C70" s="1"/>
  <c r="D70" s="1"/>
  <c r="C69"/>
  <c r="D69" s="1"/>
  <c r="B69"/>
  <c r="C68"/>
  <c r="D68" s="1"/>
  <c r="B68"/>
  <c r="B67"/>
  <c r="C67" s="1"/>
  <c r="D67" s="1"/>
  <c r="B66"/>
  <c r="C66" s="1"/>
  <c r="D66" s="1"/>
  <c r="B65"/>
  <c r="C65" s="1"/>
  <c r="D65" s="1"/>
  <c r="D64"/>
  <c r="C64"/>
  <c r="B64"/>
  <c r="B63"/>
  <c r="C63" s="1"/>
  <c r="D63" s="1"/>
  <c r="B62"/>
  <c r="C62" s="1"/>
  <c r="D62" s="1"/>
  <c r="B61"/>
  <c r="C61" s="1"/>
  <c r="D61" s="1"/>
  <c r="B60"/>
  <c r="C60" s="1"/>
  <c r="D60" s="1"/>
  <c r="B59"/>
  <c r="C59" s="1"/>
  <c r="D59" s="1"/>
  <c r="B58"/>
  <c r="C58" s="1"/>
  <c r="D58" s="1"/>
  <c r="C57"/>
  <c r="D57" s="1"/>
  <c r="B57"/>
  <c r="B56"/>
  <c r="C56" s="1"/>
  <c r="D56" s="1"/>
  <c r="B55"/>
  <c r="C55" s="1"/>
  <c r="D55" s="1"/>
  <c r="B54"/>
  <c r="C54" s="1"/>
  <c r="D54" s="1"/>
  <c r="B53"/>
  <c r="C53" s="1"/>
  <c r="D53" s="1"/>
  <c r="B52"/>
  <c r="C52" s="1"/>
  <c r="D52" s="1"/>
  <c r="B51"/>
  <c r="C51" s="1"/>
  <c r="D51" s="1"/>
  <c r="B50"/>
  <c r="C50" s="1"/>
  <c r="D50" s="1"/>
  <c r="C49"/>
  <c r="D49" s="1"/>
  <c r="B49"/>
  <c r="B48"/>
  <c r="C48" s="1"/>
  <c r="D48" s="1"/>
  <c r="C47"/>
  <c r="D47" s="1"/>
  <c r="B47"/>
  <c r="B46"/>
  <c r="C46" s="1"/>
  <c r="D46" s="1"/>
  <c r="B45"/>
  <c r="C45" s="1"/>
  <c r="D45" s="1"/>
  <c r="C44"/>
  <c r="D44" s="1"/>
  <c r="B44"/>
  <c r="D43"/>
  <c r="C43"/>
  <c r="B43"/>
  <c r="B42"/>
  <c r="C42" s="1"/>
  <c r="D42" s="1"/>
  <c r="B41"/>
  <c r="C41" s="1"/>
  <c r="D41" s="1"/>
  <c r="F40"/>
  <c r="G40" s="1"/>
  <c r="E40"/>
  <c r="D40"/>
  <c r="C40"/>
  <c r="B40"/>
  <c r="B39"/>
  <c r="C39" s="1"/>
  <c r="D39" s="1"/>
  <c r="E39" s="1"/>
  <c r="B38"/>
  <c r="C38" s="1"/>
  <c r="D38" s="1"/>
  <c r="C37"/>
  <c r="D37" s="1"/>
  <c r="B37"/>
  <c r="C36"/>
  <c r="D36" s="1"/>
  <c r="B36"/>
  <c r="B35"/>
  <c r="C35" s="1"/>
  <c r="D35" s="1"/>
  <c r="E35" s="1"/>
  <c r="B34"/>
  <c r="C34" s="1"/>
  <c r="D34" s="1"/>
  <c r="B33"/>
  <c r="C33" s="1"/>
  <c r="D33" s="1"/>
  <c r="C32"/>
  <c r="D32" s="1"/>
  <c r="B32"/>
  <c r="B31"/>
  <c r="C31" s="1"/>
  <c r="D31" s="1"/>
  <c r="B30"/>
  <c r="C30" s="1"/>
  <c r="D30" s="1"/>
  <c r="C29"/>
  <c r="D29" s="1"/>
  <c r="B29"/>
  <c r="B28"/>
  <c r="C28" s="1"/>
  <c r="D28" s="1"/>
  <c r="B27"/>
  <c r="C27" s="1"/>
  <c r="D27" s="1"/>
  <c r="B26"/>
  <c r="C26" s="1"/>
  <c r="D26" s="1"/>
  <c r="B25"/>
  <c r="C25" s="1"/>
  <c r="D25" s="1"/>
  <c r="B24"/>
  <c r="C24" s="1"/>
  <c r="D24" s="1"/>
  <c r="B23"/>
  <c r="C23" s="1"/>
  <c r="D23" s="1"/>
  <c r="E23" s="1"/>
  <c r="B22"/>
  <c r="C22" s="1"/>
  <c r="D22" s="1"/>
  <c r="B21"/>
  <c r="C21" s="1"/>
  <c r="D21" s="1"/>
  <c r="B20"/>
  <c r="C20" s="1"/>
  <c r="D20" s="1"/>
  <c r="B19"/>
  <c r="C19" s="1"/>
  <c r="D19" s="1"/>
  <c r="E19" s="1"/>
  <c r="B18"/>
  <c r="C18" s="1"/>
  <c r="D18" s="1"/>
  <c r="B17"/>
  <c r="C17" s="1"/>
  <c r="D17" s="1"/>
  <c r="B16"/>
  <c r="C16" s="1"/>
  <c r="D16" s="1"/>
  <c r="D15"/>
  <c r="C15"/>
  <c r="B15"/>
  <c r="B14"/>
  <c r="C14" s="1"/>
  <c r="D14" s="1"/>
  <c r="C13"/>
  <c r="D13" s="1"/>
  <c r="B13"/>
  <c r="B12"/>
  <c r="C12" s="1"/>
  <c r="D12" s="1"/>
  <c r="D11"/>
  <c r="C11"/>
  <c r="B11"/>
  <c r="B10"/>
  <c r="C10" s="1"/>
  <c r="D10" s="1"/>
  <c r="D9"/>
  <c r="C9"/>
  <c r="B9"/>
  <c r="D8"/>
  <c r="E8" s="1"/>
  <c r="F8" s="1"/>
  <c r="G8" s="1"/>
  <c r="C8"/>
  <c r="B8"/>
  <c r="B7"/>
  <c r="C7" s="1"/>
  <c r="D7" s="1"/>
  <c r="E7" s="1"/>
  <c r="B6"/>
  <c r="C6" s="1"/>
  <c r="D6" s="1"/>
  <c r="C5"/>
  <c r="D5" s="1"/>
  <c r="B5"/>
  <c r="B4"/>
  <c r="C4" s="1"/>
  <c r="D4" s="1"/>
  <c r="B3"/>
  <c r="C3" s="1"/>
  <c r="D3" s="1"/>
  <c r="B2"/>
  <c r="C2" s="1"/>
  <c r="D2" s="1"/>
  <c r="B1"/>
  <c r="C1" s="1"/>
  <c r="D1" s="1"/>
  <c r="U46" i="1"/>
  <c r="V46" s="1"/>
  <c r="U197"/>
  <c r="U206"/>
  <c r="U166"/>
  <c r="V166" s="1"/>
  <c r="U150"/>
  <c r="U211"/>
  <c r="U145"/>
  <c r="U41"/>
  <c r="U96"/>
  <c r="V96" s="1"/>
  <c r="U89"/>
  <c r="U128"/>
  <c r="V128" s="1"/>
  <c r="U227"/>
  <c r="V227" s="1"/>
  <c r="U104"/>
  <c r="V104" s="1"/>
  <c r="U87"/>
  <c r="V87" s="1"/>
  <c r="U67"/>
  <c r="U149"/>
  <c r="V149" s="1"/>
  <c r="U233"/>
  <c r="V233" s="1"/>
  <c r="U254"/>
  <c r="U81"/>
  <c r="V81" s="1"/>
  <c r="U73"/>
  <c r="V73" s="1"/>
  <c r="U2"/>
  <c r="U173"/>
  <c r="U8"/>
  <c r="U139"/>
  <c r="U266"/>
  <c r="V266" s="1"/>
  <c r="U48"/>
  <c r="V48" s="1"/>
  <c r="U210"/>
  <c r="V210" s="1"/>
  <c r="U261"/>
  <c r="V261" s="1"/>
  <c r="U267"/>
  <c r="U3"/>
  <c r="U126"/>
  <c r="U250"/>
  <c r="V250" s="1"/>
  <c r="U127"/>
  <c r="V127" s="1"/>
  <c r="U58"/>
  <c r="U151"/>
  <c r="U265"/>
  <c r="U167"/>
  <c r="U131"/>
  <c r="U20"/>
  <c r="U181"/>
  <c r="U195"/>
  <c r="V195" s="1"/>
  <c r="U178"/>
  <c r="V178" s="1"/>
  <c r="U123"/>
  <c r="V123" s="1"/>
  <c r="U9"/>
  <c r="V9" s="1"/>
  <c r="U226"/>
  <c r="U201"/>
  <c r="V201" s="1"/>
  <c r="U118"/>
  <c r="U64"/>
  <c r="V64" s="1"/>
  <c r="U235"/>
  <c r="V235" s="1"/>
  <c r="U95"/>
  <c r="V95" s="1"/>
  <c r="U15"/>
  <c r="V15" s="1"/>
  <c r="U176"/>
  <c r="U244"/>
  <c r="U207"/>
  <c r="V207" s="1"/>
  <c r="U205"/>
  <c r="U262"/>
  <c r="U121"/>
  <c r="U90"/>
  <c r="V90" s="1"/>
  <c r="U125"/>
  <c r="V125" s="1"/>
  <c r="U52"/>
  <c r="V52" s="1"/>
  <c r="U224"/>
  <c r="U129"/>
  <c r="U24"/>
  <c r="U270"/>
  <c r="U234"/>
  <c r="U103"/>
  <c r="V103" s="1"/>
  <c r="U253"/>
  <c r="V253" s="1"/>
  <c r="U192"/>
  <c r="U55"/>
  <c r="V55" s="1"/>
  <c r="U199"/>
  <c r="U154"/>
  <c r="U23"/>
  <c r="V23" s="1"/>
  <c r="U133"/>
  <c r="V133" s="1"/>
  <c r="U115"/>
  <c r="V115" s="1"/>
  <c r="X301" l="1"/>
  <c r="L301" s="1"/>
  <c r="Y289"/>
  <c r="A289" s="1"/>
  <c r="X289"/>
  <c r="L289" s="1"/>
  <c r="X296"/>
  <c r="L296" s="1"/>
  <c r="Y296"/>
  <c r="A296" s="1"/>
  <c r="X297"/>
  <c r="X284"/>
  <c r="L284" s="1"/>
  <c r="Y284"/>
  <c r="A284" s="1"/>
  <c r="Y298"/>
  <c r="A298" s="1"/>
  <c r="X298"/>
  <c r="X285"/>
  <c r="L285" s="1"/>
  <c r="M285" s="1"/>
  <c r="E285" s="1"/>
  <c r="Y282"/>
  <c r="A282" s="1"/>
  <c r="X282"/>
  <c r="L282" s="1"/>
  <c r="M291"/>
  <c r="E291" s="1"/>
  <c r="L291"/>
  <c r="D291" s="1"/>
  <c r="X291"/>
  <c r="Y291" s="1"/>
  <c r="A291" s="1"/>
  <c r="X299"/>
  <c r="Y299" s="1"/>
  <c r="A299" s="1"/>
  <c r="L299"/>
  <c r="D299" s="1"/>
  <c r="X292"/>
  <c r="Y292" s="1"/>
  <c r="A292" s="1"/>
  <c r="Y286"/>
  <c r="A286" s="1"/>
  <c r="X286"/>
  <c r="L286" s="1"/>
  <c r="M286" s="1"/>
  <c r="E286" s="1"/>
  <c r="X295"/>
  <c r="Y295" s="1"/>
  <c r="A295" s="1"/>
  <c r="M295"/>
  <c r="L295"/>
  <c r="D295" s="1"/>
  <c r="L283"/>
  <c r="D283" s="1"/>
  <c r="X283"/>
  <c r="Y283" s="1"/>
  <c r="A283" s="1"/>
  <c r="X293"/>
  <c r="Y293"/>
  <c r="A293" s="1"/>
  <c r="L293"/>
  <c r="E293" s="1"/>
  <c r="X288"/>
  <c r="L288" s="1"/>
  <c r="Y288"/>
  <c r="A288" s="1"/>
  <c r="Y290"/>
  <c r="A290" s="1"/>
  <c r="X290"/>
  <c r="L290"/>
  <c r="D290" s="1"/>
  <c r="L287"/>
  <c r="D287" s="1"/>
  <c r="Y287"/>
  <c r="A287" s="1"/>
  <c r="X287"/>
  <c r="X300"/>
  <c r="Y300" s="1"/>
  <c r="A300" s="1"/>
  <c r="Y294"/>
  <c r="A294" s="1"/>
  <c r="X294"/>
  <c r="L294" s="1"/>
  <c r="M293"/>
  <c r="E295"/>
  <c r="N295"/>
  <c r="L180" i="5"/>
  <c r="X180"/>
  <c r="Y180" s="1"/>
  <c r="A180" s="1"/>
  <c r="X207"/>
  <c r="Y207" s="1"/>
  <c r="A207" s="1"/>
  <c r="B207" s="1"/>
  <c r="C207" s="1"/>
  <c r="X24"/>
  <c r="L24" s="1"/>
  <c r="D24" s="1"/>
  <c r="X194"/>
  <c r="Y194" s="1"/>
  <c r="A194" s="1"/>
  <c r="B194" s="1"/>
  <c r="C194" s="1"/>
  <c r="X193"/>
  <c r="L193" s="1"/>
  <c r="L117"/>
  <c r="Y46"/>
  <c r="A46" s="1"/>
  <c r="B46" s="1"/>
  <c r="C46" s="1"/>
  <c r="Y73"/>
  <c r="A73" s="1"/>
  <c r="B73" s="1"/>
  <c r="C73" s="1"/>
  <c r="Y203"/>
  <c r="A203" s="1"/>
  <c r="L54"/>
  <c r="M54" s="1"/>
  <c r="Y269"/>
  <c r="A269" s="1"/>
  <c r="B269" s="1"/>
  <c r="C269" s="1"/>
  <c r="L250"/>
  <c r="M250" s="1"/>
  <c r="L17"/>
  <c r="M17" s="1"/>
  <c r="E17" s="1"/>
  <c r="L235"/>
  <c r="M235" s="1"/>
  <c r="N235" s="1"/>
  <c r="Y94"/>
  <c r="A94" s="1"/>
  <c r="B94" s="1"/>
  <c r="C94" s="1"/>
  <c r="X94"/>
  <c r="X209"/>
  <c r="L209" s="1"/>
  <c r="X208"/>
  <c r="Y208" s="1"/>
  <c r="A208" s="1"/>
  <c r="B208" s="1"/>
  <c r="C208" s="1"/>
  <c r="X96"/>
  <c r="L96" s="1"/>
  <c r="X7"/>
  <c r="Y7" s="1"/>
  <c r="A7" s="1"/>
  <c r="X188"/>
  <c r="X67"/>
  <c r="L67" s="1"/>
  <c r="X130"/>
  <c r="Y130" s="1"/>
  <c r="A130" s="1"/>
  <c r="L187"/>
  <c r="M187" s="1"/>
  <c r="X187"/>
  <c r="X129"/>
  <c r="L129" s="1"/>
  <c r="M129" s="1"/>
  <c r="N129" s="1"/>
  <c r="O129" s="1"/>
  <c r="P129" s="1"/>
  <c r="Y109"/>
  <c r="A109" s="1"/>
  <c r="B109" s="1"/>
  <c r="C109" s="1"/>
  <c r="Y117"/>
  <c r="A117" s="1"/>
  <c r="B117" s="1"/>
  <c r="C117" s="1"/>
  <c r="Y116"/>
  <c r="A116" s="1"/>
  <c r="B116" s="1"/>
  <c r="C116" s="1"/>
  <c r="Y156"/>
  <c r="A156" s="1"/>
  <c r="L109"/>
  <c r="D109" s="1"/>
  <c r="L76"/>
  <c r="M76" s="1"/>
  <c r="E76" s="1"/>
  <c r="X93"/>
  <c r="L93" s="1"/>
  <c r="Y132"/>
  <c r="A132" s="1"/>
  <c r="B132" s="1"/>
  <c r="C132" s="1"/>
  <c r="Y92"/>
  <c r="A92" s="1"/>
  <c r="B92" s="1"/>
  <c r="C92" s="1"/>
  <c r="Y63"/>
  <c r="A63" s="1"/>
  <c r="B63" s="1"/>
  <c r="C63" s="1"/>
  <c r="L90"/>
  <c r="L46"/>
  <c r="M37"/>
  <c r="E37" s="1"/>
  <c r="X112"/>
  <c r="L112" s="1"/>
  <c r="M112" s="1"/>
  <c r="Y118"/>
  <c r="A118" s="1"/>
  <c r="B118" s="1"/>
  <c r="C118" s="1"/>
  <c r="M161"/>
  <c r="X161"/>
  <c r="L161" s="1"/>
  <c r="X151"/>
  <c r="X115"/>
  <c r="Y83"/>
  <c r="A83" s="1"/>
  <c r="B198"/>
  <c r="C198" s="1"/>
  <c r="X219"/>
  <c r="Y219" s="1"/>
  <c r="A219" s="1"/>
  <c r="X183"/>
  <c r="Y189"/>
  <c r="A189" s="1"/>
  <c r="L189"/>
  <c r="X189"/>
  <c r="X36"/>
  <c r="Y36" s="1"/>
  <c r="A36" s="1"/>
  <c r="X60"/>
  <c r="L60" s="1"/>
  <c r="M60" s="1"/>
  <c r="N60" s="1"/>
  <c r="X214"/>
  <c r="L214" s="1"/>
  <c r="M214" s="1"/>
  <c r="E214" s="1"/>
  <c r="X166"/>
  <c r="X184"/>
  <c r="Y184" s="1"/>
  <c r="A184" s="1"/>
  <c r="M110"/>
  <c r="E110" s="1"/>
  <c r="X138"/>
  <c r="L138"/>
  <c r="D138" s="1"/>
  <c r="Y138"/>
  <c r="A138" s="1"/>
  <c r="Y170"/>
  <c r="A170" s="1"/>
  <c r="M178"/>
  <c r="N178" s="1"/>
  <c r="X178"/>
  <c r="L178" s="1"/>
  <c r="Y280"/>
  <c r="A280" s="1"/>
  <c r="X253"/>
  <c r="Y253"/>
  <c r="A253" s="1"/>
  <c r="L253"/>
  <c r="X226"/>
  <c r="L226" s="1"/>
  <c r="M226" s="1"/>
  <c r="M210"/>
  <c r="N210" s="1"/>
  <c r="F210" s="1"/>
  <c r="Y210"/>
  <c r="A210" s="1"/>
  <c r="D210"/>
  <c r="X5"/>
  <c r="Y5" s="1"/>
  <c r="A5" s="1"/>
  <c r="X147"/>
  <c r="X86"/>
  <c r="L86" s="1"/>
  <c r="M86" s="1"/>
  <c r="N86" s="1"/>
  <c r="O86" s="1"/>
  <c r="X263"/>
  <c r="X114"/>
  <c r="X264"/>
  <c r="X239"/>
  <c r="X242"/>
  <c r="Y242" s="1"/>
  <c r="A242" s="1"/>
  <c r="Y270"/>
  <c r="A270" s="1"/>
  <c r="Y185"/>
  <c r="A185" s="1"/>
  <c r="X204"/>
  <c r="L204" s="1"/>
  <c r="M204" s="1"/>
  <c r="N204" s="1"/>
  <c r="L36"/>
  <c r="X113"/>
  <c r="L113" s="1"/>
  <c r="Y32"/>
  <c r="A32" s="1"/>
  <c r="X43"/>
  <c r="X278"/>
  <c r="Y278" s="1"/>
  <c r="A278" s="1"/>
  <c r="X136"/>
  <c r="X75"/>
  <c r="X13"/>
  <c r="X152"/>
  <c r="L152" s="1"/>
  <c r="X240"/>
  <c r="L240" s="1"/>
  <c r="M240" s="1"/>
  <c r="N240" s="1"/>
  <c r="X192"/>
  <c r="X85"/>
  <c r="L85" s="1"/>
  <c r="X140"/>
  <c r="L140" s="1"/>
  <c r="M140" s="1"/>
  <c r="N140" s="1"/>
  <c r="M156"/>
  <c r="N156" s="1"/>
  <c r="O156" s="1"/>
  <c r="P156" s="1"/>
  <c r="X139"/>
  <c r="Y99"/>
  <c r="A99" s="1"/>
  <c r="X186"/>
  <c r="X149"/>
  <c r="X251"/>
  <c r="L251" s="1"/>
  <c r="X228"/>
  <c r="L228" s="1"/>
  <c r="X104"/>
  <c r="L104" s="1"/>
  <c r="M104" s="1"/>
  <c r="X274"/>
  <c r="X197"/>
  <c r="X65"/>
  <c r="Y65" s="1"/>
  <c r="A65" s="1"/>
  <c r="M190"/>
  <c r="E190" s="1"/>
  <c r="Y174"/>
  <c r="A174" s="1"/>
  <c r="X174"/>
  <c r="L174" s="1"/>
  <c r="X215"/>
  <c r="Y215" s="1"/>
  <c r="A215" s="1"/>
  <c r="X258"/>
  <c r="Y258" s="1"/>
  <c r="A258" s="1"/>
  <c r="L270"/>
  <c r="M270" s="1"/>
  <c r="Y250"/>
  <c r="A250" s="1"/>
  <c r="D110"/>
  <c r="L278"/>
  <c r="X237"/>
  <c r="L237" s="1"/>
  <c r="X34"/>
  <c r="L34" s="1"/>
  <c r="X52"/>
  <c r="L52" s="1"/>
  <c r="B156"/>
  <c r="C156" s="1"/>
  <c r="X79"/>
  <c r="Y79" s="1"/>
  <c r="A79" s="1"/>
  <c r="X125"/>
  <c r="Y125" s="1"/>
  <c r="A125" s="1"/>
  <c r="X154"/>
  <c r="X144"/>
  <c r="L144" s="1"/>
  <c r="Y53"/>
  <c r="A53" s="1"/>
  <c r="X3"/>
  <c r="M123"/>
  <c r="N123" s="1"/>
  <c r="O123" s="1"/>
  <c r="P123" s="1"/>
  <c r="Y123"/>
  <c r="A123" s="1"/>
  <c r="D123"/>
  <c r="X69"/>
  <c r="L69" s="1"/>
  <c r="M69" s="1"/>
  <c r="N69" s="1"/>
  <c r="X150"/>
  <c r="Y150" s="1"/>
  <c r="A150" s="1"/>
  <c r="X260"/>
  <c r="Y148"/>
  <c r="A148" s="1"/>
  <c r="X221"/>
  <c r="Y221" s="1"/>
  <c r="A221" s="1"/>
  <c r="X62"/>
  <c r="X257"/>
  <c r="Y257" s="1"/>
  <c r="A257" s="1"/>
  <c r="X159"/>
  <c r="L159" s="1"/>
  <c r="M159" s="1"/>
  <c r="X30"/>
  <c r="X74"/>
  <c r="L74" s="1"/>
  <c r="B273"/>
  <c r="C273" s="1"/>
  <c r="X276"/>
  <c r="L276" s="1"/>
  <c r="M276" s="1"/>
  <c r="N276" s="1"/>
  <c r="O276" s="1"/>
  <c r="X230"/>
  <c r="X108"/>
  <c r="Y108" s="1"/>
  <c r="A108" s="1"/>
  <c r="X119"/>
  <c r="Y119" s="1"/>
  <c r="A119" s="1"/>
  <c r="Y267"/>
  <c r="A267" s="1"/>
  <c r="X50"/>
  <c r="L50" s="1"/>
  <c r="X58"/>
  <c r="Y58" s="1"/>
  <c r="A58" s="1"/>
  <c r="X77"/>
  <c r="Y77" s="1"/>
  <c r="A77" s="1"/>
  <c r="Y141"/>
  <c r="A141" s="1"/>
  <c r="Y268"/>
  <c r="A268" s="1"/>
  <c r="X268"/>
  <c r="Y81"/>
  <c r="A81" s="1"/>
  <c r="X133"/>
  <c r="Y133" s="1"/>
  <c r="A133" s="1"/>
  <c r="X48"/>
  <c r="L48" s="1"/>
  <c r="M48" s="1"/>
  <c r="X64"/>
  <c r="L64" s="1"/>
  <c r="X162"/>
  <c r="L162" s="1"/>
  <c r="D162" s="1"/>
  <c r="X137"/>
  <c r="L137" s="1"/>
  <c r="X199"/>
  <c r="L199" s="1"/>
  <c r="X106"/>
  <c r="L106" s="1"/>
  <c r="Y80"/>
  <c r="A80" s="1"/>
  <c r="X80"/>
  <c r="L80" s="1"/>
  <c r="M80" s="1"/>
  <c r="X16"/>
  <c r="Y16" s="1"/>
  <c r="A16" s="1"/>
  <c r="L16"/>
  <c r="M16" s="1"/>
  <c r="N16" s="1"/>
  <c r="Y10"/>
  <c r="A10" s="1"/>
  <c r="X10"/>
  <c r="L10" s="1"/>
  <c r="X255"/>
  <c r="Y255" s="1"/>
  <c r="A255" s="1"/>
  <c r="X157"/>
  <c r="L198"/>
  <c r="M198" s="1"/>
  <c r="X213"/>
  <c r="Y17"/>
  <c r="A17" s="1"/>
  <c r="Y110"/>
  <c r="A110" s="1"/>
  <c r="Y237"/>
  <c r="A237" s="1"/>
  <c r="L53"/>
  <c r="M53" s="1"/>
  <c r="N53" s="1"/>
  <c r="M171"/>
  <c r="N171" s="1"/>
  <c r="M97"/>
  <c r="E97" s="1"/>
  <c r="M223"/>
  <c r="E223" s="1"/>
  <c r="M39"/>
  <c r="N39" s="1"/>
  <c r="Y134"/>
  <c r="A134" s="1"/>
  <c r="L261"/>
  <c r="X105"/>
  <c r="X247"/>
  <c r="L247" s="1"/>
  <c r="M247" s="1"/>
  <c r="N247" s="1"/>
  <c r="O247" s="1"/>
  <c r="X243"/>
  <c r="L243" s="1"/>
  <c r="M243" s="1"/>
  <c r="E243" s="1"/>
  <c r="Y160"/>
  <c r="A160" s="1"/>
  <c r="L160"/>
  <c r="D160" s="1"/>
  <c r="X224"/>
  <c r="L224" s="1"/>
  <c r="D224" s="1"/>
  <c r="X42"/>
  <c r="Y42" s="1"/>
  <c r="A42" s="1"/>
  <c r="X29"/>
  <c r="X70"/>
  <c r="L246"/>
  <c r="X246"/>
  <c r="Y246" s="1"/>
  <c r="A246" s="1"/>
  <c r="X202"/>
  <c r="X167"/>
  <c r="L158"/>
  <c r="Y158"/>
  <c r="A158" s="1"/>
  <c r="L145"/>
  <c r="D145" s="1"/>
  <c r="X165"/>
  <c r="L165" s="1"/>
  <c r="M165" s="1"/>
  <c r="N165" s="1"/>
  <c r="X277"/>
  <c r="L277" s="1"/>
  <c r="M277" s="1"/>
  <c r="X212"/>
  <c r="Y212" s="1"/>
  <c r="A212" s="1"/>
  <c r="X233"/>
  <c r="Y233" s="1"/>
  <c r="A233" s="1"/>
  <c r="X265"/>
  <c r="Y67"/>
  <c r="A67" s="1"/>
  <c r="L73"/>
  <c r="D73" s="1"/>
  <c r="Y176"/>
  <c r="A176" s="1"/>
  <c r="L176"/>
  <c r="X121"/>
  <c r="L121" s="1"/>
  <c r="Y181"/>
  <c r="A181" s="1"/>
  <c r="X45"/>
  <c r="L9"/>
  <c r="D9" s="1"/>
  <c r="Y9"/>
  <c r="A9" s="1"/>
  <c r="X87"/>
  <c r="Y87" s="1"/>
  <c r="A87" s="1"/>
  <c r="X120"/>
  <c r="L120" s="1"/>
  <c r="M120" s="1"/>
  <c r="Y191"/>
  <c r="A191" s="1"/>
  <c r="L191"/>
  <c r="D191" s="1"/>
  <c r="D46"/>
  <c r="D56"/>
  <c r="Y56"/>
  <c r="A56" s="1"/>
  <c r="D187"/>
  <c r="Y187"/>
  <c r="A187" s="1"/>
  <c r="L173"/>
  <c r="Y173"/>
  <c r="A173" s="1"/>
  <c r="Y22"/>
  <c r="A22" s="1"/>
  <c r="L89"/>
  <c r="M89" s="1"/>
  <c r="N89" s="1"/>
  <c r="X38"/>
  <c r="X19"/>
  <c r="L20"/>
  <c r="M20" s="1"/>
  <c r="Y20"/>
  <c r="A20" s="1"/>
  <c r="L185"/>
  <c r="D185" s="1"/>
  <c r="X163"/>
  <c r="L225"/>
  <c r="M225" s="1"/>
  <c r="X225"/>
  <c r="Y225" s="1"/>
  <c r="A225" s="1"/>
  <c r="X153"/>
  <c r="L153" s="1"/>
  <c r="Y177"/>
  <c r="A177" s="1"/>
  <c r="X177"/>
  <c r="L27"/>
  <c r="D27" s="1"/>
  <c r="X27"/>
  <c r="Y27" s="1"/>
  <c r="A27" s="1"/>
  <c r="X217"/>
  <c r="L217" s="1"/>
  <c r="M217" s="1"/>
  <c r="X101"/>
  <c r="Y101" s="1"/>
  <c r="A101" s="1"/>
  <c r="L101"/>
  <c r="D101" s="1"/>
  <c r="X135"/>
  <c r="X84"/>
  <c r="Y84" s="1"/>
  <c r="A84" s="1"/>
  <c r="Y122"/>
  <c r="A122" s="1"/>
  <c r="L122"/>
  <c r="L252"/>
  <c r="M252" s="1"/>
  <c r="Y252"/>
  <c r="A252" s="1"/>
  <c r="X238"/>
  <c r="L238" s="1"/>
  <c r="X49"/>
  <c r="Y216"/>
  <c r="A216" s="1"/>
  <c r="L216"/>
  <c r="M216" s="1"/>
  <c r="N216" s="1"/>
  <c r="O216" s="1"/>
  <c r="X201"/>
  <c r="L202"/>
  <c r="L81"/>
  <c r="M81" s="1"/>
  <c r="X256"/>
  <c r="L256" s="1"/>
  <c r="M256" s="1"/>
  <c r="L32"/>
  <c r="D32" s="1"/>
  <c r="L99"/>
  <c r="L141"/>
  <c r="M141" s="1"/>
  <c r="L170"/>
  <c r="D170" s="1"/>
  <c r="L148"/>
  <c r="D148" s="1"/>
  <c r="L267"/>
  <c r="M267" s="1"/>
  <c r="L83"/>
  <c r="D83" s="1"/>
  <c r="L280"/>
  <c r="L181"/>
  <c r="D181" s="1"/>
  <c r="X68"/>
  <c r="Y68" s="1"/>
  <c r="A68" s="1"/>
  <c r="L55"/>
  <c r="D55" s="1"/>
  <c r="X55"/>
  <c r="Y55" s="1"/>
  <c r="A55" s="1"/>
  <c r="X72"/>
  <c r="L234"/>
  <c r="M234" s="1"/>
  <c r="X142"/>
  <c r="L142" s="1"/>
  <c r="X88"/>
  <c r="Y88" s="1"/>
  <c r="A88" s="1"/>
  <c r="Y37"/>
  <c r="A37" s="1"/>
  <c r="D37"/>
  <c r="Y54"/>
  <c r="A54" s="1"/>
  <c r="X28"/>
  <c r="L28" s="1"/>
  <c r="M28" s="1"/>
  <c r="D28"/>
  <c r="X31"/>
  <c r="L31" s="1"/>
  <c r="X6"/>
  <c r="L126"/>
  <c r="M126" s="1"/>
  <c r="N126" s="1"/>
  <c r="X126"/>
  <c r="Y126" s="1"/>
  <c r="A126" s="1"/>
  <c r="Y124"/>
  <c r="A124" s="1"/>
  <c r="X124"/>
  <c r="L124" s="1"/>
  <c r="M124" s="1"/>
  <c r="X155"/>
  <c r="X95"/>
  <c r="L95" s="1"/>
  <c r="Y164"/>
  <c r="A164" s="1"/>
  <c r="X164"/>
  <c r="L164" s="1"/>
  <c r="L111"/>
  <c r="Y111"/>
  <c r="A111" s="1"/>
  <c r="X111"/>
  <c r="X211"/>
  <c r="L211" s="1"/>
  <c r="M211" s="1"/>
  <c r="X44"/>
  <c r="X229"/>
  <c r="Y229" s="1"/>
  <c r="A229" s="1"/>
  <c r="X231"/>
  <c r="Y231" s="1"/>
  <c r="A231" s="1"/>
  <c r="L220"/>
  <c r="D220" s="1"/>
  <c r="Y220"/>
  <c r="A220" s="1"/>
  <c r="X8"/>
  <c r="L8" s="1"/>
  <c r="D8" s="1"/>
  <c r="B235"/>
  <c r="C235" s="1"/>
  <c r="L70"/>
  <c r="L11"/>
  <c r="D11" s="1"/>
  <c r="D129"/>
  <c r="L39"/>
  <c r="D39" s="1"/>
  <c r="D22"/>
  <c r="L205"/>
  <c r="M205" s="1"/>
  <c r="X78"/>
  <c r="Y78" s="1"/>
  <c r="A78" s="1"/>
  <c r="X47"/>
  <c r="L47" s="1"/>
  <c r="M47" s="1"/>
  <c r="B203"/>
  <c r="C203" s="1"/>
  <c r="M56"/>
  <c r="N56" s="1"/>
  <c r="M22"/>
  <c r="N22" s="1"/>
  <c r="O22" s="1"/>
  <c r="P22" s="1"/>
  <c r="X143"/>
  <c r="X241"/>
  <c r="L241" s="1"/>
  <c r="X169"/>
  <c r="X21"/>
  <c r="Y90"/>
  <c r="A90" s="1"/>
  <c r="M90"/>
  <c r="D90"/>
  <c r="X182"/>
  <c r="X281"/>
  <c r="Y281" s="1"/>
  <c r="A281" s="1"/>
  <c r="X57"/>
  <c r="L57" s="1"/>
  <c r="X12"/>
  <c r="Y12" s="1"/>
  <c r="A12" s="1"/>
  <c r="X175"/>
  <c r="Y175" s="1"/>
  <c r="A175" s="1"/>
  <c r="B71"/>
  <c r="C71" s="1"/>
  <c r="X102"/>
  <c r="Y102" s="1"/>
  <c r="A102" s="1"/>
  <c r="X266"/>
  <c r="L266" s="1"/>
  <c r="M266" s="1"/>
  <c r="Y146"/>
  <c r="A146" s="1"/>
  <c r="D171"/>
  <c r="Y171"/>
  <c r="A171" s="1"/>
  <c r="D97"/>
  <c r="N97"/>
  <c r="Y97"/>
  <c r="A97" s="1"/>
  <c r="D223"/>
  <c r="Y223"/>
  <c r="A223" s="1"/>
  <c r="Y11"/>
  <c r="A11" s="1"/>
  <c r="Y39"/>
  <c r="A39" s="1"/>
  <c r="L134"/>
  <c r="M134" s="1"/>
  <c r="N134" s="1"/>
  <c r="Y261"/>
  <c r="A261" s="1"/>
  <c r="X248"/>
  <c r="L248" s="1"/>
  <c r="L41"/>
  <c r="M41" s="1"/>
  <c r="Y41"/>
  <c r="A41" s="1"/>
  <c r="L232"/>
  <c r="D232" s="1"/>
  <c r="Y232"/>
  <c r="A232" s="1"/>
  <c r="L227"/>
  <c r="M227" s="1"/>
  <c r="Y227"/>
  <c r="A227" s="1"/>
  <c r="E82"/>
  <c r="X82"/>
  <c r="L82" s="1"/>
  <c r="M82" s="1"/>
  <c r="N82" s="1"/>
  <c r="X100"/>
  <c r="L100" s="1"/>
  <c r="X61"/>
  <c r="L61" s="1"/>
  <c r="D61" s="1"/>
  <c r="X98"/>
  <c r="Y98" s="1"/>
  <c r="A98" s="1"/>
  <c r="D190"/>
  <c r="L273"/>
  <c r="D273" s="1"/>
  <c r="Y190"/>
  <c r="A190" s="1"/>
  <c r="Y272"/>
  <c r="A272" s="1"/>
  <c r="L272"/>
  <c r="X205"/>
  <c r="Y205" s="1"/>
  <c r="A205" s="1"/>
  <c r="Y15"/>
  <c r="A15" s="1"/>
  <c r="L15"/>
  <c r="D15" s="1"/>
  <c r="X254"/>
  <c r="L254" s="1"/>
  <c r="Y89"/>
  <c r="A89" s="1"/>
  <c r="L107"/>
  <c r="Y107"/>
  <c r="A107" s="1"/>
  <c r="X23"/>
  <c r="L23" s="1"/>
  <c r="X51"/>
  <c r="L51" s="1"/>
  <c r="M51" s="1"/>
  <c r="D51"/>
  <c r="Y51"/>
  <c r="A51" s="1"/>
  <c r="X279"/>
  <c r="Y279" s="1"/>
  <c r="A279" s="1"/>
  <c r="Y128"/>
  <c r="A128" s="1"/>
  <c r="X33"/>
  <c r="L196"/>
  <c r="X196"/>
  <c r="Y196" s="1"/>
  <c r="A196" s="1"/>
  <c r="X168"/>
  <c r="Y168" s="1"/>
  <c r="A168" s="1"/>
  <c r="Y218"/>
  <c r="A218" s="1"/>
  <c r="L218"/>
  <c r="Y249"/>
  <c r="A249" s="1"/>
  <c r="L249"/>
  <c r="M249" s="1"/>
  <c r="N249" s="1"/>
  <c r="X200"/>
  <c r="X35"/>
  <c r="Y35" s="1"/>
  <c r="A35" s="1"/>
  <c r="X262"/>
  <c r="Y91"/>
  <c r="A91" s="1"/>
  <c r="L91"/>
  <c r="X2"/>
  <c r="Y2" s="1"/>
  <c r="A2" s="1"/>
  <c r="L271"/>
  <c r="D271" s="1"/>
  <c r="Y271"/>
  <c r="A271" s="1"/>
  <c r="X275"/>
  <c r="L275" s="1"/>
  <c r="X127"/>
  <c r="Y14"/>
  <c r="A14" s="1"/>
  <c r="L14"/>
  <c r="D14" s="1"/>
  <c r="X179"/>
  <c r="X244"/>
  <c r="Y244" s="1"/>
  <c r="A244" s="1"/>
  <c r="L128"/>
  <c r="D128" s="1"/>
  <c r="L206"/>
  <c r="X206"/>
  <c r="Y206" s="1"/>
  <c r="A206" s="1"/>
  <c r="L63"/>
  <c r="M4"/>
  <c r="Y4"/>
  <c r="A4" s="1"/>
  <c r="L4"/>
  <c r="D4" s="1"/>
  <c r="X18"/>
  <c r="Y18" s="1"/>
  <c r="A18" s="1"/>
  <c r="X26"/>
  <c r="X66"/>
  <c r="L66" s="1"/>
  <c r="X195"/>
  <c r="L59"/>
  <c r="L92"/>
  <c r="D92" s="1"/>
  <c r="L236"/>
  <c r="D236" s="1"/>
  <c r="Y236"/>
  <c r="A236" s="1"/>
  <c r="L245"/>
  <c r="Y245"/>
  <c r="A245" s="1"/>
  <c r="L259"/>
  <c r="D259" s="1"/>
  <c r="Y259"/>
  <c r="A259" s="1"/>
  <c r="L71"/>
  <c r="D71" s="1"/>
  <c r="X222"/>
  <c r="Y145"/>
  <c r="A145" s="1"/>
  <c r="X172"/>
  <c r="L172" s="1"/>
  <c r="M172" s="1"/>
  <c r="N172" s="1"/>
  <c r="Y59"/>
  <c r="A59" s="1"/>
  <c r="L194"/>
  <c r="M117"/>
  <c r="D117"/>
  <c r="X131"/>
  <c r="L131" s="1"/>
  <c r="L103"/>
  <c r="X103"/>
  <c r="Y103" s="1"/>
  <c r="A103" s="1"/>
  <c r="Y40"/>
  <c r="A40" s="1"/>
  <c r="L40"/>
  <c r="D40" s="1"/>
  <c r="D235"/>
  <c r="M46"/>
  <c r="L146"/>
  <c r="M146" s="1"/>
  <c r="L269"/>
  <c r="L116"/>
  <c r="L203"/>
  <c r="D203" s="1"/>
  <c r="L208"/>
  <c r="M208" s="1"/>
  <c r="D76"/>
  <c r="L118"/>
  <c r="L25"/>
  <c r="D25" s="1"/>
  <c r="L132"/>
  <c r="V267" i="1"/>
  <c r="W267" s="1"/>
  <c r="X267" s="1"/>
  <c r="V199"/>
  <c r="W199" s="1"/>
  <c r="X199" s="1"/>
  <c r="L199" s="1"/>
  <c r="V131"/>
  <c r="W131" s="1"/>
  <c r="X131" s="1"/>
  <c r="Y131" s="1"/>
  <c r="A131" s="1"/>
  <c r="V211"/>
  <c r="W211" s="1"/>
  <c r="X211" s="1"/>
  <c r="L211" s="1"/>
  <c r="W241"/>
  <c r="X241" s="1"/>
  <c r="V241"/>
  <c r="W14"/>
  <c r="X14" s="1"/>
  <c r="Y14" s="1"/>
  <c r="A14" s="1"/>
  <c r="V14"/>
  <c r="V24"/>
  <c r="W24" s="1"/>
  <c r="X24" s="1"/>
  <c r="V118"/>
  <c r="W118" s="1"/>
  <c r="X118" s="1"/>
  <c r="Y118" s="1"/>
  <c r="A118" s="1"/>
  <c r="V8"/>
  <c r="W8" s="1"/>
  <c r="X8" s="1"/>
  <c r="Y8" s="1"/>
  <c r="A8" s="1"/>
  <c r="V67"/>
  <c r="W67" s="1"/>
  <c r="X67" s="1"/>
  <c r="Y67" s="1"/>
  <c r="A67" s="1"/>
  <c r="V145"/>
  <c r="W145" s="1"/>
  <c r="X145" s="1"/>
  <c r="Y145" s="1"/>
  <c r="A145" s="1"/>
  <c r="W156"/>
  <c r="X156" s="1"/>
  <c r="Y156" s="1"/>
  <c r="A156" s="1"/>
  <c r="V156"/>
  <c r="V79"/>
  <c r="W79" s="1"/>
  <c r="X79" s="1"/>
  <c r="Y79" s="1"/>
  <c r="A79" s="1"/>
  <c r="V274"/>
  <c r="W274" s="1"/>
  <c r="X274" s="1"/>
  <c r="V168"/>
  <c r="W168" s="1"/>
  <c r="V27"/>
  <c r="W27" s="1"/>
  <c r="X27" s="1"/>
  <c r="Y27" s="1"/>
  <c r="A27" s="1"/>
  <c r="W157"/>
  <c r="X157" s="1"/>
  <c r="Y157" s="1"/>
  <c r="A157" s="1"/>
  <c r="V157"/>
  <c r="V37"/>
  <c r="W37" s="1"/>
  <c r="X37" s="1"/>
  <c r="Y37" s="1"/>
  <c r="A37" s="1"/>
  <c r="V215"/>
  <c r="W215" s="1"/>
  <c r="X215" s="1"/>
  <c r="Y215" s="1"/>
  <c r="A215" s="1"/>
  <c r="V56"/>
  <c r="W56" s="1"/>
  <c r="W237"/>
  <c r="X237" s="1"/>
  <c r="L237" s="1"/>
  <c r="M237" s="1"/>
  <c r="V237"/>
  <c r="V153"/>
  <c r="W153" s="1"/>
  <c r="X153" s="1"/>
  <c r="V142"/>
  <c r="W142" s="1"/>
  <c r="X142" s="1"/>
  <c r="V122"/>
  <c r="W122" s="1"/>
  <c r="X122" s="1"/>
  <c r="V232"/>
  <c r="W232" s="1"/>
  <c r="X232" s="1"/>
  <c r="Y232" s="1"/>
  <c r="A232" s="1"/>
  <c r="W228"/>
  <c r="X228" s="1"/>
  <c r="W47"/>
  <c r="W33"/>
  <c r="X33" s="1"/>
  <c r="Y33" s="1"/>
  <c r="A33" s="1"/>
  <c r="W216"/>
  <c r="X216" s="1"/>
  <c r="Y216" s="1"/>
  <c r="A216" s="1"/>
  <c r="V154"/>
  <c r="W154" s="1"/>
  <c r="X154" s="1"/>
  <c r="V230"/>
  <c r="W230" s="1"/>
  <c r="V151"/>
  <c r="W151" s="1"/>
  <c r="V206"/>
  <c r="W206" s="1"/>
  <c r="V176"/>
  <c r="W176" s="1"/>
  <c r="X176" s="1"/>
  <c r="V226"/>
  <c r="W226" s="1"/>
  <c r="X226" s="1"/>
  <c r="Y226" s="1"/>
  <c r="A226" s="1"/>
  <c r="V31"/>
  <c r="W31" s="1"/>
  <c r="X31" s="1"/>
  <c r="L31" s="1"/>
  <c r="V170"/>
  <c r="W170" s="1"/>
  <c r="X170" s="1"/>
  <c r="L170" s="1"/>
  <c r="M170" s="1"/>
  <c r="N170" s="1"/>
  <c r="V129"/>
  <c r="W129" s="1"/>
  <c r="X129" s="1"/>
  <c r="Y129" s="1"/>
  <c r="A129" s="1"/>
  <c r="V3"/>
  <c r="W3" s="1"/>
  <c r="X3" s="1"/>
  <c r="Y3" s="1"/>
  <c r="A3" s="1"/>
  <c r="V281"/>
  <c r="W281" s="1"/>
  <c r="X281" s="1"/>
  <c r="V185"/>
  <c r="W185" s="1"/>
  <c r="V262"/>
  <c r="W262" s="1"/>
  <c r="X262" s="1"/>
  <c r="V41"/>
  <c r="W41" s="1"/>
  <c r="X41" s="1"/>
  <c r="V10"/>
  <c r="W10" s="1"/>
  <c r="V271"/>
  <c r="W271" s="1"/>
  <c r="V177"/>
  <c r="W177" s="1"/>
  <c r="X177" s="1"/>
  <c r="V72"/>
  <c r="W72" s="1"/>
  <c r="X72" s="1"/>
  <c r="W249"/>
  <c r="X249" s="1"/>
  <c r="V249"/>
  <c r="V277"/>
  <c r="W277" s="1"/>
  <c r="V229"/>
  <c r="W229" s="1"/>
  <c r="X229" s="1"/>
  <c r="Y229" s="1"/>
  <c r="A229" s="1"/>
  <c r="W55"/>
  <c r="X55" s="1"/>
  <c r="Y55" s="1"/>
  <c r="A55" s="1"/>
  <c r="V6"/>
  <c r="W6" s="1"/>
  <c r="V273"/>
  <c r="W273" s="1"/>
  <c r="X273" s="1"/>
  <c r="W117"/>
  <c r="X117" s="1"/>
  <c r="W223"/>
  <c r="X223" s="1"/>
  <c r="W147"/>
  <c r="X147" s="1"/>
  <c r="Y147" s="1"/>
  <c r="A147" s="1"/>
  <c r="W236"/>
  <c r="V139"/>
  <c r="W139" s="1"/>
  <c r="X139" s="1"/>
  <c r="Y139" s="1"/>
  <c r="A139" s="1"/>
  <c r="V143"/>
  <c r="W143" s="1"/>
  <c r="X143" s="1"/>
  <c r="Y143" s="1"/>
  <c r="A143" s="1"/>
  <c r="V25"/>
  <c r="W25" s="1"/>
  <c r="X25" s="1"/>
  <c r="V4"/>
  <c r="W4" s="1"/>
  <c r="X4" s="1"/>
  <c r="V19"/>
  <c r="W19" s="1"/>
  <c r="X19" s="1"/>
  <c r="V113"/>
  <c r="W113" s="1"/>
  <c r="X113" s="1"/>
  <c r="V184"/>
  <c r="W184" s="1"/>
  <c r="X184" s="1"/>
  <c r="V111"/>
  <c r="W111" s="1"/>
  <c r="X111" s="1"/>
  <c r="Y111" s="1"/>
  <c r="A111" s="1"/>
  <c r="V276"/>
  <c r="W276" s="1"/>
  <c r="X276" s="1"/>
  <c r="V150"/>
  <c r="W150" s="1"/>
  <c r="X150" s="1"/>
  <c r="V180"/>
  <c r="W180" s="1"/>
  <c r="X180" s="1"/>
  <c r="W119"/>
  <c r="X119" s="1"/>
  <c r="Y119" s="1"/>
  <c r="A119" s="1"/>
  <c r="V119"/>
  <c r="V74"/>
  <c r="W74" s="1"/>
  <c r="X74" s="1"/>
  <c r="W238"/>
  <c r="X238" s="1"/>
  <c r="Y238" s="1"/>
  <c r="A238" s="1"/>
  <c r="V238"/>
  <c r="V16"/>
  <c r="W16" s="1"/>
  <c r="X16" s="1"/>
  <c r="Y16" s="1"/>
  <c r="A16" s="1"/>
  <c r="V252"/>
  <c r="W252" s="1"/>
  <c r="X252" s="1"/>
  <c r="Y252" s="1"/>
  <c r="A252" s="1"/>
  <c r="V53"/>
  <c r="W53" s="1"/>
  <c r="W66"/>
  <c r="X66" s="1"/>
  <c r="Y66" s="1"/>
  <c r="A66" s="1"/>
  <c r="V66"/>
  <c r="W38"/>
  <c r="X38" s="1"/>
  <c r="V38"/>
  <c r="V258"/>
  <c r="W258" s="1"/>
  <c r="X258" s="1"/>
  <c r="Y258" s="1"/>
  <c r="A258" s="1"/>
  <c r="W128"/>
  <c r="W52"/>
  <c r="W261"/>
  <c r="X261" s="1"/>
  <c r="V192"/>
  <c r="W192" s="1"/>
  <c r="X192" s="1"/>
  <c r="W108"/>
  <c r="X108" s="1"/>
  <c r="W87"/>
  <c r="X87" s="1"/>
  <c r="Y87" s="1"/>
  <c r="A87" s="1"/>
  <c r="W235"/>
  <c r="X235" s="1"/>
  <c r="W162"/>
  <c r="W239"/>
  <c r="W132"/>
  <c r="X132" s="1"/>
  <c r="Y132" s="1"/>
  <c r="A132" s="1"/>
  <c r="W107"/>
  <c r="X107" s="1"/>
  <c r="Y107" s="1"/>
  <c r="A107" s="1"/>
  <c r="W189"/>
  <c r="X189" s="1"/>
  <c r="Y189" s="1"/>
  <c r="A189" s="1"/>
  <c r="V20"/>
  <c r="W20" s="1"/>
  <c r="V244"/>
  <c r="W244" s="1"/>
  <c r="X244" s="1"/>
  <c r="Y244" s="1"/>
  <c r="A244" s="1"/>
  <c r="V93"/>
  <c r="W93" s="1"/>
  <c r="X93" s="1"/>
  <c r="V12"/>
  <c r="W12" s="1"/>
  <c r="X12" s="1"/>
  <c r="Y12" s="1"/>
  <c r="A12" s="1"/>
  <c r="V140"/>
  <c r="W140" s="1"/>
  <c r="V263"/>
  <c r="W263" s="1"/>
  <c r="V75"/>
  <c r="W75" s="1"/>
  <c r="W224"/>
  <c r="X224" s="1"/>
  <c r="V224"/>
  <c r="V2"/>
  <c r="W2" s="1"/>
  <c r="X2" s="1"/>
  <c r="V255"/>
  <c r="W255" s="1"/>
  <c r="V130"/>
  <c r="W130" s="1"/>
  <c r="X130" s="1"/>
  <c r="V173"/>
  <c r="W173" s="1"/>
  <c r="X173" s="1"/>
  <c r="V68"/>
  <c r="W68" s="1"/>
  <c r="X68" s="1"/>
  <c r="V160"/>
  <c r="W160" s="1"/>
  <c r="V257"/>
  <c r="W257" s="1"/>
  <c r="X257" s="1"/>
  <c r="W57"/>
  <c r="X57" s="1"/>
  <c r="V57"/>
  <c r="V270"/>
  <c r="W270" s="1"/>
  <c r="X270" s="1"/>
  <c r="Y270" s="1"/>
  <c r="A270" s="1"/>
  <c r="V181"/>
  <c r="W181" s="1"/>
  <c r="X181" s="1"/>
  <c r="V234"/>
  <c r="W234" s="1"/>
  <c r="X234" s="1"/>
  <c r="W121"/>
  <c r="V121"/>
  <c r="V58"/>
  <c r="W58" s="1"/>
  <c r="X58" s="1"/>
  <c r="V254"/>
  <c r="W254" s="1"/>
  <c r="X254" s="1"/>
  <c r="V89"/>
  <c r="W89" s="1"/>
  <c r="V197"/>
  <c r="W197" s="1"/>
  <c r="X197" s="1"/>
  <c r="V194"/>
  <c r="W194" s="1"/>
  <c r="X194" s="1"/>
  <c r="W15"/>
  <c r="W166"/>
  <c r="X166" s="1"/>
  <c r="W221"/>
  <c r="X221" s="1"/>
  <c r="L221" s="1"/>
  <c r="V265"/>
  <c r="W265" s="1"/>
  <c r="X265" s="1"/>
  <c r="Y265" s="1"/>
  <c r="A265" s="1"/>
  <c r="W34"/>
  <c r="X34" s="1"/>
  <c r="Y34" s="1"/>
  <c r="A34" s="1"/>
  <c r="V167"/>
  <c r="W167" s="1"/>
  <c r="X167" s="1"/>
  <c r="Y167" s="1"/>
  <c r="A167" s="1"/>
  <c r="V187"/>
  <c r="W187" s="1"/>
  <c r="X187" s="1"/>
  <c r="L187" s="1"/>
  <c r="W201"/>
  <c r="X201" s="1"/>
  <c r="W32"/>
  <c r="X32" s="1"/>
  <c r="W116"/>
  <c r="X116" s="1"/>
  <c r="W90"/>
  <c r="X90" s="1"/>
  <c r="Y90" s="1"/>
  <c r="A90" s="1"/>
  <c r="W178"/>
  <c r="X178" s="1"/>
  <c r="W48"/>
  <c r="X48" s="1"/>
  <c r="Y48" s="1"/>
  <c r="A48" s="1"/>
  <c r="V126"/>
  <c r="W126" s="1"/>
  <c r="X126" s="1"/>
  <c r="V205"/>
  <c r="W205" s="1"/>
  <c r="X205" s="1"/>
  <c r="Y205" s="1"/>
  <c r="A205" s="1"/>
  <c r="W260"/>
  <c r="X260" s="1"/>
  <c r="Y260" s="1"/>
  <c r="A260" s="1"/>
  <c r="W245"/>
  <c r="X245" s="1"/>
  <c r="Y245" s="1"/>
  <c r="A245" s="1"/>
  <c r="W179"/>
  <c r="X179" s="1"/>
  <c r="W148"/>
  <c r="X148" s="1"/>
  <c r="W59"/>
  <c r="X59" s="1"/>
  <c r="W83"/>
  <c r="X83" s="1"/>
  <c r="W279"/>
  <c r="X279" s="1"/>
  <c r="W174"/>
  <c r="X174" s="1"/>
  <c r="W82"/>
  <c r="X82" s="1"/>
  <c r="Y82" s="1"/>
  <c r="A82" s="1"/>
  <c r="W222"/>
  <c r="X222" s="1"/>
  <c r="W275"/>
  <c r="X275" s="1"/>
  <c r="W102"/>
  <c r="X102" s="1"/>
  <c r="W35"/>
  <c r="X35" s="1"/>
  <c r="L35" s="1"/>
  <c r="V88"/>
  <c r="W88" s="1"/>
  <c r="X88" s="1"/>
  <c r="V21"/>
  <c r="W21" s="1"/>
  <c r="X21" s="1"/>
  <c r="W13"/>
  <c r="X13" s="1"/>
  <c r="V152"/>
  <c r="W152" s="1"/>
  <c r="X152" s="1"/>
  <c r="V63"/>
  <c r="W63" s="1"/>
  <c r="X63" s="1"/>
  <c r="Y63" s="1"/>
  <c r="A63" s="1"/>
  <c r="V161"/>
  <c r="W161" s="1"/>
  <c r="V218"/>
  <c r="W218" s="1"/>
  <c r="V213"/>
  <c r="W213" s="1"/>
  <c r="X213" s="1"/>
  <c r="V193"/>
  <c r="W193" s="1"/>
  <c r="V231"/>
  <c r="W231" s="1"/>
  <c r="W84"/>
  <c r="X84" s="1"/>
  <c r="Y84" s="1"/>
  <c r="A84" s="1"/>
  <c r="W217"/>
  <c r="X217" s="1"/>
  <c r="Y217" s="1"/>
  <c r="A217" s="1"/>
  <c r="W247"/>
  <c r="X247" s="1"/>
  <c r="W85"/>
  <c r="X85" s="1"/>
  <c r="Y85" s="1"/>
  <c r="A85" s="1"/>
  <c r="W225"/>
  <c r="X225" s="1"/>
  <c r="W159"/>
  <c r="X159" s="1"/>
  <c r="W101"/>
  <c r="W158"/>
  <c r="X158" s="1"/>
  <c r="W186"/>
  <c r="X186" s="1"/>
  <c r="L186" s="1"/>
  <c r="M186" s="1"/>
  <c r="N186" s="1"/>
  <c r="W80"/>
  <c r="W54"/>
  <c r="X54" s="1"/>
  <c r="W51"/>
  <c r="X51" s="1"/>
  <c r="V61"/>
  <c r="W61" s="1"/>
  <c r="V106"/>
  <c r="W106" s="1"/>
  <c r="X106" s="1"/>
  <c r="V155"/>
  <c r="W155" s="1"/>
  <c r="X155" s="1"/>
  <c r="V109"/>
  <c r="W109" s="1"/>
  <c r="X109" s="1"/>
  <c r="V17"/>
  <c r="W17" s="1"/>
  <c r="V146"/>
  <c r="W146" s="1"/>
  <c r="X146" s="1"/>
  <c r="V202"/>
  <c r="W202" s="1"/>
  <c r="V114"/>
  <c r="W114" s="1"/>
  <c r="X114" s="1"/>
  <c r="V99"/>
  <c r="W99" s="1"/>
  <c r="V65"/>
  <c r="W65" s="1"/>
  <c r="W104"/>
  <c r="X104" s="1"/>
  <c r="Y104" s="1"/>
  <c r="A104" s="1"/>
  <c r="W134"/>
  <c r="W169"/>
  <c r="X169" s="1"/>
  <c r="W209"/>
  <c r="X209" s="1"/>
  <c r="W5"/>
  <c r="X5" s="1"/>
  <c r="Y5" s="1"/>
  <c r="A5" s="1"/>
  <c r="W50"/>
  <c r="X50" s="1"/>
  <c r="Y50" s="1"/>
  <c r="A50" s="1"/>
  <c r="W97"/>
  <c r="W164"/>
  <c r="X164" s="1"/>
  <c r="Y164" s="1"/>
  <c r="A164" s="1"/>
  <c r="W207"/>
  <c r="X207" s="1"/>
  <c r="Y207" s="1"/>
  <c r="A207" s="1"/>
  <c r="W100"/>
  <c r="X100" s="1"/>
  <c r="W219"/>
  <c r="W11"/>
  <c r="W112"/>
  <c r="X112" s="1"/>
  <c r="Y112" s="1"/>
  <c r="A112" s="1"/>
  <c r="W240"/>
  <c r="X240" s="1"/>
  <c r="Y240" s="1"/>
  <c r="A240" s="1"/>
  <c r="W7"/>
  <c r="W64"/>
  <c r="X64" s="1"/>
  <c r="Y64" s="1"/>
  <c r="A64" s="1"/>
  <c r="W250"/>
  <c r="X250" s="1"/>
  <c r="Y250" s="1"/>
  <c r="A250" s="1"/>
  <c r="W243"/>
  <c r="X243" s="1"/>
  <c r="Y243" s="1"/>
  <c r="A243" s="1"/>
  <c r="W70"/>
  <c r="W251"/>
  <c r="W133"/>
  <c r="X133" s="1"/>
  <c r="Y133" s="1"/>
  <c r="A133" s="1"/>
  <c r="W195"/>
  <c r="X195" s="1"/>
  <c r="Y195" s="1"/>
  <c r="A195" s="1"/>
  <c r="W127"/>
  <c r="X127" s="1"/>
  <c r="Y127" s="1"/>
  <c r="A127" s="1"/>
  <c r="W266"/>
  <c r="X266" s="1"/>
  <c r="Y266" s="1"/>
  <c r="A266" s="1"/>
  <c r="W233"/>
  <c r="W96"/>
  <c r="W46"/>
  <c r="W196"/>
  <c r="X196" s="1"/>
  <c r="Y196" s="1"/>
  <c r="A196" s="1"/>
  <c r="W62"/>
  <c r="X62" s="1"/>
  <c r="Y62" s="1"/>
  <c r="A62" s="1"/>
  <c r="W78"/>
  <c r="X78" s="1"/>
  <c r="L78" s="1"/>
  <c r="W198"/>
  <c r="X198" s="1"/>
  <c r="Y198" s="1"/>
  <c r="A198" s="1"/>
  <c r="W42"/>
  <c r="X42" s="1"/>
  <c r="Y42" s="1"/>
  <c r="A42" s="1"/>
  <c r="W248"/>
  <c r="X248" s="1"/>
  <c r="Y248" s="1"/>
  <c r="A248" s="1"/>
  <c r="W124"/>
  <c r="W44"/>
  <c r="W268"/>
  <c r="X268" s="1"/>
  <c r="Y268" s="1"/>
  <c r="A268" s="1"/>
  <c r="W69"/>
  <c r="X69" s="1"/>
  <c r="Y69" s="1"/>
  <c r="A69" s="1"/>
  <c r="W28"/>
  <c r="X28" s="1"/>
  <c r="W110"/>
  <c r="X110" s="1"/>
  <c r="Y110" s="1"/>
  <c r="A110" s="1"/>
  <c r="L82"/>
  <c r="M82" s="1"/>
  <c r="N82" s="1"/>
  <c r="W214"/>
  <c r="X214" s="1"/>
  <c r="Y214" s="1"/>
  <c r="A214" s="1"/>
  <c r="W256"/>
  <c r="X256" s="1"/>
  <c r="Y256" s="1"/>
  <c r="A256" s="1"/>
  <c r="W264"/>
  <c r="W120"/>
  <c r="X120" s="1"/>
  <c r="Y120" s="1"/>
  <c r="A120" s="1"/>
  <c r="W49"/>
  <c r="W141"/>
  <c r="W91"/>
  <c r="W259"/>
  <c r="W115"/>
  <c r="W220"/>
  <c r="W208"/>
  <c r="W188"/>
  <c r="W165"/>
  <c r="W182"/>
  <c r="W92"/>
  <c r="W43"/>
  <c r="X43" s="1"/>
  <c r="Y43" s="1"/>
  <c r="A43" s="1"/>
  <c r="W212"/>
  <c r="X212" s="1"/>
  <c r="Y212" s="1"/>
  <c r="A212" s="1"/>
  <c r="W94"/>
  <c r="X94" s="1"/>
  <c r="Y94" s="1"/>
  <c r="A94" s="1"/>
  <c r="W278"/>
  <c r="X278" s="1"/>
  <c r="Y278" s="1"/>
  <c r="A278" s="1"/>
  <c r="W190"/>
  <c r="W163"/>
  <c r="W171"/>
  <c r="X171" s="1"/>
  <c r="Y171" s="1"/>
  <c r="A171" s="1"/>
  <c r="W105"/>
  <c r="W95"/>
  <c r="W253"/>
  <c r="X253" s="1"/>
  <c r="Y253" s="1"/>
  <c r="A253" s="1"/>
  <c r="W125"/>
  <c r="X125" s="1"/>
  <c r="Y125" s="1"/>
  <c r="A125" s="1"/>
  <c r="W123"/>
  <c r="X123" s="1"/>
  <c r="Y123" s="1"/>
  <c r="A123" s="1"/>
  <c r="W210"/>
  <c r="X210" s="1"/>
  <c r="W81"/>
  <c r="X81" s="1"/>
  <c r="Y81" s="1"/>
  <c r="A81" s="1"/>
  <c r="W203"/>
  <c r="W39"/>
  <c r="W200"/>
  <c r="X200" s="1"/>
  <c r="L200" s="1"/>
  <c r="W29"/>
  <c r="X29" s="1"/>
  <c r="Y29" s="1"/>
  <c r="A29" s="1"/>
  <c r="W26"/>
  <c r="X26" s="1"/>
  <c r="Y26" s="1"/>
  <c r="A26" s="1"/>
  <c r="W136"/>
  <c r="X136" s="1"/>
  <c r="Y136" s="1"/>
  <c r="A136" s="1"/>
  <c r="W175"/>
  <c r="X175" s="1"/>
  <c r="W135"/>
  <c r="W242"/>
  <c r="W40"/>
  <c r="X40" s="1"/>
  <c r="Y40" s="1"/>
  <c r="A40" s="1"/>
  <c r="W98"/>
  <c r="W138"/>
  <c r="X138" s="1"/>
  <c r="Y138" s="1"/>
  <c r="A138" s="1"/>
  <c r="W269"/>
  <c r="X269" s="1"/>
  <c r="Y269" s="1"/>
  <c r="A269" s="1"/>
  <c r="W23"/>
  <c r="X23" s="1"/>
  <c r="Y23" s="1"/>
  <c r="A23" s="1"/>
  <c r="W149"/>
  <c r="X149" s="1"/>
  <c r="Y149" s="1"/>
  <c r="A149" s="1"/>
  <c r="W144"/>
  <c r="X144" s="1"/>
  <c r="Y144" s="1"/>
  <c r="A144" s="1"/>
  <c r="W103"/>
  <c r="X103" s="1"/>
  <c r="Y103" s="1"/>
  <c r="A103" s="1"/>
  <c r="W9"/>
  <c r="X9" s="1"/>
  <c r="Y9" s="1"/>
  <c r="A9" s="1"/>
  <c r="W73"/>
  <c r="W227"/>
  <c r="X227" s="1"/>
  <c r="Y227" s="1"/>
  <c r="A227" s="1"/>
  <c r="W86"/>
  <c r="X86" s="1"/>
  <c r="W280"/>
  <c r="X280" s="1"/>
  <c r="Y280" s="1"/>
  <c r="A280" s="1"/>
  <c r="W172"/>
  <c r="X172" s="1"/>
  <c r="W137"/>
  <c r="X137" s="1"/>
  <c r="Y137" s="1"/>
  <c r="A137" s="1"/>
  <c r="W45"/>
  <c r="X45" s="1"/>
  <c r="Y45" s="1"/>
  <c r="A45" s="1"/>
  <c r="W191"/>
  <c r="W76"/>
  <c r="W30"/>
  <c r="X30" s="1"/>
  <c r="Y30" s="1"/>
  <c r="A30" s="1"/>
  <c r="W71"/>
  <c r="W77"/>
  <c r="W22"/>
  <c r="W183"/>
  <c r="W60"/>
  <c r="W18"/>
  <c r="W246"/>
  <c r="X246" s="1"/>
  <c r="Y246" s="1"/>
  <c r="A246" s="1"/>
  <c r="X264"/>
  <c r="Y264" s="1"/>
  <c r="A264" s="1"/>
  <c r="X135"/>
  <c r="Y135" s="1"/>
  <c r="A135" s="1"/>
  <c r="X162"/>
  <c r="X80"/>
  <c r="X101"/>
  <c r="X44"/>
  <c r="Y44" s="1"/>
  <c r="A44" s="1"/>
  <c r="X220"/>
  <c r="Y220" s="1"/>
  <c r="A220" s="1"/>
  <c r="X36"/>
  <c r="X272"/>
  <c r="X204"/>
  <c r="Y204" s="1"/>
  <c r="A204" s="1"/>
  <c r="Y148"/>
  <c r="A148" s="1"/>
  <c r="F200" i="4"/>
  <c r="G200" s="1"/>
  <c r="E200"/>
  <c r="E244"/>
  <c r="F244" s="1"/>
  <c r="G244" s="1"/>
  <c r="F156"/>
  <c r="G156" s="1"/>
  <c r="E156"/>
  <c r="E140"/>
  <c r="F140" s="1"/>
  <c r="G140" s="1"/>
  <c r="F245"/>
  <c r="G245" s="1"/>
  <c r="F248"/>
  <c r="G248" s="1"/>
  <c r="E248"/>
  <c r="F188"/>
  <c r="G188" s="1"/>
  <c r="E188"/>
  <c r="F144"/>
  <c r="G144" s="1"/>
  <c r="E144"/>
  <c r="E192"/>
  <c r="F192" s="1"/>
  <c r="G192" s="1"/>
  <c r="F204"/>
  <c r="G204" s="1"/>
  <c r="E204"/>
  <c r="F172"/>
  <c r="G172" s="1"/>
  <c r="E172"/>
  <c r="F180"/>
  <c r="G180" s="1"/>
  <c r="E180"/>
  <c r="E252"/>
  <c r="F252" s="1"/>
  <c r="G252" s="1"/>
  <c r="F176"/>
  <c r="G176" s="1"/>
  <c r="E176"/>
  <c r="F160"/>
  <c r="G160" s="1"/>
  <c r="E160"/>
  <c r="F148"/>
  <c r="G148" s="1"/>
  <c r="E148"/>
  <c r="F132"/>
  <c r="G132" s="1"/>
  <c r="E132"/>
  <c r="E120"/>
  <c r="F120" s="1"/>
  <c r="G120" s="1"/>
  <c r="E101"/>
  <c r="F101" s="1"/>
  <c r="G101" s="1"/>
  <c r="F94"/>
  <c r="G94" s="1"/>
  <c r="E94"/>
  <c r="F88"/>
  <c r="G88" s="1"/>
  <c r="E88"/>
  <c r="E75"/>
  <c r="F75"/>
  <c r="G75" s="1"/>
  <c r="F228"/>
  <c r="G228" s="1"/>
  <c r="E228"/>
  <c r="F212"/>
  <c r="G212" s="1"/>
  <c r="E212"/>
  <c r="F202"/>
  <c r="G202" s="1"/>
  <c r="E202"/>
  <c r="E183"/>
  <c r="F183" s="1"/>
  <c r="G183" s="1"/>
  <c r="F178"/>
  <c r="G178" s="1"/>
  <c r="E178"/>
  <c r="F151"/>
  <c r="G151" s="1"/>
  <c r="E151"/>
  <c r="F146"/>
  <c r="G146" s="1"/>
  <c r="E146"/>
  <c r="E126"/>
  <c r="F126" s="1"/>
  <c r="G126" s="1"/>
  <c r="E121"/>
  <c r="F121" s="1"/>
  <c r="G121" s="1"/>
  <c r="F114"/>
  <c r="G114" s="1"/>
  <c r="E114"/>
  <c r="F108"/>
  <c r="G108" s="1"/>
  <c r="E108"/>
  <c r="E95"/>
  <c r="F95"/>
  <c r="G95" s="1"/>
  <c r="E89"/>
  <c r="F89" s="1"/>
  <c r="G89" s="1"/>
  <c r="F82"/>
  <c r="G82" s="1"/>
  <c r="E82"/>
  <c r="F76"/>
  <c r="G76" s="1"/>
  <c r="E76"/>
  <c r="E238"/>
  <c r="F238" s="1"/>
  <c r="G238" s="1"/>
  <c r="F222"/>
  <c r="G222" s="1"/>
  <c r="E222"/>
  <c r="F206"/>
  <c r="G206" s="1"/>
  <c r="E206"/>
  <c r="F179"/>
  <c r="G179" s="1"/>
  <c r="E179"/>
  <c r="E174"/>
  <c r="F174" s="1"/>
  <c r="G174" s="1"/>
  <c r="F147"/>
  <c r="G147" s="1"/>
  <c r="E147"/>
  <c r="F142"/>
  <c r="G142" s="1"/>
  <c r="E142"/>
  <c r="F127"/>
  <c r="G127" s="1"/>
  <c r="E127"/>
  <c r="E115"/>
  <c r="F115"/>
  <c r="G115" s="1"/>
  <c r="E109"/>
  <c r="F109" s="1"/>
  <c r="G109" s="1"/>
  <c r="E102"/>
  <c r="F102" s="1"/>
  <c r="G102" s="1"/>
  <c r="F96"/>
  <c r="G96" s="1"/>
  <c r="E96"/>
  <c r="E83"/>
  <c r="F83"/>
  <c r="G83" s="1"/>
  <c r="E77"/>
  <c r="F77" s="1"/>
  <c r="G77" s="1"/>
  <c r="F219"/>
  <c r="G219" s="1"/>
  <c r="F169"/>
  <c r="G169" s="1"/>
  <c r="F137"/>
  <c r="G137" s="1"/>
  <c r="E255"/>
  <c r="F255" s="1"/>
  <c r="G255" s="1"/>
  <c r="E247"/>
  <c r="F247" s="1"/>
  <c r="G247" s="1"/>
  <c r="F241"/>
  <c r="G241" s="1"/>
  <c r="E235"/>
  <c r="F235" s="1"/>
  <c r="G235" s="1"/>
  <c r="F225"/>
  <c r="G225" s="1"/>
  <c r="E219"/>
  <c r="F209"/>
  <c r="G209" s="1"/>
  <c r="F203"/>
  <c r="G203" s="1"/>
  <c r="E199"/>
  <c r="F199" s="1"/>
  <c r="G199" s="1"/>
  <c r="F165"/>
  <c r="G165" s="1"/>
  <c r="F133"/>
  <c r="G133" s="1"/>
  <c r="F218"/>
  <c r="G218" s="1"/>
  <c r="E218"/>
  <c r="E198"/>
  <c r="F198" s="1"/>
  <c r="G198" s="1"/>
  <c r="F164"/>
  <c r="G164" s="1"/>
  <c r="E164"/>
  <c r="E250"/>
  <c r="F250" s="1"/>
  <c r="G250" s="1"/>
  <c r="F232"/>
  <c r="G232" s="1"/>
  <c r="E232"/>
  <c r="E128"/>
  <c r="F128" s="1"/>
  <c r="G128" s="1"/>
  <c r="F116"/>
  <c r="G116" s="1"/>
  <c r="E116"/>
  <c r="E97"/>
  <c r="F97"/>
  <c r="G97" s="1"/>
  <c r="F210"/>
  <c r="G210" s="1"/>
  <c r="E210"/>
  <c r="E129"/>
  <c r="F129"/>
  <c r="G129" s="1"/>
  <c r="E117"/>
  <c r="F117" s="1"/>
  <c r="G117" s="1"/>
  <c r="E110"/>
  <c r="F110" s="1"/>
  <c r="G110" s="1"/>
  <c r="E85"/>
  <c r="F85" s="1"/>
  <c r="G85" s="1"/>
  <c r="E220"/>
  <c r="F220" s="1"/>
  <c r="G220" s="1"/>
  <c r="F167"/>
  <c r="G167" s="1"/>
  <c r="E167"/>
  <c r="E162"/>
  <c r="F162" s="1"/>
  <c r="G162" s="1"/>
  <c r="F135"/>
  <c r="G135" s="1"/>
  <c r="E135"/>
  <c r="E124"/>
  <c r="F124" s="1"/>
  <c r="G124" s="1"/>
  <c r="F111"/>
  <c r="G111" s="1"/>
  <c r="E111"/>
  <c r="E105"/>
  <c r="F105"/>
  <c r="G105" s="1"/>
  <c r="F98"/>
  <c r="G98" s="1"/>
  <c r="E98"/>
  <c r="E92"/>
  <c r="F92" s="1"/>
  <c r="G92" s="1"/>
  <c r="F79"/>
  <c r="G79" s="1"/>
  <c r="E79"/>
  <c r="E253"/>
  <c r="F253" s="1"/>
  <c r="G253" s="1"/>
  <c r="E245"/>
  <c r="F189"/>
  <c r="G189" s="1"/>
  <c r="F251"/>
  <c r="G251" s="1"/>
  <c r="F211"/>
  <c r="G211" s="1"/>
  <c r="F193"/>
  <c r="G193" s="1"/>
  <c r="F185"/>
  <c r="G185" s="1"/>
  <c r="F153"/>
  <c r="G153" s="1"/>
  <c r="E187"/>
  <c r="F187" s="1"/>
  <c r="G187" s="1"/>
  <c r="F155"/>
  <c r="G155" s="1"/>
  <c r="E155"/>
  <c r="E107"/>
  <c r="F107" s="1"/>
  <c r="G107" s="1"/>
  <c r="E216"/>
  <c r="F216" s="1"/>
  <c r="G216" s="1"/>
  <c r="E196"/>
  <c r="F196" s="1"/>
  <c r="G196" s="1"/>
  <c r="F184"/>
  <c r="G184" s="1"/>
  <c r="E184"/>
  <c r="F170"/>
  <c r="G170" s="1"/>
  <c r="E170"/>
  <c r="E143"/>
  <c r="F143" s="1"/>
  <c r="G143" s="1"/>
  <c r="E103"/>
  <c r="F103" s="1"/>
  <c r="G103" s="1"/>
  <c r="F90"/>
  <c r="G90" s="1"/>
  <c r="E90"/>
  <c r="F242"/>
  <c r="G242" s="1"/>
  <c r="E242"/>
  <c r="E166"/>
  <c r="F166" s="1"/>
  <c r="G166" s="1"/>
  <c r="E139"/>
  <c r="F139" s="1"/>
  <c r="G139" s="1"/>
  <c r="F134"/>
  <c r="G134" s="1"/>
  <c r="E134"/>
  <c r="E123"/>
  <c r="F123" s="1"/>
  <c r="G123" s="1"/>
  <c r="E104"/>
  <c r="F104" s="1"/>
  <c r="G104" s="1"/>
  <c r="E91"/>
  <c r="F91" s="1"/>
  <c r="G91" s="1"/>
  <c r="F78"/>
  <c r="G78" s="1"/>
  <c r="E78"/>
  <c r="F236"/>
  <c r="G236" s="1"/>
  <c r="E236"/>
  <c r="E230"/>
  <c r="F230" s="1"/>
  <c r="G230" s="1"/>
  <c r="E214"/>
  <c r="F214" s="1"/>
  <c r="G214" s="1"/>
  <c r="F190"/>
  <c r="G190" s="1"/>
  <c r="E190"/>
  <c r="F163"/>
  <c r="G163" s="1"/>
  <c r="E163"/>
  <c r="E158"/>
  <c r="F158" s="1"/>
  <c r="G158" s="1"/>
  <c r="E130"/>
  <c r="F130" s="1"/>
  <c r="G130" s="1"/>
  <c r="F118"/>
  <c r="G118" s="1"/>
  <c r="E118"/>
  <c r="F112"/>
  <c r="G112" s="1"/>
  <c r="E112"/>
  <c r="E99"/>
  <c r="F99" s="1"/>
  <c r="G99" s="1"/>
  <c r="E93"/>
  <c r="F93"/>
  <c r="G93" s="1"/>
  <c r="F86"/>
  <c r="G86" s="1"/>
  <c r="E86"/>
  <c r="F80"/>
  <c r="G80" s="1"/>
  <c r="E80"/>
  <c r="E239"/>
  <c r="F239" s="1"/>
  <c r="G239" s="1"/>
  <c r="F229"/>
  <c r="G229" s="1"/>
  <c r="E223"/>
  <c r="F223" s="1"/>
  <c r="G223" s="1"/>
  <c r="F213"/>
  <c r="G213" s="1"/>
  <c r="F157"/>
  <c r="G157" s="1"/>
  <c r="F243"/>
  <c r="G243" s="1"/>
  <c r="E251"/>
  <c r="E243"/>
  <c r="F233"/>
  <c r="G233" s="1"/>
  <c r="E227"/>
  <c r="F227" s="1"/>
  <c r="G227" s="1"/>
  <c r="F217"/>
  <c r="G217" s="1"/>
  <c r="E211"/>
  <c r="F197"/>
  <c r="G197" s="1"/>
  <c r="F234"/>
  <c r="G234" s="1"/>
  <c r="E234"/>
  <c r="E182"/>
  <c r="F182" s="1"/>
  <c r="G182" s="1"/>
  <c r="F150"/>
  <c r="G150" s="1"/>
  <c r="E150"/>
  <c r="E175"/>
  <c r="F175" s="1"/>
  <c r="G175" s="1"/>
  <c r="F152"/>
  <c r="G152" s="1"/>
  <c r="E152"/>
  <c r="E138"/>
  <c r="F138" s="1"/>
  <c r="G138" s="1"/>
  <c r="F122"/>
  <c r="G122" s="1"/>
  <c r="E122"/>
  <c r="E84"/>
  <c r="F84" s="1"/>
  <c r="G84" s="1"/>
  <c r="F226"/>
  <c r="G226" s="1"/>
  <c r="E226"/>
  <c r="E171"/>
  <c r="F171" s="1"/>
  <c r="G171" s="1"/>
  <c r="F254"/>
  <c r="G254" s="1"/>
  <c r="E254"/>
  <c r="E246"/>
  <c r="F246" s="1"/>
  <c r="G246" s="1"/>
  <c r="F240"/>
  <c r="G240" s="1"/>
  <c r="E240"/>
  <c r="E224"/>
  <c r="F224" s="1"/>
  <c r="G224" s="1"/>
  <c r="F208"/>
  <c r="G208" s="1"/>
  <c r="E208"/>
  <c r="E194"/>
  <c r="F194" s="1"/>
  <c r="G194" s="1"/>
  <c r="F186"/>
  <c r="G186" s="1"/>
  <c r="E186"/>
  <c r="E168"/>
  <c r="F168" s="1"/>
  <c r="G168" s="1"/>
  <c r="F159"/>
  <c r="G159" s="1"/>
  <c r="E159"/>
  <c r="E154"/>
  <c r="F154" s="1"/>
  <c r="G154" s="1"/>
  <c r="F136"/>
  <c r="G136" s="1"/>
  <c r="E136"/>
  <c r="E131"/>
  <c r="F131" s="1"/>
  <c r="G131" s="1"/>
  <c r="E125"/>
  <c r="F125" s="1"/>
  <c r="G125" s="1"/>
  <c r="E119"/>
  <c r="F119" s="1"/>
  <c r="G119" s="1"/>
  <c r="E113"/>
  <c r="F113" s="1"/>
  <c r="G113" s="1"/>
  <c r="E106"/>
  <c r="F106" s="1"/>
  <c r="G106" s="1"/>
  <c r="F100"/>
  <c r="G100" s="1"/>
  <c r="E100"/>
  <c r="E87"/>
  <c r="F87"/>
  <c r="G87" s="1"/>
  <c r="E81"/>
  <c r="F81" s="1"/>
  <c r="G81" s="1"/>
  <c r="F195"/>
  <c r="G195" s="1"/>
  <c r="E207"/>
  <c r="F207" s="1"/>
  <c r="G207" s="1"/>
  <c r="F231"/>
  <c r="G231" s="1"/>
  <c r="F215"/>
  <c r="G215" s="1"/>
  <c r="F191"/>
  <c r="G191" s="1"/>
  <c r="F28"/>
  <c r="G28" s="1"/>
  <c r="E28"/>
  <c r="E17"/>
  <c r="F17"/>
  <c r="G17" s="1"/>
  <c r="F52"/>
  <c r="G52" s="1"/>
  <c r="E52"/>
  <c r="E24"/>
  <c r="F24" s="1"/>
  <c r="G24" s="1"/>
  <c r="F13"/>
  <c r="G13" s="1"/>
  <c r="E13"/>
  <c r="E44"/>
  <c r="F44" s="1"/>
  <c r="G44" s="1"/>
  <c r="E5"/>
  <c r="F5" s="1"/>
  <c r="G5" s="1"/>
  <c r="E4"/>
  <c r="F4" s="1"/>
  <c r="G4" s="1"/>
  <c r="E56"/>
  <c r="F56" s="1"/>
  <c r="G56" s="1"/>
  <c r="E60"/>
  <c r="F60" s="1"/>
  <c r="G60" s="1"/>
  <c r="E32"/>
  <c r="F32" s="1"/>
  <c r="G32" s="1"/>
  <c r="E25"/>
  <c r="F25" s="1"/>
  <c r="G25" s="1"/>
  <c r="E36"/>
  <c r="F36" s="1"/>
  <c r="G36" s="1"/>
  <c r="F48"/>
  <c r="G48" s="1"/>
  <c r="E48"/>
  <c r="E68"/>
  <c r="F68" s="1"/>
  <c r="G68" s="1"/>
  <c r="E1"/>
  <c r="F1" s="1"/>
  <c r="G1" s="1"/>
  <c r="E12"/>
  <c r="F12" s="1"/>
  <c r="G12" s="1"/>
  <c r="E21"/>
  <c r="F21" s="1"/>
  <c r="G21" s="1"/>
  <c r="E16"/>
  <c r="F16" s="1"/>
  <c r="G16" s="1"/>
  <c r="E9"/>
  <c r="F9" s="1"/>
  <c r="G9" s="1"/>
  <c r="E20"/>
  <c r="F20" s="1"/>
  <c r="G20" s="1"/>
  <c r="E64"/>
  <c r="F64" s="1"/>
  <c r="G64" s="1"/>
  <c r="E50"/>
  <c r="F50" s="1"/>
  <c r="G50" s="1"/>
  <c r="E61"/>
  <c r="F61" s="1"/>
  <c r="G61" s="1"/>
  <c r="E26"/>
  <c r="F26" s="1"/>
  <c r="G26" s="1"/>
  <c r="E38"/>
  <c r="F38" s="1"/>
  <c r="G38" s="1"/>
  <c r="E49"/>
  <c r="F49" s="1"/>
  <c r="G49" s="1"/>
  <c r="E70"/>
  <c r="F70" s="1"/>
  <c r="G70" s="1"/>
  <c r="E37"/>
  <c r="F37" s="1"/>
  <c r="G37" s="1"/>
  <c r="E58"/>
  <c r="F58" s="1"/>
  <c r="G58" s="1"/>
  <c r="E69"/>
  <c r="F69" s="1"/>
  <c r="G69" s="1"/>
  <c r="F67"/>
  <c r="G67" s="1"/>
  <c r="E22"/>
  <c r="F22" s="1"/>
  <c r="G22" s="1"/>
  <c r="E46"/>
  <c r="F46"/>
  <c r="G46" s="1"/>
  <c r="E10"/>
  <c r="F10" s="1"/>
  <c r="G10" s="1"/>
  <c r="E33"/>
  <c r="F33" s="1"/>
  <c r="G33" s="1"/>
  <c r="E54"/>
  <c r="F54" s="1"/>
  <c r="G54" s="1"/>
  <c r="E65"/>
  <c r="F65"/>
  <c r="G65" s="1"/>
  <c r="E74"/>
  <c r="F74" s="1"/>
  <c r="G74" s="1"/>
  <c r="E57"/>
  <c r="F57" s="1"/>
  <c r="G57" s="1"/>
  <c r="E66"/>
  <c r="F66" s="1"/>
  <c r="G66" s="1"/>
  <c r="E30"/>
  <c r="F30" s="1"/>
  <c r="G30" s="1"/>
  <c r="E42"/>
  <c r="F42" s="1"/>
  <c r="G42" s="1"/>
  <c r="F53"/>
  <c r="G53" s="1"/>
  <c r="E53"/>
  <c r="F2"/>
  <c r="G2" s="1"/>
  <c r="E2"/>
  <c r="E6"/>
  <c r="F6" s="1"/>
  <c r="G6" s="1"/>
  <c r="E34"/>
  <c r="F34" s="1"/>
  <c r="G34" s="1"/>
  <c r="E45"/>
  <c r="F45" s="1"/>
  <c r="G45" s="1"/>
  <c r="E14"/>
  <c r="F14" s="1"/>
  <c r="G14" s="1"/>
  <c r="E18"/>
  <c r="F18" s="1"/>
  <c r="G18" s="1"/>
  <c r="E29"/>
  <c r="F29" s="1"/>
  <c r="G29" s="1"/>
  <c r="E41"/>
  <c r="F41" s="1"/>
  <c r="G41" s="1"/>
  <c r="E62"/>
  <c r="F62" s="1"/>
  <c r="G62" s="1"/>
  <c r="E73"/>
  <c r="F73" s="1"/>
  <c r="G73" s="1"/>
  <c r="F27"/>
  <c r="G27" s="1"/>
  <c r="F7"/>
  <c r="G7" s="1"/>
  <c r="F19"/>
  <c r="G19" s="1"/>
  <c r="F23"/>
  <c r="G23" s="1"/>
  <c r="F35"/>
  <c r="G35" s="1"/>
  <c r="F39"/>
  <c r="G39" s="1"/>
  <c r="E3"/>
  <c r="F3" s="1"/>
  <c r="G3" s="1"/>
  <c r="E11"/>
  <c r="F11" s="1"/>
  <c r="G11" s="1"/>
  <c r="E15"/>
  <c r="F15" s="1"/>
  <c r="G15" s="1"/>
  <c r="E27"/>
  <c r="E31"/>
  <c r="F31" s="1"/>
  <c r="G31" s="1"/>
  <c r="E43"/>
  <c r="F43" s="1"/>
  <c r="G43" s="1"/>
  <c r="E47"/>
  <c r="F47" s="1"/>
  <c r="G47" s="1"/>
  <c r="E51"/>
  <c r="F51" s="1"/>
  <c r="G51" s="1"/>
  <c r="E55"/>
  <c r="F55" s="1"/>
  <c r="G55" s="1"/>
  <c r="E59"/>
  <c r="F59" s="1"/>
  <c r="G59" s="1"/>
  <c r="E63"/>
  <c r="F63" s="1"/>
  <c r="G63" s="1"/>
  <c r="E67"/>
  <c r="E71"/>
  <c r="F71" s="1"/>
  <c r="G71" s="1"/>
  <c r="X128" i="1"/>
  <c r="Y128" s="1"/>
  <c r="A128" s="1"/>
  <c r="X15"/>
  <c r="Y15" s="1"/>
  <c r="A15" s="1"/>
  <c r="X52"/>
  <c r="Y52" s="1"/>
  <c r="A52" s="1"/>
  <c r="D301" l="1"/>
  <c r="M301"/>
  <c r="E301" s="1"/>
  <c r="B283"/>
  <c r="C283" s="1"/>
  <c r="B292"/>
  <c r="C292" s="1"/>
  <c r="M289"/>
  <c r="E289" s="1"/>
  <c r="D298"/>
  <c r="B300"/>
  <c r="C300" s="1"/>
  <c r="D288"/>
  <c r="M288"/>
  <c r="N288" s="1"/>
  <c r="B295"/>
  <c r="C295" s="1"/>
  <c r="B299"/>
  <c r="C299" s="1"/>
  <c r="D284"/>
  <c r="M284"/>
  <c r="D296"/>
  <c r="E296"/>
  <c r="M296"/>
  <c r="M282"/>
  <c r="N282" s="1"/>
  <c r="F282" s="1"/>
  <c r="D282"/>
  <c r="D294"/>
  <c r="E294"/>
  <c r="M294"/>
  <c r="B291"/>
  <c r="C291" s="1"/>
  <c r="B282"/>
  <c r="C282" s="1"/>
  <c r="B290"/>
  <c r="C290" s="1"/>
  <c r="B284"/>
  <c r="C284" s="1"/>
  <c r="B296"/>
  <c r="C296" s="1"/>
  <c r="N291"/>
  <c r="M299"/>
  <c r="N299" s="1"/>
  <c r="F299" s="1"/>
  <c r="Y301"/>
  <c r="A301" s="1"/>
  <c r="D293"/>
  <c r="L300"/>
  <c r="L298"/>
  <c r="Y297"/>
  <c r="A297" s="1"/>
  <c r="B286"/>
  <c r="C286" s="1"/>
  <c r="B293"/>
  <c r="C293" s="1"/>
  <c r="B294"/>
  <c r="C294" s="1"/>
  <c r="B287"/>
  <c r="C287" s="1"/>
  <c r="M290"/>
  <c r="L297"/>
  <c r="M297" s="1"/>
  <c r="N297" s="1"/>
  <c r="E287"/>
  <c r="E290"/>
  <c r="D289"/>
  <c r="F291"/>
  <c r="L292"/>
  <c r="Y285"/>
  <c r="A285" s="1"/>
  <c r="B288"/>
  <c r="C288" s="1"/>
  <c r="B298"/>
  <c r="C298" s="1"/>
  <c r="E283"/>
  <c r="M287"/>
  <c r="N287" s="1"/>
  <c r="F287" s="1"/>
  <c r="M283"/>
  <c r="N283" s="1"/>
  <c r="B289"/>
  <c r="C289" s="1"/>
  <c r="D286"/>
  <c r="D285"/>
  <c r="O295"/>
  <c r="O291"/>
  <c r="G291" s="1"/>
  <c r="G287"/>
  <c r="O287"/>
  <c r="N294"/>
  <c r="F294" s="1"/>
  <c r="F295"/>
  <c r="F286"/>
  <c r="N286"/>
  <c r="O283"/>
  <c r="G283" s="1"/>
  <c r="N293"/>
  <c r="F293" s="1"/>
  <c r="F283"/>
  <c r="N285"/>
  <c r="G288"/>
  <c r="O288"/>
  <c r="N301"/>
  <c r="F301" s="1"/>
  <c r="N290"/>
  <c r="F289"/>
  <c r="N289"/>
  <c r="F288"/>
  <c r="L148"/>
  <c r="D148" s="1"/>
  <c r="D179"/>
  <c r="L179"/>
  <c r="N227" i="5"/>
  <c r="O227" s="1"/>
  <c r="P227" s="1"/>
  <c r="E54"/>
  <c r="N54"/>
  <c r="F54" s="1"/>
  <c r="D60"/>
  <c r="D180"/>
  <c r="L42"/>
  <c r="M42" s="1"/>
  <c r="Y224"/>
  <c r="A224" s="1"/>
  <c r="E270"/>
  <c r="Y214"/>
  <c r="A214" s="1"/>
  <c r="B214" s="1"/>
  <c r="C214" s="1"/>
  <c r="D54"/>
  <c r="N37"/>
  <c r="L119"/>
  <c r="D119" s="1"/>
  <c r="Y178"/>
  <c r="A178" s="1"/>
  <c r="Y24"/>
  <c r="A24" s="1"/>
  <c r="B24" s="1"/>
  <c r="C24" s="1"/>
  <c r="L18"/>
  <c r="D18" s="1"/>
  <c r="Y248"/>
  <c r="A248" s="1"/>
  <c r="B248" s="1"/>
  <c r="C248" s="1"/>
  <c r="D211"/>
  <c r="Y28"/>
  <c r="A28" s="1"/>
  <c r="Y74"/>
  <c r="A74" s="1"/>
  <c r="B74" s="1"/>
  <c r="C74" s="1"/>
  <c r="Y162"/>
  <c r="A162" s="1"/>
  <c r="B162" s="1"/>
  <c r="C162" s="1"/>
  <c r="Y159"/>
  <c r="A159" s="1"/>
  <c r="E249"/>
  <c r="M109"/>
  <c r="N109" s="1"/>
  <c r="O109" s="1"/>
  <c r="P109" s="1"/>
  <c r="Y60"/>
  <c r="A60" s="1"/>
  <c r="B60" s="1"/>
  <c r="C60" s="1"/>
  <c r="M95"/>
  <c r="E95" s="1"/>
  <c r="E51"/>
  <c r="N51"/>
  <c r="O51" s="1"/>
  <c r="M67"/>
  <c r="N67" s="1"/>
  <c r="D193"/>
  <c r="D20"/>
  <c r="Y193"/>
  <c r="A193" s="1"/>
  <c r="B193" s="1"/>
  <c r="C193" s="1"/>
  <c r="L244"/>
  <c r="M244" s="1"/>
  <c r="D250"/>
  <c r="M180"/>
  <c r="N180" s="1"/>
  <c r="E123"/>
  <c r="Y104"/>
  <c r="A104" s="1"/>
  <c r="B104" s="1"/>
  <c r="C104" s="1"/>
  <c r="L13"/>
  <c r="M13" s="1"/>
  <c r="N13" s="1"/>
  <c r="F13" s="1"/>
  <c r="D189"/>
  <c r="L207"/>
  <c r="M193"/>
  <c r="L168"/>
  <c r="D168" s="1"/>
  <c r="L279"/>
  <c r="D279" s="1"/>
  <c r="Y241"/>
  <c r="A241" s="1"/>
  <c r="E42"/>
  <c r="L231"/>
  <c r="D231" s="1"/>
  <c r="D134"/>
  <c r="D17"/>
  <c r="L233"/>
  <c r="L125"/>
  <c r="M125" s="1"/>
  <c r="N125" s="1"/>
  <c r="F125" s="1"/>
  <c r="D104"/>
  <c r="Y152"/>
  <c r="A152" s="1"/>
  <c r="E210"/>
  <c r="L130"/>
  <c r="M130" s="1"/>
  <c r="L88"/>
  <c r="M88" s="1"/>
  <c r="N88" s="1"/>
  <c r="O88" s="1"/>
  <c r="P88" s="1"/>
  <c r="H88" s="1"/>
  <c r="L5"/>
  <c r="M5" s="1"/>
  <c r="N5" s="1"/>
  <c r="Y8"/>
  <c r="A8" s="1"/>
  <c r="L68"/>
  <c r="D68" s="1"/>
  <c r="Y13"/>
  <c r="A13" s="1"/>
  <c r="B13" s="1"/>
  <c r="C13" s="1"/>
  <c r="Y113"/>
  <c r="A113" s="1"/>
  <c r="F22"/>
  <c r="D140"/>
  <c r="Y199"/>
  <c r="A199" s="1"/>
  <c r="M185"/>
  <c r="N185" s="1"/>
  <c r="O185" s="1"/>
  <c r="P185" s="1"/>
  <c r="Y243"/>
  <c r="A243" s="1"/>
  <c r="Y34"/>
  <c r="A34" s="1"/>
  <c r="Y140"/>
  <c r="A140" s="1"/>
  <c r="D240"/>
  <c r="L98"/>
  <c r="D98" s="1"/>
  <c r="E227"/>
  <c r="D146"/>
  <c r="L175"/>
  <c r="M175" s="1"/>
  <c r="N175" s="1"/>
  <c r="O175" s="1"/>
  <c r="M191"/>
  <c r="D34"/>
  <c r="E240"/>
  <c r="D237"/>
  <c r="M237"/>
  <c r="N237" s="1"/>
  <c r="F237" s="1"/>
  <c r="D66"/>
  <c r="M66"/>
  <c r="N66" s="1"/>
  <c r="O66" s="1"/>
  <c r="G66" s="1"/>
  <c r="M96"/>
  <c r="N96" s="1"/>
  <c r="N120"/>
  <c r="O120" s="1"/>
  <c r="P120" s="1"/>
  <c r="N198"/>
  <c r="F198" s="1"/>
  <c r="E198"/>
  <c r="M93"/>
  <c r="N93" s="1"/>
  <c r="O93" s="1"/>
  <c r="P93" s="1"/>
  <c r="H93" s="1"/>
  <c r="D93"/>
  <c r="P86"/>
  <c r="Q86" s="1"/>
  <c r="I86" s="1"/>
  <c r="G86"/>
  <c r="G89"/>
  <c r="O89"/>
  <c r="P89" s="1"/>
  <c r="D113"/>
  <c r="M113"/>
  <c r="D94"/>
  <c r="E209"/>
  <c r="Q109"/>
  <c r="I109" s="1"/>
  <c r="N130"/>
  <c r="O130" s="1"/>
  <c r="D10"/>
  <c r="M10"/>
  <c r="M14"/>
  <c r="N14" s="1"/>
  <c r="Y52"/>
  <c r="A52" s="1"/>
  <c r="B52" s="1"/>
  <c r="C52" s="1"/>
  <c r="L258"/>
  <c r="M258" s="1"/>
  <c r="M18"/>
  <c r="N18" s="1"/>
  <c r="O18" s="1"/>
  <c r="Y23"/>
  <c r="A23" s="1"/>
  <c r="B23" s="1"/>
  <c r="C23" s="1"/>
  <c r="D227"/>
  <c r="D238"/>
  <c r="Y93"/>
  <c r="A93" s="1"/>
  <c r="B93" s="1"/>
  <c r="C93" s="1"/>
  <c r="D172"/>
  <c r="Y66"/>
  <c r="A66" s="1"/>
  <c r="B66" s="1"/>
  <c r="C66" s="1"/>
  <c r="D41"/>
  <c r="N223"/>
  <c r="Y142"/>
  <c r="A142" s="1"/>
  <c r="B142" s="1"/>
  <c r="C142" s="1"/>
  <c r="D120"/>
  <c r="Y277"/>
  <c r="A277" s="1"/>
  <c r="B277" s="1"/>
  <c r="C277" s="1"/>
  <c r="D243"/>
  <c r="D204"/>
  <c r="Y137"/>
  <c r="A137" s="1"/>
  <c r="B137" s="1"/>
  <c r="C137" s="1"/>
  <c r="F109"/>
  <c r="Y276"/>
  <c r="A276" s="1"/>
  <c r="L281"/>
  <c r="E156"/>
  <c r="L75"/>
  <c r="D75" s="1"/>
  <c r="L136"/>
  <c r="E86"/>
  <c r="O210"/>
  <c r="P210" s="1"/>
  <c r="M24"/>
  <c r="E24" s="1"/>
  <c r="M273"/>
  <c r="M40"/>
  <c r="N40" s="1"/>
  <c r="Y172"/>
  <c r="A172" s="1"/>
  <c r="B172" s="1"/>
  <c r="C172" s="1"/>
  <c r="M271"/>
  <c r="D82"/>
  <c r="Y266"/>
  <c r="A266" s="1"/>
  <c r="B266" s="1"/>
  <c r="C266" s="1"/>
  <c r="D175"/>
  <c r="L78"/>
  <c r="M220"/>
  <c r="Y211"/>
  <c r="A211" s="1"/>
  <c r="B211" s="1"/>
  <c r="C211" s="1"/>
  <c r="D95"/>
  <c r="M32"/>
  <c r="D252"/>
  <c r="L177"/>
  <c r="M177" s="1"/>
  <c r="N177" s="1"/>
  <c r="F177" s="1"/>
  <c r="D112"/>
  <c r="Y120"/>
  <c r="A120" s="1"/>
  <c r="Y121"/>
  <c r="A121" s="1"/>
  <c r="B121" s="1"/>
  <c r="C121" s="1"/>
  <c r="D270"/>
  <c r="L268"/>
  <c r="D267"/>
  <c r="D276"/>
  <c r="N270"/>
  <c r="O270" s="1"/>
  <c r="P270" s="1"/>
  <c r="L150"/>
  <c r="L79"/>
  <c r="D79" s="1"/>
  <c r="L215"/>
  <c r="M215" s="1"/>
  <c r="N215" s="1"/>
  <c r="F215" s="1"/>
  <c r="L149"/>
  <c r="M149" s="1"/>
  <c r="N149" s="1"/>
  <c r="O149" s="1"/>
  <c r="P149" s="1"/>
  <c r="Y85"/>
  <c r="A85" s="1"/>
  <c r="Y75"/>
  <c r="A75" s="1"/>
  <c r="B75" s="1"/>
  <c r="C75" s="1"/>
  <c r="Y136"/>
  <c r="A136" s="1"/>
  <c r="L263"/>
  <c r="M263" s="1"/>
  <c r="Y112"/>
  <c r="A112" s="1"/>
  <c r="B112" s="1"/>
  <c r="C112" s="1"/>
  <c r="L188"/>
  <c r="M188" s="1"/>
  <c r="N188" s="1"/>
  <c r="Y209"/>
  <c r="A209" s="1"/>
  <c r="B209" s="1"/>
  <c r="C209" s="1"/>
  <c r="E109"/>
  <c r="G22"/>
  <c r="E129"/>
  <c r="D69"/>
  <c r="E178"/>
  <c r="L7"/>
  <c r="M7" s="1"/>
  <c r="N7" s="1"/>
  <c r="F7" s="1"/>
  <c r="D96"/>
  <c r="M209"/>
  <c r="N209" s="1"/>
  <c r="F209" s="1"/>
  <c r="L35"/>
  <c r="L102"/>
  <c r="Y57"/>
  <c r="A57" s="1"/>
  <c r="B57" s="1"/>
  <c r="C57" s="1"/>
  <c r="G129"/>
  <c r="M8"/>
  <c r="N8" s="1"/>
  <c r="O8" s="1"/>
  <c r="G8" s="1"/>
  <c r="E141"/>
  <c r="Y188"/>
  <c r="A188" s="1"/>
  <c r="D89"/>
  <c r="M9"/>
  <c r="E9" s="1"/>
  <c r="Y165"/>
  <c r="A165" s="1"/>
  <c r="B165" s="1"/>
  <c r="C165" s="1"/>
  <c r="G109"/>
  <c r="D198"/>
  <c r="G123"/>
  <c r="D53"/>
  <c r="L65"/>
  <c r="D65" s="1"/>
  <c r="Y149"/>
  <c r="A149" s="1"/>
  <c r="B149" s="1"/>
  <c r="C149" s="1"/>
  <c r="F156"/>
  <c r="Y240"/>
  <c r="A240" s="1"/>
  <c r="B240" s="1"/>
  <c r="C240" s="1"/>
  <c r="Y204"/>
  <c r="A204" s="1"/>
  <c r="B204" s="1"/>
  <c r="C204" s="1"/>
  <c r="Y263"/>
  <c r="A263" s="1"/>
  <c r="Y129"/>
  <c r="A129" s="1"/>
  <c r="B129" s="1"/>
  <c r="C129" s="1"/>
  <c r="L12"/>
  <c r="D12" s="1"/>
  <c r="Y69"/>
  <c r="A69" s="1"/>
  <c r="B69" s="1"/>
  <c r="C69" s="1"/>
  <c r="E205"/>
  <c r="E56"/>
  <c r="L184"/>
  <c r="D184" s="1"/>
  <c r="L94"/>
  <c r="D209"/>
  <c r="L2"/>
  <c r="D2" s="1"/>
  <c r="E89"/>
  <c r="D205"/>
  <c r="D266"/>
  <c r="L44"/>
  <c r="D44" s="1"/>
  <c r="M170"/>
  <c r="E170" s="1"/>
  <c r="M101"/>
  <c r="L87"/>
  <c r="D87" s="1"/>
  <c r="M202"/>
  <c r="N202" s="1"/>
  <c r="F202" s="1"/>
  <c r="L255"/>
  <c r="M255" s="1"/>
  <c r="L77"/>
  <c r="M77" s="1"/>
  <c r="M119"/>
  <c r="N119" s="1"/>
  <c r="F119" s="1"/>
  <c r="L219"/>
  <c r="M219" s="1"/>
  <c r="Y61"/>
  <c r="A61" s="1"/>
  <c r="B61" s="1"/>
  <c r="C61" s="1"/>
  <c r="Y238"/>
  <c r="A238" s="1"/>
  <c r="B238" s="1"/>
  <c r="C238" s="1"/>
  <c r="M160"/>
  <c r="L133"/>
  <c r="D133" s="1"/>
  <c r="L108"/>
  <c r="M108" s="1"/>
  <c r="N108" s="1"/>
  <c r="D277"/>
  <c r="D130"/>
  <c r="D153"/>
  <c r="E22"/>
  <c r="N42"/>
  <c r="O42" s="1"/>
  <c r="P42" s="1"/>
  <c r="H42" s="1"/>
  <c r="Y44"/>
  <c r="A44" s="1"/>
  <c r="B44" s="1"/>
  <c r="C44" s="1"/>
  <c r="D126"/>
  <c r="F129"/>
  <c r="E32"/>
  <c r="D16"/>
  <c r="L58"/>
  <c r="F123"/>
  <c r="Y96"/>
  <c r="A96" s="1"/>
  <c r="B96" s="1"/>
  <c r="C96" s="1"/>
  <c r="F86"/>
  <c r="D67"/>
  <c r="O172"/>
  <c r="G172" s="1"/>
  <c r="G82"/>
  <c r="O82"/>
  <c r="M275"/>
  <c r="E275" s="1"/>
  <c r="N159"/>
  <c r="F159" s="1"/>
  <c r="N244"/>
  <c r="F244" s="1"/>
  <c r="O134"/>
  <c r="G134" s="1"/>
  <c r="N81"/>
  <c r="F81" s="1"/>
  <c r="O171"/>
  <c r="G171" s="1"/>
  <c r="N208"/>
  <c r="F208" s="1"/>
  <c r="N234"/>
  <c r="F234" s="1"/>
  <c r="N273"/>
  <c r="M272"/>
  <c r="E272" s="1"/>
  <c r="D272"/>
  <c r="N266"/>
  <c r="Q22"/>
  <c r="N191"/>
  <c r="F191" s="1"/>
  <c r="D174"/>
  <c r="B36"/>
  <c r="C36" s="1"/>
  <c r="M131"/>
  <c r="E131" s="1"/>
  <c r="N4"/>
  <c r="F4" s="1"/>
  <c r="M23"/>
  <c r="B241"/>
  <c r="C241" s="1"/>
  <c r="B124"/>
  <c r="C124" s="1"/>
  <c r="B68"/>
  <c r="C68" s="1"/>
  <c r="O96"/>
  <c r="B249"/>
  <c r="C249" s="1"/>
  <c r="M164"/>
  <c r="E164" s="1"/>
  <c r="N250"/>
  <c r="F250" s="1"/>
  <c r="L45"/>
  <c r="D45" s="1"/>
  <c r="Y45"/>
  <c r="A45" s="1"/>
  <c r="B280"/>
  <c r="C280" s="1"/>
  <c r="E46"/>
  <c r="N46"/>
  <c r="F46" s="1"/>
  <c r="B236"/>
  <c r="C236" s="1"/>
  <c r="M248"/>
  <c r="E248" s="1"/>
  <c r="N256"/>
  <c r="E256"/>
  <c r="B37"/>
  <c r="C37" s="1"/>
  <c r="M280"/>
  <c r="D280"/>
  <c r="M199"/>
  <c r="E199" s="1"/>
  <c r="M74"/>
  <c r="E74" s="1"/>
  <c r="Y43"/>
  <c r="A43" s="1"/>
  <c r="M52"/>
  <c r="B40"/>
  <c r="C40" s="1"/>
  <c r="M194"/>
  <c r="D194"/>
  <c r="Y127"/>
  <c r="A127" s="1"/>
  <c r="L127"/>
  <c r="D127" s="1"/>
  <c r="Y262"/>
  <c r="A262" s="1"/>
  <c r="L262"/>
  <c r="D262" s="1"/>
  <c r="B128"/>
  <c r="C128" s="1"/>
  <c r="N41"/>
  <c r="F41" s="1"/>
  <c r="Y21"/>
  <c r="A21" s="1"/>
  <c r="L21"/>
  <c r="M111"/>
  <c r="E111" s="1"/>
  <c r="D111"/>
  <c r="B126"/>
  <c r="C126" s="1"/>
  <c r="O188"/>
  <c r="L19"/>
  <c r="Y19"/>
  <c r="A19" s="1"/>
  <c r="O56"/>
  <c r="G56" s="1"/>
  <c r="M145"/>
  <c r="E145" s="1"/>
  <c r="L29"/>
  <c r="Y29"/>
  <c r="A29" s="1"/>
  <c r="E64"/>
  <c r="M64"/>
  <c r="B81"/>
  <c r="C81" s="1"/>
  <c r="M278"/>
  <c r="E278" s="1"/>
  <c r="G240"/>
  <c r="O240"/>
  <c r="B270"/>
  <c r="Y131"/>
  <c r="A131" s="1"/>
  <c r="E47"/>
  <c r="M132"/>
  <c r="E132" s="1"/>
  <c r="Y82"/>
  <c r="A82" s="1"/>
  <c r="D248"/>
  <c r="D241"/>
  <c r="E211"/>
  <c r="F247"/>
  <c r="L43"/>
  <c r="D43" s="1"/>
  <c r="B146"/>
  <c r="C146" s="1"/>
  <c r="P175"/>
  <c r="H175" s="1"/>
  <c r="B28"/>
  <c r="C28" s="1"/>
  <c r="M176"/>
  <c r="E176" s="1"/>
  <c r="D176"/>
  <c r="L157"/>
  <c r="Y157"/>
  <c r="A157" s="1"/>
  <c r="B125"/>
  <c r="C125" s="1"/>
  <c r="E172"/>
  <c r="F172"/>
  <c r="B107"/>
  <c r="C107" s="1"/>
  <c r="D57"/>
  <c r="M57"/>
  <c r="E57" s="1"/>
  <c r="M142"/>
  <c r="E142" s="1"/>
  <c r="D158"/>
  <c r="M158"/>
  <c r="E158" s="1"/>
  <c r="M50"/>
  <c r="E50" s="1"/>
  <c r="B98"/>
  <c r="C98" s="1"/>
  <c r="N28"/>
  <c r="L49"/>
  <c r="D49" s="1"/>
  <c r="Y49"/>
  <c r="A49" s="1"/>
  <c r="B191"/>
  <c r="C191" s="1"/>
  <c r="O108"/>
  <c r="G108" s="1"/>
  <c r="Y139"/>
  <c r="A139" s="1"/>
  <c r="L139"/>
  <c r="D139" s="1"/>
  <c r="N211"/>
  <c r="F211" s="1"/>
  <c r="L163"/>
  <c r="D163" s="1"/>
  <c r="Y163"/>
  <c r="A163" s="1"/>
  <c r="M121"/>
  <c r="E121" s="1"/>
  <c r="E159"/>
  <c r="D159"/>
  <c r="N110"/>
  <c r="D116"/>
  <c r="M116"/>
  <c r="E116" s="1"/>
  <c r="N117"/>
  <c r="E117"/>
  <c r="M59"/>
  <c r="D59"/>
  <c r="L26"/>
  <c r="D26" s="1"/>
  <c r="Y26"/>
  <c r="A26" s="1"/>
  <c r="B4"/>
  <c r="C4" s="1"/>
  <c r="M254"/>
  <c r="E254" s="1"/>
  <c r="M232"/>
  <c r="E232" s="1"/>
  <c r="B102"/>
  <c r="C102" s="1"/>
  <c r="B281"/>
  <c r="C281" s="1"/>
  <c r="L143"/>
  <c r="D143" s="1"/>
  <c r="Y143"/>
  <c r="A143" s="1"/>
  <c r="B78"/>
  <c r="C78" s="1"/>
  <c r="M70"/>
  <c r="E70" s="1"/>
  <c r="N124"/>
  <c r="N267"/>
  <c r="E267"/>
  <c r="D99"/>
  <c r="M99"/>
  <c r="E99" s="1"/>
  <c r="N217"/>
  <c r="M153"/>
  <c r="B224"/>
  <c r="C224" s="1"/>
  <c r="Y106"/>
  <c r="A106" s="1"/>
  <c r="D106"/>
  <c r="B268"/>
  <c r="C268" s="1"/>
  <c r="B58"/>
  <c r="C58" s="1"/>
  <c r="Y230"/>
  <c r="A230" s="1"/>
  <c r="L230"/>
  <c r="O69"/>
  <c r="G69" s="1"/>
  <c r="B174"/>
  <c r="C174" s="1"/>
  <c r="D251"/>
  <c r="Y251"/>
  <c r="A251" s="1"/>
  <c r="B152"/>
  <c r="C152" s="1"/>
  <c r="N214"/>
  <c r="F214" s="1"/>
  <c r="E4"/>
  <c r="M92"/>
  <c r="F171"/>
  <c r="D132"/>
  <c r="D131"/>
  <c r="E171"/>
  <c r="E113"/>
  <c r="D23"/>
  <c r="G216"/>
  <c r="E252"/>
  <c r="E20"/>
  <c r="B261"/>
  <c r="C261" s="1"/>
  <c r="M31"/>
  <c r="E31" s="1"/>
  <c r="N252"/>
  <c r="F252" s="1"/>
  <c r="B233"/>
  <c r="C233" s="1"/>
  <c r="M228"/>
  <c r="E228" s="1"/>
  <c r="B278"/>
  <c r="C278" s="1"/>
  <c r="N161"/>
  <c r="F161" s="1"/>
  <c r="B205"/>
  <c r="C205" s="1"/>
  <c r="E90"/>
  <c r="L6"/>
  <c r="D6" s="1"/>
  <c r="Y6"/>
  <c r="A6" s="1"/>
  <c r="L201"/>
  <c r="Y201"/>
  <c r="A201" s="1"/>
  <c r="O39"/>
  <c r="G39" s="1"/>
  <c r="M100"/>
  <c r="M68"/>
  <c r="E68" s="1"/>
  <c r="D173"/>
  <c r="M173"/>
  <c r="D80"/>
  <c r="E80"/>
  <c r="Y154"/>
  <c r="A154" s="1"/>
  <c r="L154"/>
  <c r="D154" s="1"/>
  <c r="O140"/>
  <c r="G140" s="1"/>
  <c r="L222"/>
  <c r="Y222"/>
  <c r="A222" s="1"/>
  <c r="O249"/>
  <c r="G249" s="1"/>
  <c r="F249"/>
  <c r="B39"/>
  <c r="C39" s="1"/>
  <c r="B220"/>
  <c r="C220" s="1"/>
  <c r="O54"/>
  <c r="G54" s="1"/>
  <c r="D118"/>
  <c r="M118"/>
  <c r="E103"/>
  <c r="M103"/>
  <c r="B59"/>
  <c r="C59" s="1"/>
  <c r="B245"/>
  <c r="C245" s="1"/>
  <c r="B244"/>
  <c r="C244" s="1"/>
  <c r="Y275"/>
  <c r="A275" s="1"/>
  <c r="D275"/>
  <c r="M218"/>
  <c r="E218" s="1"/>
  <c r="D218"/>
  <c r="M196"/>
  <c r="E196" s="1"/>
  <c r="B272"/>
  <c r="C272" s="1"/>
  <c r="F97"/>
  <c r="O97"/>
  <c r="G97" s="1"/>
  <c r="Y182"/>
  <c r="A182" s="1"/>
  <c r="L182"/>
  <c r="D182" s="1"/>
  <c r="L169"/>
  <c r="Y169"/>
  <c r="A169" s="1"/>
  <c r="P216"/>
  <c r="H216" s="1"/>
  <c r="B181"/>
  <c r="C181" s="1"/>
  <c r="Y105"/>
  <c r="A105" s="1"/>
  <c r="L105"/>
  <c r="D105" s="1"/>
  <c r="M106"/>
  <c r="E106" s="1"/>
  <c r="M251"/>
  <c r="M253"/>
  <c r="E253" s="1"/>
  <c r="D253"/>
  <c r="F134"/>
  <c r="E273"/>
  <c r="E40"/>
  <c r="H22"/>
  <c r="E191"/>
  <c r="M174"/>
  <c r="E174" s="1"/>
  <c r="E161"/>
  <c r="N90"/>
  <c r="M241"/>
  <c r="E241" s="1"/>
  <c r="E250"/>
  <c r="M25"/>
  <c r="E25" s="1"/>
  <c r="B168"/>
  <c r="C168" s="1"/>
  <c r="N47"/>
  <c r="F47" s="1"/>
  <c r="N20"/>
  <c r="F20" s="1"/>
  <c r="Y167"/>
  <c r="A167" s="1"/>
  <c r="O53"/>
  <c r="G53" s="1"/>
  <c r="Q156"/>
  <c r="I156" s="1"/>
  <c r="Y155"/>
  <c r="A155" s="1"/>
  <c r="L155"/>
  <c r="D155" s="1"/>
  <c r="E81"/>
  <c r="D81"/>
  <c r="B177"/>
  <c r="C177" s="1"/>
  <c r="N80"/>
  <c r="B2"/>
  <c r="C2" s="1"/>
  <c r="P247"/>
  <c r="M78"/>
  <c r="E78" s="1"/>
  <c r="H129"/>
  <c r="Q129"/>
  <c r="I129" s="1"/>
  <c r="B158"/>
  <c r="C158" s="1"/>
  <c r="B257"/>
  <c r="C257" s="1"/>
  <c r="Y33"/>
  <c r="A33" s="1"/>
  <c r="L33"/>
  <c r="N205"/>
  <c r="F205" s="1"/>
  <c r="L72"/>
  <c r="D72" s="1"/>
  <c r="Y72"/>
  <c r="A72" s="1"/>
  <c r="Y38"/>
  <c r="A38" s="1"/>
  <c r="L38"/>
  <c r="D38" s="1"/>
  <c r="B16"/>
  <c r="C16" s="1"/>
  <c r="M203"/>
  <c r="B145"/>
  <c r="C145" s="1"/>
  <c r="M15"/>
  <c r="E15" s="1"/>
  <c r="B232"/>
  <c r="C232" s="1"/>
  <c r="B97"/>
  <c r="C97" s="1"/>
  <c r="B175"/>
  <c r="C175" s="1"/>
  <c r="B12"/>
  <c r="C12" s="1"/>
  <c r="B229"/>
  <c r="C229" s="1"/>
  <c r="O126"/>
  <c r="G126" s="1"/>
  <c r="E234"/>
  <c r="D234"/>
  <c r="M55"/>
  <c r="M181"/>
  <c r="N141"/>
  <c r="F141" s="1"/>
  <c r="L135"/>
  <c r="D135" s="1"/>
  <c r="Y135"/>
  <c r="A135" s="1"/>
  <c r="B20"/>
  <c r="C20" s="1"/>
  <c r="N48"/>
  <c r="E48"/>
  <c r="Y260"/>
  <c r="A260" s="1"/>
  <c r="L260"/>
  <c r="D260" s="1"/>
  <c r="B65"/>
  <c r="C65" s="1"/>
  <c r="Y228"/>
  <c r="A228" s="1"/>
  <c r="D228"/>
  <c r="L239"/>
  <c r="Y239"/>
  <c r="A239" s="1"/>
  <c r="O60"/>
  <c r="G60" s="1"/>
  <c r="E208"/>
  <c r="E92"/>
  <c r="D195"/>
  <c r="E266"/>
  <c r="D208"/>
  <c r="P51"/>
  <c r="H51" s="1"/>
  <c r="D142"/>
  <c r="O235"/>
  <c r="G235" s="1"/>
  <c r="G93"/>
  <c r="F82"/>
  <c r="L167"/>
  <c r="D167" s="1"/>
  <c r="G247"/>
  <c r="E125"/>
  <c r="B188"/>
  <c r="C188" s="1"/>
  <c r="B27"/>
  <c r="C27" s="1"/>
  <c r="B173"/>
  <c r="C173" s="1"/>
  <c r="M36"/>
  <c r="E36" s="1"/>
  <c r="D36"/>
  <c r="B138"/>
  <c r="C138" s="1"/>
  <c r="B218"/>
  <c r="C218" s="1"/>
  <c r="B15"/>
  <c r="C15" s="1"/>
  <c r="N187"/>
  <c r="F187" s="1"/>
  <c r="M238"/>
  <c r="E238" s="1"/>
  <c r="B7"/>
  <c r="C7" s="1"/>
  <c r="B215"/>
  <c r="C215" s="1"/>
  <c r="M152"/>
  <c r="E152" s="1"/>
  <c r="N226"/>
  <c r="F226" s="1"/>
  <c r="B206"/>
  <c r="C206" s="1"/>
  <c r="B14"/>
  <c r="C14" s="1"/>
  <c r="Y256"/>
  <c r="A256" s="1"/>
  <c r="D256"/>
  <c r="D216"/>
  <c r="E216"/>
  <c r="Y217"/>
  <c r="A217" s="1"/>
  <c r="D217"/>
  <c r="N112"/>
  <c r="F112" s="1"/>
  <c r="E112"/>
  <c r="B246"/>
  <c r="C246" s="1"/>
  <c r="B10"/>
  <c r="C10" s="1"/>
  <c r="Y62"/>
  <c r="A62" s="1"/>
  <c r="L62"/>
  <c r="D62" s="1"/>
  <c r="B123"/>
  <c r="C123" s="1"/>
  <c r="Y144"/>
  <c r="A144" s="1"/>
  <c r="D144"/>
  <c r="B258"/>
  <c r="C258" s="1"/>
  <c r="M189"/>
  <c r="D70"/>
  <c r="M148"/>
  <c r="E148" s="1"/>
  <c r="F108"/>
  <c r="F276"/>
  <c r="P276"/>
  <c r="H276" s="1"/>
  <c r="L242"/>
  <c r="D269"/>
  <c r="E235"/>
  <c r="E93"/>
  <c r="Y179"/>
  <c r="A179" s="1"/>
  <c r="E187"/>
  <c r="D78"/>
  <c r="Y95"/>
  <c r="A95" s="1"/>
  <c r="E124"/>
  <c r="L84"/>
  <c r="D225"/>
  <c r="E120"/>
  <c r="Y265"/>
  <c r="A265" s="1"/>
  <c r="O165"/>
  <c r="G165" s="1"/>
  <c r="D42"/>
  <c r="E39"/>
  <c r="E16"/>
  <c r="D137"/>
  <c r="E119"/>
  <c r="E204"/>
  <c r="E108"/>
  <c r="E276"/>
  <c r="E104"/>
  <c r="E140"/>
  <c r="M85"/>
  <c r="E85" s="1"/>
  <c r="O178"/>
  <c r="E219"/>
  <c r="B111"/>
  <c r="C111" s="1"/>
  <c r="B164"/>
  <c r="C164" s="1"/>
  <c r="N32"/>
  <c r="B212"/>
  <c r="C212" s="1"/>
  <c r="D64"/>
  <c r="Y64"/>
  <c r="A64" s="1"/>
  <c r="B159"/>
  <c r="C159" s="1"/>
  <c r="Y151"/>
  <c r="A151" s="1"/>
  <c r="L151"/>
  <c r="D151" s="1"/>
  <c r="N76"/>
  <c r="F76" s="1"/>
  <c r="M259"/>
  <c r="M63"/>
  <c r="E63" s="1"/>
  <c r="D63"/>
  <c r="B180"/>
  <c r="C180" s="1"/>
  <c r="B90"/>
  <c r="C90" s="1"/>
  <c r="B54"/>
  <c r="C54" s="1"/>
  <c r="D122"/>
  <c r="M122"/>
  <c r="B122"/>
  <c r="C122" s="1"/>
  <c r="B84"/>
  <c r="C84" s="1"/>
  <c r="O67"/>
  <c r="G67" s="1"/>
  <c r="F67"/>
  <c r="D247"/>
  <c r="Y247"/>
  <c r="A247" s="1"/>
  <c r="Y213"/>
  <c r="A213" s="1"/>
  <c r="B141"/>
  <c r="C141" s="1"/>
  <c r="B119"/>
  <c r="C119" s="1"/>
  <c r="L30"/>
  <c r="D30" s="1"/>
  <c r="Y30"/>
  <c r="A30" s="1"/>
  <c r="B221"/>
  <c r="C221" s="1"/>
  <c r="B150"/>
  <c r="C150" s="1"/>
  <c r="M144"/>
  <c r="E144" s="1"/>
  <c r="M34"/>
  <c r="E34" s="1"/>
  <c r="F188"/>
  <c r="Y192"/>
  <c r="A192" s="1"/>
  <c r="L192"/>
  <c r="D192" s="1"/>
  <c r="B263"/>
  <c r="C263" s="1"/>
  <c r="B253"/>
  <c r="C253" s="1"/>
  <c r="Y166"/>
  <c r="A166" s="1"/>
  <c r="L166"/>
  <c r="D166" s="1"/>
  <c r="Y153"/>
  <c r="A153" s="1"/>
  <c r="F93"/>
  <c r="M128"/>
  <c r="E128" s="1"/>
  <c r="D124"/>
  <c r="E165"/>
  <c r="F53"/>
  <c r="G276"/>
  <c r="E69"/>
  <c r="D261"/>
  <c r="M269"/>
  <c r="D103"/>
  <c r="Y195"/>
  <c r="A195" s="1"/>
  <c r="L195"/>
  <c r="M206"/>
  <c r="E206" s="1"/>
  <c r="L179"/>
  <c r="D179" s="1"/>
  <c r="D249"/>
  <c r="D254"/>
  <c r="M61"/>
  <c r="E41"/>
  <c r="D47"/>
  <c r="Y47"/>
  <c r="A47" s="1"/>
  <c r="M231"/>
  <c r="L229"/>
  <c r="D229" s="1"/>
  <c r="E126"/>
  <c r="F126"/>
  <c r="D88"/>
  <c r="F216"/>
  <c r="E217"/>
  <c r="M27"/>
  <c r="N225"/>
  <c r="F225" s="1"/>
  <c r="L212"/>
  <c r="E277"/>
  <c r="F165"/>
  <c r="O16"/>
  <c r="G16" s="1"/>
  <c r="D199"/>
  <c r="H109"/>
  <c r="O204"/>
  <c r="F69"/>
  <c r="H123"/>
  <c r="L213"/>
  <c r="G156"/>
  <c r="F140"/>
  <c r="D85"/>
  <c r="F178"/>
  <c r="D214"/>
  <c r="E60"/>
  <c r="N219"/>
  <c r="F219" s="1"/>
  <c r="N17"/>
  <c r="F17" s="1"/>
  <c r="B87"/>
  <c r="C87" s="1"/>
  <c r="M224"/>
  <c r="E224" s="1"/>
  <c r="B267"/>
  <c r="C267" s="1"/>
  <c r="Y197"/>
  <c r="A197" s="1"/>
  <c r="L197"/>
  <c r="D197" s="1"/>
  <c r="D161"/>
  <c r="Y161"/>
  <c r="A161" s="1"/>
  <c r="M91"/>
  <c r="E91" s="1"/>
  <c r="D91"/>
  <c r="M11"/>
  <c r="E11" s="1"/>
  <c r="N146"/>
  <c r="F146" s="1"/>
  <c r="M245"/>
  <c r="E245" s="1"/>
  <c r="B18"/>
  <c r="C18" s="1"/>
  <c r="B271"/>
  <c r="C271" s="1"/>
  <c r="Y200"/>
  <c r="A200" s="1"/>
  <c r="L200"/>
  <c r="B89"/>
  <c r="C89" s="1"/>
  <c r="B190"/>
  <c r="C190" s="1"/>
  <c r="D100"/>
  <c r="Y100"/>
  <c r="A100" s="1"/>
  <c r="B227"/>
  <c r="C227" s="1"/>
  <c r="B11"/>
  <c r="C11" s="1"/>
  <c r="B8"/>
  <c r="C8" s="1"/>
  <c r="B88"/>
  <c r="C88" s="1"/>
  <c r="B101"/>
  <c r="C101" s="1"/>
  <c r="N277"/>
  <c r="F277" s="1"/>
  <c r="B17"/>
  <c r="C17" s="1"/>
  <c r="B255"/>
  <c r="C255" s="1"/>
  <c r="B199"/>
  <c r="C199" s="1"/>
  <c r="M137"/>
  <c r="E137" s="1"/>
  <c r="B77"/>
  <c r="C77" s="1"/>
  <c r="D50"/>
  <c r="Y50"/>
  <c r="A50" s="1"/>
  <c r="L257"/>
  <c r="D257" s="1"/>
  <c r="Y3"/>
  <c r="A3" s="1"/>
  <c r="B34"/>
  <c r="C34" s="1"/>
  <c r="Y186"/>
  <c r="A186" s="1"/>
  <c r="B85"/>
  <c r="C85" s="1"/>
  <c r="Y264"/>
  <c r="A264" s="1"/>
  <c r="Y114"/>
  <c r="A114" s="1"/>
  <c r="Y147"/>
  <c r="A147" s="1"/>
  <c r="L147"/>
  <c r="B170"/>
  <c r="C170" s="1"/>
  <c r="L183"/>
  <c r="D183" s="1"/>
  <c r="D278"/>
  <c r="F235"/>
  <c r="Y254"/>
  <c r="A254" s="1"/>
  <c r="D206"/>
  <c r="E220"/>
  <c r="D164"/>
  <c r="D31"/>
  <c r="Y31"/>
  <c r="A31" s="1"/>
  <c r="M261"/>
  <c r="E261" s="1"/>
  <c r="E225"/>
  <c r="F39"/>
  <c r="D121"/>
  <c r="L265"/>
  <c r="Y70"/>
  <c r="A70" s="1"/>
  <c r="E247"/>
  <c r="F16"/>
  <c r="D141"/>
  <c r="F204"/>
  <c r="E53"/>
  <c r="D52"/>
  <c r="N104"/>
  <c r="F104" s="1"/>
  <c r="F60"/>
  <c r="B56"/>
  <c r="C56" s="1"/>
  <c r="M65"/>
  <c r="E65" s="1"/>
  <c r="B242"/>
  <c r="C242" s="1"/>
  <c r="B103"/>
  <c r="C103" s="1"/>
  <c r="B196"/>
  <c r="C196" s="1"/>
  <c r="B171"/>
  <c r="C171" s="1"/>
  <c r="B187"/>
  <c r="C187" s="1"/>
  <c r="M71"/>
  <c r="E71" s="1"/>
  <c r="B259"/>
  <c r="C259" s="1"/>
  <c r="M236"/>
  <c r="E236" s="1"/>
  <c r="B91"/>
  <c r="C91" s="1"/>
  <c r="B35"/>
  <c r="C35" s="1"/>
  <c r="B279"/>
  <c r="C279" s="1"/>
  <c r="B51"/>
  <c r="C51" s="1"/>
  <c r="M107"/>
  <c r="D107"/>
  <c r="B41"/>
  <c r="C41" s="1"/>
  <c r="B223"/>
  <c r="C223" s="1"/>
  <c r="B231"/>
  <c r="C231" s="1"/>
  <c r="B55"/>
  <c r="C55" s="1"/>
  <c r="B216"/>
  <c r="C216" s="1"/>
  <c r="B225"/>
  <c r="C225" s="1"/>
  <c r="B130"/>
  <c r="C130" s="1"/>
  <c r="B120"/>
  <c r="C120" s="1"/>
  <c r="Y202"/>
  <c r="A202" s="1"/>
  <c r="D202"/>
  <c r="D246"/>
  <c r="M246"/>
  <c r="B42"/>
  <c r="C42" s="1"/>
  <c r="B243"/>
  <c r="C243" s="1"/>
  <c r="B134"/>
  <c r="C134" s="1"/>
  <c r="B133"/>
  <c r="C133" s="1"/>
  <c r="B108"/>
  <c r="C108" s="1"/>
  <c r="Q123"/>
  <c r="I123" s="1"/>
  <c r="B53"/>
  <c r="C53" s="1"/>
  <c r="B79"/>
  <c r="C79" s="1"/>
  <c r="B250"/>
  <c r="C250" s="1"/>
  <c r="F190"/>
  <c r="N190"/>
  <c r="B140"/>
  <c r="C140" s="1"/>
  <c r="B185"/>
  <c r="C185" s="1"/>
  <c r="B178"/>
  <c r="C178" s="1"/>
  <c r="M184"/>
  <c r="E184" s="1"/>
  <c r="B189"/>
  <c r="C189" s="1"/>
  <c r="Y115"/>
  <c r="A115" s="1"/>
  <c r="L115"/>
  <c r="D115" s="1"/>
  <c r="D74"/>
  <c r="D196"/>
  <c r="E146"/>
  <c r="D245"/>
  <c r="E134"/>
  <c r="F56"/>
  <c r="E28"/>
  <c r="M83"/>
  <c r="E101"/>
  <c r="F96"/>
  <c r="D165"/>
  <c r="L3"/>
  <c r="E237"/>
  <c r="L186"/>
  <c r="H156"/>
  <c r="F240"/>
  <c r="D152"/>
  <c r="L264"/>
  <c r="L114"/>
  <c r="E226"/>
  <c r="Y183"/>
  <c r="A183" s="1"/>
  <c r="B252"/>
  <c r="C252" s="1"/>
  <c r="B9"/>
  <c r="C9" s="1"/>
  <c r="M73"/>
  <c r="E73" s="1"/>
  <c r="B110"/>
  <c r="C110" s="1"/>
  <c r="B99"/>
  <c r="C99" s="1"/>
  <c r="F89"/>
  <c r="M162"/>
  <c r="L221"/>
  <c r="M138"/>
  <c r="E138" s="1"/>
  <c r="B22"/>
  <c r="C22" s="1"/>
  <c r="B67"/>
  <c r="C67" s="1"/>
  <c r="B237"/>
  <c r="C237" s="1"/>
  <c r="L274"/>
  <c r="Y274"/>
  <c r="A274" s="1"/>
  <c r="D86"/>
  <c r="Y86"/>
  <c r="A86" s="1"/>
  <c r="D150"/>
  <c r="D178"/>
  <c r="Y48"/>
  <c r="A48" s="1"/>
  <c r="D48"/>
  <c r="B276"/>
  <c r="C276" s="1"/>
  <c r="B113"/>
  <c r="C113" s="1"/>
  <c r="B5"/>
  <c r="C5" s="1"/>
  <c r="B219"/>
  <c r="C219" s="1"/>
  <c r="B83"/>
  <c r="C83" s="1"/>
  <c r="N243"/>
  <c r="B176"/>
  <c r="C176" s="1"/>
  <c r="B160"/>
  <c r="C160" s="1"/>
  <c r="B80"/>
  <c r="C80" s="1"/>
  <c r="B148"/>
  <c r="C148" s="1"/>
  <c r="B136"/>
  <c r="C136" s="1"/>
  <c r="B32"/>
  <c r="C32" s="1"/>
  <c r="B210"/>
  <c r="C210" s="1"/>
  <c r="D226"/>
  <c r="Y226"/>
  <c r="A226" s="1"/>
  <c r="B184"/>
  <c r="C184" s="1"/>
  <c r="X255" i="1"/>
  <c r="L255" s="1"/>
  <c r="Y255"/>
  <c r="A255" s="1"/>
  <c r="B255" s="1"/>
  <c r="C255" s="1"/>
  <c r="L128"/>
  <c r="D128" s="1"/>
  <c r="L166"/>
  <c r="M166" s="1"/>
  <c r="N166" s="1"/>
  <c r="O166" s="1"/>
  <c r="P166" s="1"/>
  <c r="Q166" s="1"/>
  <c r="R166" s="1"/>
  <c r="K166" s="1"/>
  <c r="L80"/>
  <c r="M80" s="1"/>
  <c r="N80" s="1"/>
  <c r="F80" s="1"/>
  <c r="B118"/>
  <c r="C118" s="1"/>
  <c r="B9"/>
  <c r="C9" s="1"/>
  <c r="B229"/>
  <c r="C229" s="1"/>
  <c r="B227"/>
  <c r="C227" s="1"/>
  <c r="B63"/>
  <c r="C63" s="1"/>
  <c r="B252"/>
  <c r="C252" s="1"/>
  <c r="B79"/>
  <c r="C79" s="1"/>
  <c r="B260"/>
  <c r="C260" s="1"/>
  <c r="B269"/>
  <c r="C269" s="1"/>
  <c r="B26"/>
  <c r="C26" s="1"/>
  <c r="B125"/>
  <c r="C125" s="1"/>
  <c r="X160"/>
  <c r="Y160" s="1"/>
  <c r="A160" s="1"/>
  <c r="L160"/>
  <c r="M160" s="1"/>
  <c r="N160" s="1"/>
  <c r="O160" s="1"/>
  <c r="P160" s="1"/>
  <c r="Q160" s="1"/>
  <c r="B244"/>
  <c r="C244" s="1"/>
  <c r="B139"/>
  <c r="C139" s="1"/>
  <c r="B27"/>
  <c r="C27" s="1"/>
  <c r="B67"/>
  <c r="C67" s="1"/>
  <c r="B104"/>
  <c r="C104" s="1"/>
  <c r="Y201"/>
  <c r="A201" s="1"/>
  <c r="L201"/>
  <c r="M201" s="1"/>
  <c r="D201"/>
  <c r="B136"/>
  <c r="C136" s="1"/>
  <c r="X17"/>
  <c r="Y17" s="1"/>
  <c r="A17" s="1"/>
  <c r="B258"/>
  <c r="C258" s="1"/>
  <c r="B143"/>
  <c r="C143" s="1"/>
  <c r="B33"/>
  <c r="C33" s="1"/>
  <c r="B240"/>
  <c r="C240" s="1"/>
  <c r="B37"/>
  <c r="C37" s="1"/>
  <c r="B110"/>
  <c r="C110" s="1"/>
  <c r="B129"/>
  <c r="C129" s="1"/>
  <c r="B3"/>
  <c r="C3" s="1"/>
  <c r="B250"/>
  <c r="C250" s="1"/>
  <c r="B8"/>
  <c r="C8" s="1"/>
  <c r="B30"/>
  <c r="C30" s="1"/>
  <c r="B123"/>
  <c r="C123" s="1"/>
  <c r="B216"/>
  <c r="C216" s="1"/>
  <c r="B156"/>
  <c r="C156" s="1"/>
  <c r="B266"/>
  <c r="C266" s="1"/>
  <c r="B278"/>
  <c r="C278" s="1"/>
  <c r="B245"/>
  <c r="C245" s="1"/>
  <c r="B195"/>
  <c r="C195" s="1"/>
  <c r="B84"/>
  <c r="C84" s="1"/>
  <c r="B103"/>
  <c r="C103" s="1"/>
  <c r="B189"/>
  <c r="C189" s="1"/>
  <c r="B127"/>
  <c r="C127" s="1"/>
  <c r="B246"/>
  <c r="C246" s="1"/>
  <c r="B107"/>
  <c r="C107" s="1"/>
  <c r="B226"/>
  <c r="C226" s="1"/>
  <c r="B138"/>
  <c r="C138" s="1"/>
  <c r="B270"/>
  <c r="C270" s="1"/>
  <c r="B133"/>
  <c r="C133" s="1"/>
  <c r="B128"/>
  <c r="C128" s="1"/>
  <c r="B214"/>
  <c r="C214" s="1"/>
  <c r="B147"/>
  <c r="C147" s="1"/>
  <c r="B45"/>
  <c r="C45" s="1"/>
  <c r="B29"/>
  <c r="C29" s="1"/>
  <c r="B69"/>
  <c r="C69" s="1"/>
  <c r="B62"/>
  <c r="C62" s="1"/>
  <c r="B112"/>
  <c r="C112" s="1"/>
  <c r="B12"/>
  <c r="C12" s="1"/>
  <c r="B55"/>
  <c r="C55" s="1"/>
  <c r="B215"/>
  <c r="C215" s="1"/>
  <c r="X56"/>
  <c r="L56" s="1"/>
  <c r="Y59"/>
  <c r="A59" s="1"/>
  <c r="Y80"/>
  <c r="A80" s="1"/>
  <c r="B66"/>
  <c r="C66" s="1"/>
  <c r="B120"/>
  <c r="C120" s="1"/>
  <c r="B205"/>
  <c r="C205" s="1"/>
  <c r="B14"/>
  <c r="C14" s="1"/>
  <c r="B264"/>
  <c r="C264" s="1"/>
  <c r="B132"/>
  <c r="C132" s="1"/>
  <c r="B145"/>
  <c r="C145" s="1"/>
  <c r="B64"/>
  <c r="C64" s="1"/>
  <c r="B164"/>
  <c r="C164" s="1"/>
  <c r="B171"/>
  <c r="C171" s="1"/>
  <c r="B48"/>
  <c r="C48" s="1"/>
  <c r="B81"/>
  <c r="C81" s="1"/>
  <c r="B85"/>
  <c r="C85" s="1"/>
  <c r="B16"/>
  <c r="C16" s="1"/>
  <c r="B131"/>
  <c r="C131" s="1"/>
  <c r="B52"/>
  <c r="C52" s="1"/>
  <c r="B243"/>
  <c r="C243" s="1"/>
  <c r="B204"/>
  <c r="C204" s="1"/>
  <c r="B280"/>
  <c r="C280" s="1"/>
  <c r="B23"/>
  <c r="C23" s="1"/>
  <c r="B5"/>
  <c r="C5" s="1"/>
  <c r="B90"/>
  <c r="C90" s="1"/>
  <c r="X10"/>
  <c r="Y10" s="1"/>
  <c r="A10" s="1"/>
  <c r="L84"/>
  <c r="M84" s="1"/>
  <c r="E84" s="1"/>
  <c r="L59"/>
  <c r="B253"/>
  <c r="C253" s="1"/>
  <c r="B238"/>
  <c r="C238" s="1"/>
  <c r="B256"/>
  <c r="C256" s="1"/>
  <c r="B217"/>
  <c r="C217" s="1"/>
  <c r="B15"/>
  <c r="C15" s="1"/>
  <c r="B248"/>
  <c r="C248" s="1"/>
  <c r="B207"/>
  <c r="C207" s="1"/>
  <c r="B149"/>
  <c r="C149" s="1"/>
  <c r="B50"/>
  <c r="C50" s="1"/>
  <c r="B43"/>
  <c r="C43" s="1"/>
  <c r="B40"/>
  <c r="C40" s="1"/>
  <c r="B212"/>
  <c r="C212" s="1"/>
  <c r="B82"/>
  <c r="C82" s="1"/>
  <c r="B265"/>
  <c r="C265" s="1"/>
  <c r="L57"/>
  <c r="M57" s="1"/>
  <c r="N57" s="1"/>
  <c r="O57" s="1"/>
  <c r="X121"/>
  <c r="Y121" s="1"/>
  <c r="A121" s="1"/>
  <c r="X47"/>
  <c r="Y47" s="1"/>
  <c r="A47" s="1"/>
  <c r="X239"/>
  <c r="Y239" s="1"/>
  <c r="A239" s="1"/>
  <c r="X236"/>
  <c r="Y236" s="1"/>
  <c r="A236" s="1"/>
  <c r="Y83"/>
  <c r="A83" s="1"/>
  <c r="Y175"/>
  <c r="A175" s="1"/>
  <c r="L217"/>
  <c r="D217" s="1"/>
  <c r="L214"/>
  <c r="D214" s="1"/>
  <c r="B167"/>
  <c r="C167" s="1"/>
  <c r="B157"/>
  <c r="C157" s="1"/>
  <c r="B111"/>
  <c r="C111" s="1"/>
  <c r="B87"/>
  <c r="C87" s="1"/>
  <c r="B42"/>
  <c r="C42" s="1"/>
  <c r="B198"/>
  <c r="C198" s="1"/>
  <c r="B232"/>
  <c r="C232" s="1"/>
  <c r="B135"/>
  <c r="C135" s="1"/>
  <c r="B148"/>
  <c r="C148" s="1"/>
  <c r="B220"/>
  <c r="C220" s="1"/>
  <c r="B44"/>
  <c r="C44" s="1"/>
  <c r="B94"/>
  <c r="C94" s="1"/>
  <c r="B137"/>
  <c r="C137" s="1"/>
  <c r="B144"/>
  <c r="C144" s="1"/>
  <c r="B268"/>
  <c r="C268" s="1"/>
  <c r="B196"/>
  <c r="C196" s="1"/>
  <c r="B34"/>
  <c r="C34" s="1"/>
  <c r="B119"/>
  <c r="C119" s="1"/>
  <c r="L83"/>
  <c r="D83" s="1"/>
  <c r="L167"/>
  <c r="D167" s="1"/>
  <c r="Y57"/>
  <c r="A57" s="1"/>
  <c r="L222"/>
  <c r="M222" s="1"/>
  <c r="N222" s="1"/>
  <c r="O222" s="1"/>
  <c r="P222" s="1"/>
  <c r="Q222" s="1"/>
  <c r="R222" s="1"/>
  <c r="K222" s="1"/>
  <c r="L48"/>
  <c r="M48" s="1"/>
  <c r="Y140"/>
  <c r="A140" s="1"/>
  <c r="X140"/>
  <c r="L140" s="1"/>
  <c r="M140" s="1"/>
  <c r="X202"/>
  <c r="L202" s="1"/>
  <c r="D202" s="1"/>
  <c r="X75"/>
  <c r="L75" s="1"/>
  <c r="M75" s="1"/>
  <c r="X161"/>
  <c r="Y161" s="1"/>
  <c r="A161" s="1"/>
  <c r="Y224"/>
  <c r="A224" s="1"/>
  <c r="L224"/>
  <c r="M224" s="1"/>
  <c r="N224" s="1"/>
  <c r="O224" s="1"/>
  <c r="G224" s="1"/>
  <c r="X277"/>
  <c r="L277" s="1"/>
  <c r="X231"/>
  <c r="Y231" s="1"/>
  <c r="A231" s="1"/>
  <c r="X168"/>
  <c r="Y168" s="1"/>
  <c r="A168" s="1"/>
  <c r="X263"/>
  <c r="Y263" s="1"/>
  <c r="A263" s="1"/>
  <c r="X99"/>
  <c r="Y99" s="1"/>
  <c r="A99" s="1"/>
  <c r="X61"/>
  <c r="L61" s="1"/>
  <c r="X218"/>
  <c r="Y218" s="1"/>
  <c r="A218" s="1"/>
  <c r="X20"/>
  <c r="L20" s="1"/>
  <c r="M20" s="1"/>
  <c r="X271"/>
  <c r="Y271" s="1"/>
  <c r="A271" s="1"/>
  <c r="X230"/>
  <c r="Y230" s="1"/>
  <c r="A230" s="1"/>
  <c r="X65"/>
  <c r="Y65" s="1"/>
  <c r="A65" s="1"/>
  <c r="X185"/>
  <c r="Y185" s="1"/>
  <c r="A185" s="1"/>
  <c r="X53"/>
  <c r="Y53" s="1"/>
  <c r="A53" s="1"/>
  <c r="X206"/>
  <c r="Y206" s="1"/>
  <c r="A206" s="1"/>
  <c r="L193"/>
  <c r="M193" s="1"/>
  <c r="N193" s="1"/>
  <c r="O193" s="1"/>
  <c r="G193" s="1"/>
  <c r="X193"/>
  <c r="Y193" s="1"/>
  <c r="A193" s="1"/>
  <c r="Y234"/>
  <c r="A234" s="1"/>
  <c r="L234"/>
  <c r="D234" s="1"/>
  <c r="L157"/>
  <c r="D157" s="1"/>
  <c r="D186"/>
  <c r="L14"/>
  <c r="D14" s="1"/>
  <c r="X89"/>
  <c r="Y89" s="1"/>
  <c r="A89" s="1"/>
  <c r="L25"/>
  <c r="M25" s="1"/>
  <c r="E25" s="1"/>
  <c r="L143"/>
  <c r="M143" s="1"/>
  <c r="E143" s="1"/>
  <c r="L33"/>
  <c r="D33" s="1"/>
  <c r="L129"/>
  <c r="Y28"/>
  <c r="A28" s="1"/>
  <c r="Y179"/>
  <c r="A179" s="1"/>
  <c r="X6"/>
  <c r="L6" s="1"/>
  <c r="Y31"/>
  <c r="A31" s="1"/>
  <c r="M179"/>
  <c r="E179" s="1"/>
  <c r="E166"/>
  <c r="L8"/>
  <c r="M8" s="1"/>
  <c r="N8" s="1"/>
  <c r="O8" s="1"/>
  <c r="P8" s="1"/>
  <c r="H8" s="1"/>
  <c r="L147"/>
  <c r="M147" s="1"/>
  <c r="L238"/>
  <c r="M238" s="1"/>
  <c r="E238" s="1"/>
  <c r="L229"/>
  <c r="M229" s="1"/>
  <c r="L66"/>
  <c r="M66" s="1"/>
  <c r="L87"/>
  <c r="D87" s="1"/>
  <c r="L52"/>
  <c r="X151"/>
  <c r="L151" s="1"/>
  <c r="M151" s="1"/>
  <c r="Y25"/>
  <c r="A25" s="1"/>
  <c r="Y186"/>
  <c r="A186" s="1"/>
  <c r="L63"/>
  <c r="M63" s="1"/>
  <c r="N63" s="1"/>
  <c r="O63" s="1"/>
  <c r="M221"/>
  <c r="E221" s="1"/>
  <c r="M199"/>
  <c r="N199" s="1"/>
  <c r="O199" s="1"/>
  <c r="G199" s="1"/>
  <c r="Y274"/>
  <c r="A274" s="1"/>
  <c r="Y72"/>
  <c r="A72" s="1"/>
  <c r="L72"/>
  <c r="X188"/>
  <c r="Y188" s="1"/>
  <c r="A188" s="1"/>
  <c r="L209"/>
  <c r="D209" s="1"/>
  <c r="Y209"/>
  <c r="A209" s="1"/>
  <c r="Y74"/>
  <c r="A74" s="1"/>
  <c r="L74"/>
  <c r="L248"/>
  <c r="M248" s="1"/>
  <c r="N248" s="1"/>
  <c r="O248" s="1"/>
  <c r="P248" s="1"/>
  <c r="Q248" s="1"/>
  <c r="R248" s="1"/>
  <c r="K248" s="1"/>
  <c r="X233"/>
  <c r="Y233" s="1"/>
  <c r="A233" s="1"/>
  <c r="Y210"/>
  <c r="A210" s="1"/>
  <c r="Y126"/>
  <c r="A126" s="1"/>
  <c r="L126"/>
  <c r="D126" s="1"/>
  <c r="Y213"/>
  <c r="A213" s="1"/>
  <c r="L213"/>
  <c r="D213" s="1"/>
  <c r="Y32"/>
  <c r="A32" s="1"/>
  <c r="L32"/>
  <c r="L108"/>
  <c r="D108" s="1"/>
  <c r="Y108"/>
  <c r="A108" s="1"/>
  <c r="D59"/>
  <c r="M59"/>
  <c r="F82"/>
  <c r="O82"/>
  <c r="G82" s="1"/>
  <c r="L50"/>
  <c r="M50" s="1"/>
  <c r="E170"/>
  <c r="Y199"/>
  <c r="A199" s="1"/>
  <c r="D199"/>
  <c r="L37"/>
  <c r="M37" s="1"/>
  <c r="Y174"/>
  <c r="A174" s="1"/>
  <c r="L174"/>
  <c r="M174" s="1"/>
  <c r="N174" s="1"/>
  <c r="Y257"/>
  <c r="A257" s="1"/>
  <c r="L257"/>
  <c r="D257" s="1"/>
  <c r="M187"/>
  <c r="E187" s="1"/>
  <c r="D187"/>
  <c r="Y2"/>
  <c r="A2" s="1"/>
  <c r="L2"/>
  <c r="D2" s="1"/>
  <c r="X18"/>
  <c r="Y18" s="1"/>
  <c r="A18" s="1"/>
  <c r="X49"/>
  <c r="Y49" s="1"/>
  <c r="A49" s="1"/>
  <c r="Y150"/>
  <c r="A150" s="1"/>
  <c r="L150"/>
  <c r="D150" s="1"/>
  <c r="Y122"/>
  <c r="A122" s="1"/>
  <c r="L122"/>
  <c r="M122" s="1"/>
  <c r="N122" s="1"/>
  <c r="Y109"/>
  <c r="A109" s="1"/>
  <c r="L109"/>
  <c r="D109" s="1"/>
  <c r="Y146"/>
  <c r="A146" s="1"/>
  <c r="L146"/>
  <c r="D146" s="1"/>
  <c r="L68"/>
  <c r="Y177"/>
  <c r="A177" s="1"/>
  <c r="L177"/>
  <c r="X70"/>
  <c r="Y70" s="1"/>
  <c r="A70" s="1"/>
  <c r="N201"/>
  <c r="F201" s="1"/>
  <c r="Y24"/>
  <c r="A24" s="1"/>
  <c r="L24"/>
  <c r="Y93"/>
  <c r="A93" s="1"/>
  <c r="Y267"/>
  <c r="A267" s="1"/>
  <c r="L267"/>
  <c r="N229"/>
  <c r="F229" s="1"/>
  <c r="L9"/>
  <c r="M9" s="1"/>
  <c r="N9" s="1"/>
  <c r="O9" s="1"/>
  <c r="P9" s="1"/>
  <c r="Q9" s="1"/>
  <c r="R9" s="1"/>
  <c r="K9" s="1"/>
  <c r="Y228"/>
  <c r="A228" s="1"/>
  <c r="L228"/>
  <c r="D228" s="1"/>
  <c r="Y142"/>
  <c r="A142" s="1"/>
  <c r="L142"/>
  <c r="Y4"/>
  <c r="A4" s="1"/>
  <c r="L4"/>
  <c r="D4" s="1"/>
  <c r="Y38"/>
  <c r="A38" s="1"/>
  <c r="L38"/>
  <c r="M38" s="1"/>
  <c r="N38" s="1"/>
  <c r="F38" s="1"/>
  <c r="Y221"/>
  <c r="A221" s="1"/>
  <c r="D221"/>
  <c r="X190"/>
  <c r="Y190" s="1"/>
  <c r="A190" s="1"/>
  <c r="Y194"/>
  <c r="A194" s="1"/>
  <c r="N48"/>
  <c r="L112"/>
  <c r="M112" s="1"/>
  <c r="N112" s="1"/>
  <c r="O112" s="1"/>
  <c r="Y159"/>
  <c r="A159" s="1"/>
  <c r="L159"/>
  <c r="D159" s="1"/>
  <c r="Y154"/>
  <c r="A154" s="1"/>
  <c r="D154"/>
  <c r="L154"/>
  <c r="Y176"/>
  <c r="A176" s="1"/>
  <c r="L176"/>
  <c r="Y153"/>
  <c r="A153" s="1"/>
  <c r="L153"/>
  <c r="D153" s="1"/>
  <c r="M255"/>
  <c r="X242"/>
  <c r="Y242" s="1"/>
  <c r="A242" s="1"/>
  <c r="X203"/>
  <c r="Y203" s="1"/>
  <c r="A203" s="1"/>
  <c r="L104"/>
  <c r="D104" s="1"/>
  <c r="L93"/>
  <c r="D93" s="1"/>
  <c r="X191"/>
  <c r="Y191" s="1"/>
  <c r="A191" s="1"/>
  <c r="X165"/>
  <c r="Y165" s="1"/>
  <c r="A165" s="1"/>
  <c r="X251"/>
  <c r="Y251" s="1"/>
  <c r="A251" s="1"/>
  <c r="Y241"/>
  <c r="A241" s="1"/>
  <c r="L241"/>
  <c r="M241" s="1"/>
  <c r="E241" s="1"/>
  <c r="Y54"/>
  <c r="A54" s="1"/>
  <c r="L54"/>
  <c r="M54" s="1"/>
  <c r="L44"/>
  <c r="M44" s="1"/>
  <c r="N44" s="1"/>
  <c r="O44" s="1"/>
  <c r="P44" s="1"/>
  <c r="Q44" s="1"/>
  <c r="R44" s="1"/>
  <c r="K44" s="1"/>
  <c r="Y222"/>
  <c r="A222" s="1"/>
  <c r="D222"/>
  <c r="L253"/>
  <c r="M253" s="1"/>
  <c r="N253" s="1"/>
  <c r="O253" s="1"/>
  <c r="M268"/>
  <c r="L268"/>
  <c r="D268" s="1"/>
  <c r="Y197"/>
  <c r="A197" s="1"/>
  <c r="L197"/>
  <c r="D197" s="1"/>
  <c r="Y275"/>
  <c r="A275" s="1"/>
  <c r="L275"/>
  <c r="D275" s="1"/>
  <c r="Y273"/>
  <c r="A273" s="1"/>
  <c r="Y13"/>
  <c r="A13" s="1"/>
  <c r="L13"/>
  <c r="X77"/>
  <c r="Y77" s="1"/>
  <c r="A77" s="1"/>
  <c r="L144"/>
  <c r="M144" s="1"/>
  <c r="L269"/>
  <c r="L26"/>
  <c r="L125"/>
  <c r="M125" s="1"/>
  <c r="N125" s="1"/>
  <c r="O125" s="1"/>
  <c r="P125" s="1"/>
  <c r="Q125" s="1"/>
  <c r="L43"/>
  <c r="M43" s="1"/>
  <c r="N43" s="1"/>
  <c r="O43" s="1"/>
  <c r="D69"/>
  <c r="L69"/>
  <c r="M69" s="1"/>
  <c r="N69" s="1"/>
  <c r="O69" s="1"/>
  <c r="P69" s="1"/>
  <c r="Q69" s="1"/>
  <c r="L133"/>
  <c r="M133" s="1"/>
  <c r="N133" s="1"/>
  <c r="F186"/>
  <c r="X46"/>
  <c r="Y46" s="1"/>
  <c r="A46" s="1"/>
  <c r="L149"/>
  <c r="M149" s="1"/>
  <c r="N149" s="1"/>
  <c r="D63"/>
  <c r="L280"/>
  <c r="F166"/>
  <c r="L79"/>
  <c r="D79" s="1"/>
  <c r="L252"/>
  <c r="L216"/>
  <c r="D216" s="1"/>
  <c r="M31"/>
  <c r="E31" s="1"/>
  <c r="L270"/>
  <c r="L189"/>
  <c r="X141"/>
  <c r="Y141" s="1"/>
  <c r="A141" s="1"/>
  <c r="Y51"/>
  <c r="A51" s="1"/>
  <c r="L51"/>
  <c r="D51" s="1"/>
  <c r="L227"/>
  <c r="M227" s="1"/>
  <c r="X182"/>
  <c r="Y182" s="1"/>
  <c r="A182" s="1"/>
  <c r="M211"/>
  <c r="Y211"/>
  <c r="A211" s="1"/>
  <c r="D211"/>
  <c r="Y35"/>
  <c r="A35" s="1"/>
  <c r="D35"/>
  <c r="Y223"/>
  <c r="A223" s="1"/>
  <c r="Y181"/>
  <c r="A181" s="1"/>
  <c r="L181"/>
  <c r="D181" s="1"/>
  <c r="Y261"/>
  <c r="A261" s="1"/>
  <c r="L261"/>
  <c r="Y114"/>
  <c r="A114" s="1"/>
  <c r="L114"/>
  <c r="Y116"/>
  <c r="A116" s="1"/>
  <c r="L116"/>
  <c r="D116" s="1"/>
  <c r="Y102"/>
  <c r="A102" s="1"/>
  <c r="L102"/>
  <c r="D102" s="1"/>
  <c r="Y225"/>
  <c r="A225" s="1"/>
  <c r="L225"/>
  <c r="Y88"/>
  <c r="A88" s="1"/>
  <c r="L88"/>
  <c r="Y19"/>
  <c r="A19" s="1"/>
  <c r="L19"/>
  <c r="X22"/>
  <c r="L136"/>
  <c r="M136" s="1"/>
  <c r="L123"/>
  <c r="D123" s="1"/>
  <c r="E212"/>
  <c r="L212"/>
  <c r="M212" s="1"/>
  <c r="N212" s="1"/>
  <c r="X115"/>
  <c r="Y115" s="1"/>
  <c r="A115" s="1"/>
  <c r="L256"/>
  <c r="D256" s="1"/>
  <c r="L28"/>
  <c r="D28" s="1"/>
  <c r="D78"/>
  <c r="M78"/>
  <c r="N78" s="1"/>
  <c r="O78" s="1"/>
  <c r="P78" s="1"/>
  <c r="Q78" s="1"/>
  <c r="R78" s="1"/>
  <c r="K78" s="1"/>
  <c r="L195"/>
  <c r="L64"/>
  <c r="D64" s="1"/>
  <c r="E222"/>
  <c r="L138"/>
  <c r="M138" s="1"/>
  <c r="X163"/>
  <c r="L163" s="1"/>
  <c r="M163" s="1"/>
  <c r="X7"/>
  <c r="Y7" s="1"/>
  <c r="A7" s="1"/>
  <c r="L196"/>
  <c r="D237"/>
  <c r="M35"/>
  <c r="N35" s="1"/>
  <c r="L204"/>
  <c r="D204" s="1"/>
  <c r="L215"/>
  <c r="L223"/>
  <c r="L132"/>
  <c r="L205"/>
  <c r="L139"/>
  <c r="L258"/>
  <c r="L226"/>
  <c r="L118"/>
  <c r="Y262"/>
  <c r="A262" s="1"/>
  <c r="L262"/>
  <c r="Y272"/>
  <c r="A272" s="1"/>
  <c r="L272"/>
  <c r="Y162"/>
  <c r="A162" s="1"/>
  <c r="L162"/>
  <c r="D162" s="1"/>
  <c r="L23"/>
  <c r="M23" s="1"/>
  <c r="D200"/>
  <c r="M200"/>
  <c r="N200" s="1"/>
  <c r="O200" s="1"/>
  <c r="P200" s="1"/>
  <c r="Q200" s="1"/>
  <c r="R200" s="1"/>
  <c r="K200" s="1"/>
  <c r="Y106"/>
  <c r="A106" s="1"/>
  <c r="L106"/>
  <c r="M106" s="1"/>
  <c r="N106" s="1"/>
  <c r="Y178"/>
  <c r="A178" s="1"/>
  <c r="L178"/>
  <c r="D178" s="1"/>
  <c r="Y254"/>
  <c r="A254" s="1"/>
  <c r="L254"/>
  <c r="Y155"/>
  <c r="A155" s="1"/>
  <c r="L155"/>
  <c r="Y279"/>
  <c r="A279" s="1"/>
  <c r="L279"/>
  <c r="D279" s="1"/>
  <c r="Y152"/>
  <c r="A152" s="1"/>
  <c r="L152"/>
  <c r="Y101"/>
  <c r="A101" s="1"/>
  <c r="L101"/>
  <c r="D101" s="1"/>
  <c r="Y6"/>
  <c r="A6" s="1"/>
  <c r="Y170"/>
  <c r="A170" s="1"/>
  <c r="D170"/>
  <c r="Y21"/>
  <c r="A21" s="1"/>
  <c r="X183"/>
  <c r="Y183" s="1"/>
  <c r="A183" s="1"/>
  <c r="L137"/>
  <c r="M137" s="1"/>
  <c r="N137" s="1"/>
  <c r="O137" s="1"/>
  <c r="L175"/>
  <c r="M175" s="1"/>
  <c r="N175" s="1"/>
  <c r="O175" s="1"/>
  <c r="P175" s="1"/>
  <c r="H175" s="1"/>
  <c r="L94"/>
  <c r="M94" s="1"/>
  <c r="N94" s="1"/>
  <c r="O94" s="1"/>
  <c r="P94" s="1"/>
  <c r="Q94" s="1"/>
  <c r="L264"/>
  <c r="H110"/>
  <c r="L110"/>
  <c r="M110" s="1"/>
  <c r="N110" s="1"/>
  <c r="O110" s="1"/>
  <c r="P110" s="1"/>
  <c r="Q110" s="1"/>
  <c r="L198"/>
  <c r="D198" s="1"/>
  <c r="L127"/>
  <c r="M127" s="1"/>
  <c r="N127" s="1"/>
  <c r="O127" s="1"/>
  <c r="L250"/>
  <c r="L207"/>
  <c r="D207" s="1"/>
  <c r="L5"/>
  <c r="M5" s="1"/>
  <c r="N5" s="1"/>
  <c r="F222"/>
  <c r="L12"/>
  <c r="D12" s="1"/>
  <c r="E201"/>
  <c r="E186"/>
  <c r="X95"/>
  <c r="Y95" s="1"/>
  <c r="A95" s="1"/>
  <c r="X73"/>
  <c r="Y73" s="1"/>
  <c r="A73" s="1"/>
  <c r="X96"/>
  <c r="L96" s="1"/>
  <c r="Y237"/>
  <c r="A237" s="1"/>
  <c r="X11"/>
  <c r="Y11" s="1"/>
  <c r="A11" s="1"/>
  <c r="X105"/>
  <c r="Y105" s="1"/>
  <c r="A105" s="1"/>
  <c r="X98"/>
  <c r="Y98" s="1"/>
  <c r="A98" s="1"/>
  <c r="L265"/>
  <c r="D265" s="1"/>
  <c r="G166"/>
  <c r="L210"/>
  <c r="D210" s="1"/>
  <c r="L273"/>
  <c r="D273" s="1"/>
  <c r="L15"/>
  <c r="D15" s="1"/>
  <c r="L119"/>
  <c r="L107"/>
  <c r="D107" s="1"/>
  <c r="L55"/>
  <c r="D55" s="1"/>
  <c r="L16"/>
  <c r="D16" s="1"/>
  <c r="L263"/>
  <c r="D263" s="1"/>
  <c r="D258"/>
  <c r="L27"/>
  <c r="D27" s="1"/>
  <c r="L145"/>
  <c r="D145" s="1"/>
  <c r="L40"/>
  <c r="D40" s="1"/>
  <c r="E82"/>
  <c r="D82"/>
  <c r="X124"/>
  <c r="Y124" s="1"/>
  <c r="A124" s="1"/>
  <c r="L240"/>
  <c r="M240" s="1"/>
  <c r="N240" s="1"/>
  <c r="O240" s="1"/>
  <c r="Y249"/>
  <c r="A249" s="1"/>
  <c r="L30"/>
  <c r="M30" s="1"/>
  <c r="N30" s="1"/>
  <c r="O30" s="1"/>
  <c r="P30" s="1"/>
  <c r="L171"/>
  <c r="M171" s="1"/>
  <c r="N171" s="1"/>
  <c r="O171" s="1"/>
  <c r="X91"/>
  <c r="L91" s="1"/>
  <c r="L164"/>
  <c r="M164" s="1"/>
  <c r="N164" s="1"/>
  <c r="X259"/>
  <c r="Y259" s="1"/>
  <c r="A259" s="1"/>
  <c r="Y192"/>
  <c r="A192" s="1"/>
  <c r="L192"/>
  <c r="Y58"/>
  <c r="A58" s="1"/>
  <c r="L58"/>
  <c r="D58" s="1"/>
  <c r="Y235"/>
  <c r="A235" s="1"/>
  <c r="L235"/>
  <c r="D235" s="1"/>
  <c r="Y173"/>
  <c r="A173" s="1"/>
  <c r="L173"/>
  <c r="Y41"/>
  <c r="A41" s="1"/>
  <c r="L41"/>
  <c r="D41" s="1"/>
  <c r="Y166"/>
  <c r="A166" s="1"/>
  <c r="Y247"/>
  <c r="A247" s="1"/>
  <c r="L247"/>
  <c r="D247" s="1"/>
  <c r="Y130"/>
  <c r="A130" s="1"/>
  <c r="L130"/>
  <c r="D130" s="1"/>
  <c r="Y158"/>
  <c r="A158" s="1"/>
  <c r="X60"/>
  <c r="Y60" s="1"/>
  <c r="A60" s="1"/>
  <c r="L45"/>
  <c r="M45" s="1"/>
  <c r="N45" s="1"/>
  <c r="L103"/>
  <c r="D103" s="1"/>
  <c r="L135"/>
  <c r="M135" s="1"/>
  <c r="N135" s="1"/>
  <c r="L81"/>
  <c r="M81" s="1"/>
  <c r="N81" s="1"/>
  <c r="O81" s="1"/>
  <c r="L278"/>
  <c r="D278" s="1"/>
  <c r="X208"/>
  <c r="L120"/>
  <c r="M120" s="1"/>
  <c r="L42"/>
  <c r="D42" s="1"/>
  <c r="L266"/>
  <c r="D255"/>
  <c r="L249"/>
  <c r="D249" s="1"/>
  <c r="X219"/>
  <c r="L219" s="1"/>
  <c r="X39"/>
  <c r="Y39" s="1"/>
  <c r="A39" s="1"/>
  <c r="X71"/>
  <c r="Y71" s="1"/>
  <c r="A71" s="1"/>
  <c r="X92"/>
  <c r="Y92" s="1"/>
  <c r="A92" s="1"/>
  <c r="X97"/>
  <c r="Y97" s="1"/>
  <c r="A97" s="1"/>
  <c r="X134"/>
  <c r="Y134" s="1"/>
  <c r="A134" s="1"/>
  <c r="X76"/>
  <c r="Y76" s="1"/>
  <c r="A76" s="1"/>
  <c r="L90"/>
  <c r="G222"/>
  <c r="L3"/>
  <c r="L232"/>
  <c r="L34"/>
  <c r="D31"/>
  <c r="L244"/>
  <c r="L131"/>
  <c r="L67"/>
  <c r="L21"/>
  <c r="M21" s="1"/>
  <c r="N21" s="1"/>
  <c r="F21" s="1"/>
  <c r="L158"/>
  <c r="D158" s="1"/>
  <c r="O170"/>
  <c r="G170" s="1"/>
  <c r="N237"/>
  <c r="F170"/>
  <c r="E237"/>
  <c r="P57"/>
  <c r="H57" s="1"/>
  <c r="O186"/>
  <c r="G186" s="1"/>
  <c r="F193"/>
  <c r="Y36"/>
  <c r="A36" s="1"/>
  <c r="L36"/>
  <c r="Y86"/>
  <c r="A86" s="1"/>
  <c r="L86"/>
  <c r="M86" s="1"/>
  <c r="Y100"/>
  <c r="A100" s="1"/>
  <c r="L100"/>
  <c r="M100" s="1"/>
  <c r="L274"/>
  <c r="D274" s="1"/>
  <c r="L156"/>
  <c r="D156" s="1"/>
  <c r="L29"/>
  <c r="D29" s="1"/>
  <c r="L243"/>
  <c r="L47"/>
  <c r="L194"/>
  <c r="D194" s="1"/>
  <c r="Y78"/>
  <c r="A78" s="1"/>
  <c r="Y117"/>
  <c r="A117" s="1"/>
  <c r="L117"/>
  <c r="D117" s="1"/>
  <c r="Y180"/>
  <c r="A180" s="1"/>
  <c r="L180"/>
  <c r="Y276"/>
  <c r="A276" s="1"/>
  <c r="Y187"/>
  <c r="A187" s="1"/>
  <c r="Y169"/>
  <c r="A169" s="1"/>
  <c r="L169"/>
  <c r="D169" s="1"/>
  <c r="L62"/>
  <c r="D62" s="1"/>
  <c r="L260"/>
  <c r="L276"/>
  <c r="Y281"/>
  <c r="A281" s="1"/>
  <c r="L281"/>
  <c r="D281" s="1"/>
  <c r="Y184"/>
  <c r="A184" s="1"/>
  <c r="L184"/>
  <c r="D184" s="1"/>
  <c r="Y113"/>
  <c r="A113" s="1"/>
  <c r="L113"/>
  <c r="D113" s="1"/>
  <c r="L245"/>
  <c r="L220"/>
  <c r="D220" s="1"/>
  <c r="Y68"/>
  <c r="A68" s="1"/>
  <c r="Y200"/>
  <c r="A200" s="1"/>
  <c r="Y172"/>
  <c r="A172" s="1"/>
  <c r="L172"/>
  <c r="M172" s="1"/>
  <c r="L246"/>
  <c r="M246" s="1"/>
  <c r="N246" s="1"/>
  <c r="O246" s="1"/>
  <c r="P246" s="1"/>
  <c r="Q246" s="1"/>
  <c r="R246" s="1"/>
  <c r="K246" s="1"/>
  <c r="L111"/>
  <c r="L85"/>
  <c r="D300" l="1"/>
  <c r="M300"/>
  <c r="E284"/>
  <c r="N284"/>
  <c r="E288"/>
  <c r="D292"/>
  <c r="M292"/>
  <c r="E298"/>
  <c r="M298"/>
  <c r="E282"/>
  <c r="E297"/>
  <c r="B301"/>
  <c r="C301" s="1"/>
  <c r="B285"/>
  <c r="C285" s="1"/>
  <c r="B297"/>
  <c r="C297" s="1"/>
  <c r="D297"/>
  <c r="E299"/>
  <c r="G299"/>
  <c r="F296"/>
  <c r="N296"/>
  <c r="O296" s="1"/>
  <c r="P296" s="1"/>
  <c r="H296" s="1"/>
  <c r="O299"/>
  <c r="G285"/>
  <c r="O285"/>
  <c r="H299"/>
  <c r="P299"/>
  <c r="G293"/>
  <c r="O293"/>
  <c r="O286"/>
  <c r="G286" s="1"/>
  <c r="G289"/>
  <c r="O289"/>
  <c r="P288"/>
  <c r="H288" s="1"/>
  <c r="G294"/>
  <c r="O294"/>
  <c r="P291"/>
  <c r="H291" s="1"/>
  <c r="G290"/>
  <c r="O290"/>
  <c r="H295"/>
  <c r="P295"/>
  <c r="H287"/>
  <c r="P287"/>
  <c r="O301"/>
  <c r="G301" s="1"/>
  <c r="O282"/>
  <c r="G282" s="1"/>
  <c r="O297"/>
  <c r="G297" s="1"/>
  <c r="G295"/>
  <c r="P283"/>
  <c r="H283" s="1"/>
  <c r="F290"/>
  <c r="F285"/>
  <c r="F297"/>
  <c r="M214"/>
  <c r="N214" s="1"/>
  <c r="O214" s="1"/>
  <c r="P214" s="1"/>
  <c r="Q214" s="1"/>
  <c r="R214" s="1"/>
  <c r="K214" s="1"/>
  <c r="D38"/>
  <c r="N25"/>
  <c r="O25" s="1"/>
  <c r="Q175"/>
  <c r="I175" s="1"/>
  <c r="L115"/>
  <c r="D115" s="1"/>
  <c r="D193"/>
  <c r="Y277"/>
  <c r="A277" s="1"/>
  <c r="E193"/>
  <c r="O80"/>
  <c r="G80" s="1"/>
  <c r="L134"/>
  <c r="M134" s="1"/>
  <c r="N134" s="1"/>
  <c r="O134" s="1"/>
  <c r="P134" s="1"/>
  <c r="Q134" s="1"/>
  <c r="R134" s="1"/>
  <c r="K134" s="1"/>
  <c r="P81"/>
  <c r="Q81" s="1"/>
  <c r="R81" s="1"/>
  <c r="K81" s="1"/>
  <c r="I214"/>
  <c r="M167"/>
  <c r="E167" s="1"/>
  <c r="P80"/>
  <c r="H80" s="1"/>
  <c r="M148"/>
  <c r="E148" s="1"/>
  <c r="D84"/>
  <c r="A42" i="3" s="1"/>
  <c r="E48" i="1"/>
  <c r="E149"/>
  <c r="D50"/>
  <c r="D248"/>
  <c r="L231"/>
  <c r="M231" s="1"/>
  <c r="E231" s="1"/>
  <c r="A21" i="3"/>
  <c r="F127" i="1"/>
  <c r="D48"/>
  <c r="M128"/>
  <c r="E128" s="1"/>
  <c r="E43"/>
  <c r="D253"/>
  <c r="B201" i="3"/>
  <c r="Y202" i="1"/>
  <c r="A202" s="1"/>
  <c r="B202" s="1"/>
  <c r="C202" s="1"/>
  <c r="Q227" i="5"/>
  <c r="M168"/>
  <c r="E168" s="1"/>
  <c r="F227"/>
  <c r="O198"/>
  <c r="G198" s="1"/>
  <c r="F273"/>
  <c r="G88"/>
  <c r="E88"/>
  <c r="F8"/>
  <c r="E180"/>
  <c r="M279"/>
  <c r="E149"/>
  <c r="D5"/>
  <c r="E67"/>
  <c r="O37"/>
  <c r="F37"/>
  <c r="G270"/>
  <c r="D125"/>
  <c r="F88"/>
  <c r="F193"/>
  <c r="N95"/>
  <c r="F95" s="1"/>
  <c r="N24"/>
  <c r="F24" s="1"/>
  <c r="E14"/>
  <c r="E177"/>
  <c r="O13"/>
  <c r="G13" s="1"/>
  <c r="F175"/>
  <c r="E202"/>
  <c r="D233"/>
  <c r="M233"/>
  <c r="E255"/>
  <c r="G51"/>
  <c r="M133"/>
  <c r="E133" s="1"/>
  <c r="D244"/>
  <c r="G42"/>
  <c r="G175"/>
  <c r="F42"/>
  <c r="M98"/>
  <c r="D177"/>
  <c r="D13"/>
  <c r="F180"/>
  <c r="O180"/>
  <c r="N193"/>
  <c r="E185"/>
  <c r="E244"/>
  <c r="F51"/>
  <c r="F66"/>
  <c r="E5"/>
  <c r="E175"/>
  <c r="D255"/>
  <c r="D77"/>
  <c r="F32"/>
  <c r="E193"/>
  <c r="M207"/>
  <c r="D207"/>
  <c r="N9"/>
  <c r="F9" s="1"/>
  <c r="H86"/>
  <c r="E13"/>
  <c r="E130"/>
  <c r="M268"/>
  <c r="E268" s="1"/>
  <c r="N255"/>
  <c r="O255" s="1"/>
  <c r="G255" s="1"/>
  <c r="N170"/>
  <c r="F170" s="1"/>
  <c r="D258"/>
  <c r="E98"/>
  <c r="D149"/>
  <c r="M79"/>
  <c r="N79" s="1"/>
  <c r="M12"/>
  <c r="E12" s="1"/>
  <c r="N263"/>
  <c r="O263" s="1"/>
  <c r="G263" s="1"/>
  <c r="G210"/>
  <c r="E66"/>
  <c r="G185"/>
  <c r="M87"/>
  <c r="E87" s="1"/>
  <c r="N258"/>
  <c r="F258" s="1"/>
  <c r="G120"/>
  <c r="N271"/>
  <c r="F271" s="1"/>
  <c r="D108"/>
  <c r="G227"/>
  <c r="D188"/>
  <c r="E96"/>
  <c r="N101"/>
  <c r="F101" s="1"/>
  <c r="M136"/>
  <c r="E136" s="1"/>
  <c r="E77"/>
  <c r="N77"/>
  <c r="E94"/>
  <c r="M94"/>
  <c r="D281"/>
  <c r="M281"/>
  <c r="R109"/>
  <c r="K109" s="1"/>
  <c r="N10"/>
  <c r="O10" s="1"/>
  <c r="F18"/>
  <c r="F120"/>
  <c r="H210"/>
  <c r="E271"/>
  <c r="F130"/>
  <c r="E8"/>
  <c r="D219"/>
  <c r="D7"/>
  <c r="D58"/>
  <c r="E58"/>
  <c r="M58"/>
  <c r="N160"/>
  <c r="F160" s="1"/>
  <c r="M44"/>
  <c r="E44" s="1"/>
  <c r="M35"/>
  <c r="D35"/>
  <c r="N113"/>
  <c r="O113" s="1"/>
  <c r="P113" s="1"/>
  <c r="H113" s="1"/>
  <c r="D263"/>
  <c r="D268"/>
  <c r="O223"/>
  <c r="P223" s="1"/>
  <c r="F149"/>
  <c r="F223"/>
  <c r="H227"/>
  <c r="G149"/>
  <c r="M2"/>
  <c r="F185"/>
  <c r="D215"/>
  <c r="F270"/>
  <c r="E160"/>
  <c r="D136"/>
  <c r="M75"/>
  <c r="E75" s="1"/>
  <c r="M102"/>
  <c r="M150"/>
  <c r="N220"/>
  <c r="F220" s="1"/>
  <c r="E10"/>
  <c r="E188"/>
  <c r="E263"/>
  <c r="E18"/>
  <c r="E258"/>
  <c r="E7"/>
  <c r="E215"/>
  <c r="D102"/>
  <c r="F162"/>
  <c r="N162"/>
  <c r="B161"/>
  <c r="C161" s="1"/>
  <c r="P204"/>
  <c r="N259"/>
  <c r="F259" s="1"/>
  <c r="D84"/>
  <c r="M84"/>
  <c r="O40"/>
  <c r="N203"/>
  <c r="F203" s="1"/>
  <c r="N251"/>
  <c r="N2"/>
  <c r="B230"/>
  <c r="C230" s="1"/>
  <c r="N59"/>
  <c r="F59" s="1"/>
  <c r="M157"/>
  <c r="Q120"/>
  <c r="I120" s="1"/>
  <c r="B43"/>
  <c r="C43" s="1"/>
  <c r="M114"/>
  <c r="E114" s="1"/>
  <c r="N245"/>
  <c r="N181"/>
  <c r="F181" s="1"/>
  <c r="B155"/>
  <c r="C155" s="1"/>
  <c r="Q88"/>
  <c r="I88" s="1"/>
  <c r="N92"/>
  <c r="F92" s="1"/>
  <c r="F153"/>
  <c r="N153"/>
  <c r="P130"/>
  <c r="H130" s="1"/>
  <c r="M19"/>
  <c r="E19" s="1"/>
  <c r="M262"/>
  <c r="N23"/>
  <c r="F23" s="1"/>
  <c r="O244"/>
  <c r="D274"/>
  <c r="E274"/>
  <c r="M274"/>
  <c r="B115"/>
  <c r="C115" s="1"/>
  <c r="N71"/>
  <c r="N61"/>
  <c r="F61" s="1"/>
  <c r="E61"/>
  <c r="B33"/>
  <c r="C33" s="1"/>
  <c r="M105"/>
  <c r="E105" s="1"/>
  <c r="H8"/>
  <c r="P8"/>
  <c r="N121"/>
  <c r="F121" s="1"/>
  <c r="O215"/>
  <c r="M186"/>
  <c r="E186" s="1"/>
  <c r="B70"/>
  <c r="C70" s="1"/>
  <c r="B264"/>
  <c r="C264" s="1"/>
  <c r="B144"/>
  <c r="C144" s="1"/>
  <c r="M239"/>
  <c r="E239" s="1"/>
  <c r="M33"/>
  <c r="E33" s="1"/>
  <c r="O90"/>
  <c r="G90" s="1"/>
  <c r="B169"/>
  <c r="C169" s="1"/>
  <c r="P54"/>
  <c r="G214"/>
  <c r="O214"/>
  <c r="O211"/>
  <c r="G211" s="1"/>
  <c r="M29"/>
  <c r="E29" s="1"/>
  <c r="N168"/>
  <c r="F52"/>
  <c r="N52"/>
  <c r="O256"/>
  <c r="G256" s="1"/>
  <c r="I93"/>
  <c r="Q93"/>
  <c r="H171"/>
  <c r="P171"/>
  <c r="P82"/>
  <c r="H82" s="1"/>
  <c r="O190"/>
  <c r="G190" s="1"/>
  <c r="B31"/>
  <c r="C31" s="1"/>
  <c r="B186"/>
  <c r="C186" s="1"/>
  <c r="O219"/>
  <c r="M195"/>
  <c r="E195" s="1"/>
  <c r="B166"/>
  <c r="C166" s="1"/>
  <c r="B192"/>
  <c r="C192" s="1"/>
  <c r="B64"/>
  <c r="C64" s="1"/>
  <c r="N85"/>
  <c r="F85" s="1"/>
  <c r="O187"/>
  <c r="G187" s="1"/>
  <c r="B239"/>
  <c r="C239" s="1"/>
  <c r="B260"/>
  <c r="C260" s="1"/>
  <c r="P126"/>
  <c r="H126" s="1"/>
  <c r="R86"/>
  <c r="K86" s="1"/>
  <c r="O258"/>
  <c r="H53"/>
  <c r="P53"/>
  <c r="N253"/>
  <c r="F253" s="1"/>
  <c r="N106"/>
  <c r="F106" s="1"/>
  <c r="N218"/>
  <c r="P249"/>
  <c r="H249" s="1"/>
  <c r="B154"/>
  <c r="C154" s="1"/>
  <c r="P39"/>
  <c r="H39" s="1"/>
  <c r="N228"/>
  <c r="F228" s="1"/>
  <c r="B26"/>
  <c r="C26" s="1"/>
  <c r="B139"/>
  <c r="C139" s="1"/>
  <c r="N132"/>
  <c r="F132" s="1"/>
  <c r="P240"/>
  <c r="B29"/>
  <c r="C29" s="1"/>
  <c r="B21"/>
  <c r="C21" s="1"/>
  <c r="F199"/>
  <c r="N199"/>
  <c r="E203"/>
  <c r="E153"/>
  <c r="G130"/>
  <c r="D19"/>
  <c r="E23"/>
  <c r="D114"/>
  <c r="D33"/>
  <c r="F40"/>
  <c r="E52"/>
  <c r="F256"/>
  <c r="M264"/>
  <c r="Q270"/>
  <c r="I270" s="1"/>
  <c r="B213"/>
  <c r="C213" s="1"/>
  <c r="O9"/>
  <c r="G9" s="1"/>
  <c r="Q247"/>
  <c r="I247" s="1"/>
  <c r="F174"/>
  <c r="N174"/>
  <c r="N118"/>
  <c r="F118" s="1"/>
  <c r="O124"/>
  <c r="P18"/>
  <c r="H18" s="1"/>
  <c r="B45"/>
  <c r="C45" s="1"/>
  <c r="Q185"/>
  <c r="I185" s="1"/>
  <c r="M221"/>
  <c r="Q89"/>
  <c r="I89" s="1"/>
  <c r="E265"/>
  <c r="M265"/>
  <c r="N269"/>
  <c r="F269" s="1"/>
  <c r="B30"/>
  <c r="C30" s="1"/>
  <c r="M167"/>
  <c r="E167" s="1"/>
  <c r="B275"/>
  <c r="C275" s="1"/>
  <c r="N173"/>
  <c r="F173" s="1"/>
  <c r="O267"/>
  <c r="B157"/>
  <c r="C157" s="1"/>
  <c r="N64"/>
  <c r="F64"/>
  <c r="G5"/>
  <c r="O5"/>
  <c r="F5"/>
  <c r="R22"/>
  <c r="K22" s="1"/>
  <c r="B254"/>
  <c r="C254" s="1"/>
  <c r="N91"/>
  <c r="P67"/>
  <c r="H67" s="1"/>
  <c r="B38"/>
  <c r="C38" s="1"/>
  <c r="M169"/>
  <c r="E169" s="1"/>
  <c r="D169"/>
  <c r="B222"/>
  <c r="C222" s="1"/>
  <c r="N232"/>
  <c r="F232" s="1"/>
  <c r="O28"/>
  <c r="G28" s="1"/>
  <c r="B131"/>
  <c r="C131" s="1"/>
  <c r="O208"/>
  <c r="G208" s="1"/>
  <c r="B274"/>
  <c r="C274" s="1"/>
  <c r="M115"/>
  <c r="E115" s="1"/>
  <c r="G76"/>
  <c r="O76"/>
  <c r="B95"/>
  <c r="C95" s="1"/>
  <c r="N36"/>
  <c r="F36" s="1"/>
  <c r="O47"/>
  <c r="G47" s="1"/>
  <c r="P69"/>
  <c r="B19"/>
  <c r="C19" s="1"/>
  <c r="M127"/>
  <c r="N164"/>
  <c r="F164" s="1"/>
  <c r="O191"/>
  <c r="G191" s="1"/>
  <c r="P134"/>
  <c r="H134" s="1"/>
  <c r="F243"/>
  <c r="O243"/>
  <c r="B86"/>
  <c r="C86" s="1"/>
  <c r="N65"/>
  <c r="F65" s="1"/>
  <c r="N261"/>
  <c r="B114"/>
  <c r="C114" s="1"/>
  <c r="F137"/>
  <c r="N137"/>
  <c r="O277"/>
  <c r="G277" s="1"/>
  <c r="B100"/>
  <c r="C100" s="1"/>
  <c r="N11"/>
  <c r="F11" s="1"/>
  <c r="B197"/>
  <c r="C197" s="1"/>
  <c r="H16"/>
  <c r="P16"/>
  <c r="N206"/>
  <c r="F206" s="1"/>
  <c r="F128"/>
  <c r="N128"/>
  <c r="M166"/>
  <c r="E166" s="1"/>
  <c r="E122"/>
  <c r="N122"/>
  <c r="F122" s="1"/>
  <c r="O193"/>
  <c r="G193" s="1"/>
  <c r="B265"/>
  <c r="C265" s="1"/>
  <c r="B62"/>
  <c r="C62" s="1"/>
  <c r="M260"/>
  <c r="E260" s="1"/>
  <c r="R129"/>
  <c r="K129" s="1"/>
  <c r="O170"/>
  <c r="G170" s="1"/>
  <c r="N25"/>
  <c r="F25" s="1"/>
  <c r="F241"/>
  <c r="N241"/>
  <c r="F133"/>
  <c r="N133"/>
  <c r="O177"/>
  <c r="G177" s="1"/>
  <c r="P97"/>
  <c r="M154"/>
  <c r="E154" s="1"/>
  <c r="M6"/>
  <c r="E6" s="1"/>
  <c r="N31"/>
  <c r="F31" s="1"/>
  <c r="O202"/>
  <c r="G202" s="1"/>
  <c r="N116"/>
  <c r="F116" s="1"/>
  <c r="M139"/>
  <c r="M49"/>
  <c r="E49" s="1"/>
  <c r="N158"/>
  <c r="F158" s="1"/>
  <c r="N176"/>
  <c r="F176" s="1"/>
  <c r="M43"/>
  <c r="P56"/>
  <c r="H56" s="1"/>
  <c r="D21"/>
  <c r="M21"/>
  <c r="E21" s="1"/>
  <c r="O271"/>
  <c r="G250"/>
  <c r="O250"/>
  <c r="N272"/>
  <c r="P66"/>
  <c r="H66" s="1"/>
  <c r="N275"/>
  <c r="H270"/>
  <c r="E251"/>
  <c r="H185"/>
  <c r="H89"/>
  <c r="E181"/>
  <c r="D265"/>
  <c r="E269"/>
  <c r="E79"/>
  <c r="F90"/>
  <c r="F28"/>
  <c r="D186"/>
  <c r="D239"/>
  <c r="D29"/>
  <c r="M147"/>
  <c r="E147" s="1"/>
  <c r="E229"/>
  <c r="M229"/>
  <c r="H178"/>
  <c r="P178"/>
  <c r="N189"/>
  <c r="G80"/>
  <c r="O80"/>
  <c r="N100"/>
  <c r="O217"/>
  <c r="O110"/>
  <c r="G110" s="1"/>
  <c r="N280"/>
  <c r="O266"/>
  <c r="G266" s="1"/>
  <c r="B48"/>
  <c r="C48" s="1"/>
  <c r="N73"/>
  <c r="F73" s="1"/>
  <c r="O119"/>
  <c r="G119" s="1"/>
  <c r="N63"/>
  <c r="E242"/>
  <c r="M242"/>
  <c r="N15"/>
  <c r="F15" s="1"/>
  <c r="O20"/>
  <c r="G20" s="1"/>
  <c r="E222"/>
  <c r="M222"/>
  <c r="B106"/>
  <c r="C106" s="1"/>
  <c r="F254"/>
  <c r="N254"/>
  <c r="N145"/>
  <c r="F145" s="1"/>
  <c r="O41"/>
  <c r="G41" s="1"/>
  <c r="P96"/>
  <c r="H96" s="1"/>
  <c r="O273"/>
  <c r="G273" s="1"/>
  <c r="P172"/>
  <c r="H172" s="1"/>
  <c r="I210"/>
  <c r="Q210"/>
  <c r="G209"/>
  <c r="O209"/>
  <c r="M155"/>
  <c r="N103"/>
  <c r="F103" s="1"/>
  <c r="B143"/>
  <c r="C143" s="1"/>
  <c r="N111"/>
  <c r="F111" s="1"/>
  <c r="N248"/>
  <c r="B183"/>
  <c r="C183" s="1"/>
  <c r="M183"/>
  <c r="E183" s="1"/>
  <c r="M213"/>
  <c r="E213" s="1"/>
  <c r="N152"/>
  <c r="F152" s="1"/>
  <c r="Q51"/>
  <c r="I51" s="1"/>
  <c r="O141"/>
  <c r="B167"/>
  <c r="C167" s="1"/>
  <c r="M3"/>
  <c r="E3" s="1"/>
  <c r="F184"/>
  <c r="N184"/>
  <c r="N246"/>
  <c r="E246"/>
  <c r="N236"/>
  <c r="F236" s="1"/>
  <c r="O104"/>
  <c r="G104" s="1"/>
  <c r="B200"/>
  <c r="C200" s="1"/>
  <c r="O146"/>
  <c r="G146" s="1"/>
  <c r="M197"/>
  <c r="E197" s="1"/>
  <c r="O17"/>
  <c r="G17" s="1"/>
  <c r="N27"/>
  <c r="F27"/>
  <c r="B47"/>
  <c r="C47" s="1"/>
  <c r="M179"/>
  <c r="E179" s="1"/>
  <c r="B153"/>
  <c r="C153" s="1"/>
  <c r="M192"/>
  <c r="E192" s="1"/>
  <c r="B247"/>
  <c r="C247" s="1"/>
  <c r="B179"/>
  <c r="C179" s="1"/>
  <c r="N148"/>
  <c r="M62"/>
  <c r="E62" s="1"/>
  <c r="O112"/>
  <c r="G112" s="1"/>
  <c r="N238"/>
  <c r="M135"/>
  <c r="E135" s="1"/>
  <c r="O205"/>
  <c r="R156"/>
  <c r="K156" s="1"/>
  <c r="N68"/>
  <c r="F68" s="1"/>
  <c r="N99"/>
  <c r="F99" s="1"/>
  <c r="N70"/>
  <c r="F70" s="1"/>
  <c r="O117"/>
  <c r="F117"/>
  <c r="P13"/>
  <c r="E163"/>
  <c r="M163"/>
  <c r="B49"/>
  <c r="C49" s="1"/>
  <c r="F57"/>
  <c r="N57"/>
  <c r="C270"/>
  <c r="N74"/>
  <c r="O46"/>
  <c r="G46" s="1"/>
  <c r="E45"/>
  <c r="M45"/>
  <c r="O125"/>
  <c r="G125" s="1"/>
  <c r="N131"/>
  <c r="F131" s="1"/>
  <c r="Q42"/>
  <c r="I42" s="1"/>
  <c r="O234"/>
  <c r="G234" s="1"/>
  <c r="O81"/>
  <c r="G81" s="1"/>
  <c r="E280"/>
  <c r="G96"/>
  <c r="I22"/>
  <c r="G204"/>
  <c r="D147"/>
  <c r="D3"/>
  <c r="D221"/>
  <c r="E279"/>
  <c r="N279"/>
  <c r="F279" s="1"/>
  <c r="M151"/>
  <c r="Q276"/>
  <c r="N55"/>
  <c r="F55" s="1"/>
  <c r="B72"/>
  <c r="C72" s="1"/>
  <c r="B105"/>
  <c r="C105" s="1"/>
  <c r="E201"/>
  <c r="M201"/>
  <c r="E143"/>
  <c r="M143"/>
  <c r="Q175"/>
  <c r="I175" s="1"/>
  <c r="P188"/>
  <c r="H188" s="1"/>
  <c r="N194"/>
  <c r="I149"/>
  <c r="Q149"/>
  <c r="O237"/>
  <c r="G237" s="1"/>
  <c r="B50"/>
  <c r="C50" s="1"/>
  <c r="N224"/>
  <c r="F224" s="1"/>
  <c r="N34"/>
  <c r="F34" s="1"/>
  <c r="B228"/>
  <c r="C228" s="1"/>
  <c r="M182"/>
  <c r="B201"/>
  <c r="C201" s="1"/>
  <c r="E230"/>
  <c r="M230"/>
  <c r="F14"/>
  <c r="O14"/>
  <c r="G14" s="1"/>
  <c r="R123"/>
  <c r="K123" s="1"/>
  <c r="M212"/>
  <c r="E212" s="1"/>
  <c r="D212"/>
  <c r="O48"/>
  <c r="G48" s="1"/>
  <c r="F48"/>
  <c r="N78"/>
  <c r="F78" s="1"/>
  <c r="Q216"/>
  <c r="P108"/>
  <c r="H108" s="1"/>
  <c r="B127"/>
  <c r="C127" s="1"/>
  <c r="N138"/>
  <c r="F138" s="1"/>
  <c r="B202"/>
  <c r="C202" s="1"/>
  <c r="M257"/>
  <c r="B195"/>
  <c r="C195" s="1"/>
  <c r="B217"/>
  <c r="C217" s="1"/>
  <c r="M38"/>
  <c r="E26"/>
  <c r="M26"/>
  <c r="B226"/>
  <c r="C226" s="1"/>
  <c r="N83"/>
  <c r="F83" s="1"/>
  <c r="E83"/>
  <c r="N107"/>
  <c r="F107" s="1"/>
  <c r="E107"/>
  <c r="B147"/>
  <c r="C147" s="1"/>
  <c r="B3"/>
  <c r="C3" s="1"/>
  <c r="M200"/>
  <c r="E200" s="1"/>
  <c r="D200"/>
  <c r="G225"/>
  <c r="O225"/>
  <c r="E231"/>
  <c r="N231"/>
  <c r="F231" s="1"/>
  <c r="N144"/>
  <c r="F144" s="1"/>
  <c r="M30"/>
  <c r="B151"/>
  <c r="C151" s="1"/>
  <c r="O32"/>
  <c r="P165"/>
  <c r="H165" s="1"/>
  <c r="B256"/>
  <c r="C256" s="1"/>
  <c r="O226"/>
  <c r="G226" s="1"/>
  <c r="P235"/>
  <c r="H235" s="1"/>
  <c r="P60"/>
  <c r="H60" s="1"/>
  <c r="B135"/>
  <c r="C135" s="1"/>
  <c r="M72"/>
  <c r="B182"/>
  <c r="C182" s="1"/>
  <c r="N196"/>
  <c r="F196" s="1"/>
  <c r="P140"/>
  <c r="H140" s="1"/>
  <c r="B6"/>
  <c r="C6" s="1"/>
  <c r="O161"/>
  <c r="O252"/>
  <c r="B251"/>
  <c r="C251" s="1"/>
  <c r="B163"/>
  <c r="C163" s="1"/>
  <c r="N50"/>
  <c r="N142"/>
  <c r="F142" s="1"/>
  <c r="B82"/>
  <c r="C82" s="1"/>
  <c r="N278"/>
  <c r="F278" s="1"/>
  <c r="P255"/>
  <c r="O7"/>
  <c r="G7" s="1"/>
  <c r="B262"/>
  <c r="C262" s="1"/>
  <c r="O4"/>
  <c r="O159"/>
  <c r="H149"/>
  <c r="D264"/>
  <c r="G178"/>
  <c r="D201"/>
  <c r="F267"/>
  <c r="E59"/>
  <c r="D157"/>
  <c r="D242"/>
  <c r="E162"/>
  <c r="D213"/>
  <c r="E259"/>
  <c r="E27"/>
  <c r="E189"/>
  <c r="E173"/>
  <c r="E55"/>
  <c r="H247"/>
  <c r="F80"/>
  <c r="E118"/>
  <c r="E100"/>
  <c r="E2"/>
  <c r="D230"/>
  <c r="F217"/>
  <c r="F124"/>
  <c r="F110"/>
  <c r="G18"/>
  <c r="H120"/>
  <c r="G188"/>
  <c r="E194"/>
  <c r="F266"/>
  <c r="D222"/>
  <c r="I222" i="1"/>
  <c r="L18"/>
  <c r="D18" s="1"/>
  <c r="F224"/>
  <c r="L73"/>
  <c r="M73" s="1"/>
  <c r="N73" s="1"/>
  <c r="O73" s="1"/>
  <c r="P73" s="1"/>
  <c r="Q73" s="1"/>
  <c r="R73" s="1"/>
  <c r="K73" s="1"/>
  <c r="E253"/>
  <c r="J222"/>
  <c r="A241" i="3"/>
  <c r="D241" i="1"/>
  <c r="F8"/>
  <c r="M234"/>
  <c r="H166"/>
  <c r="L168"/>
  <c r="M168" s="1"/>
  <c r="N168" s="1"/>
  <c r="O168" s="1"/>
  <c r="G168" s="1"/>
  <c r="E59"/>
  <c r="F63"/>
  <c r="L239"/>
  <c r="M239" s="1"/>
  <c r="N239" s="1"/>
  <c r="O239" s="1"/>
  <c r="P239" s="1"/>
  <c r="E122"/>
  <c r="I166"/>
  <c r="M278"/>
  <c r="E278" s="1"/>
  <c r="E45"/>
  <c r="F171"/>
  <c r="A214" i="3"/>
  <c r="G127" i="1"/>
  <c r="D100"/>
  <c r="E229"/>
  <c r="E214"/>
  <c r="L95"/>
  <c r="M95" s="1"/>
  <c r="N95" s="1"/>
  <c r="O95" s="1"/>
  <c r="G95" s="1"/>
  <c r="D66"/>
  <c r="J166"/>
  <c r="L236"/>
  <c r="D236" s="1"/>
  <c r="L185"/>
  <c r="M185" s="1"/>
  <c r="N185" s="1"/>
  <c r="O185" s="1"/>
  <c r="P185" s="1"/>
  <c r="H185" s="1"/>
  <c r="D238"/>
  <c r="D166"/>
  <c r="E63"/>
  <c r="B119" i="3" s="1"/>
  <c r="N241" i="1"/>
  <c r="F241" s="1"/>
  <c r="E80"/>
  <c r="M256"/>
  <c r="N256" s="1"/>
  <c r="O256" s="1"/>
  <c r="P256" s="1"/>
  <c r="Q256" s="1"/>
  <c r="R256" s="1"/>
  <c r="K256" s="1"/>
  <c r="D80"/>
  <c r="A170" i="3"/>
  <c r="N179" i="1"/>
  <c r="O179" s="1"/>
  <c r="G179" s="1"/>
  <c r="H222"/>
  <c r="A18" i="3"/>
  <c r="A27"/>
  <c r="A63"/>
  <c r="E151" i="1"/>
  <c r="N151"/>
  <c r="O151" s="1"/>
  <c r="G151" s="1"/>
  <c r="A258" i="3"/>
  <c r="B263" i="1"/>
  <c r="C263" s="1"/>
  <c r="B113"/>
  <c r="C113" s="1"/>
  <c r="B197"/>
  <c r="C197" s="1"/>
  <c r="B257"/>
  <c r="C257" s="1"/>
  <c r="B83"/>
  <c r="C83" s="1"/>
  <c r="B41"/>
  <c r="C41" s="1"/>
  <c r="B101"/>
  <c r="C101" s="1"/>
  <c r="B194"/>
  <c r="C194" s="1"/>
  <c r="B49"/>
  <c r="C49" s="1"/>
  <c r="B165"/>
  <c r="C165" s="1"/>
  <c r="B271"/>
  <c r="C271" s="1"/>
  <c r="B80"/>
  <c r="B262"/>
  <c r="C262" s="1"/>
  <c r="B206"/>
  <c r="C206" s="1"/>
  <c r="B200"/>
  <c r="C200" s="1"/>
  <c r="B169"/>
  <c r="C169" s="1"/>
  <c r="B92"/>
  <c r="C92" s="1"/>
  <c r="B184"/>
  <c r="C184" s="1"/>
  <c r="B78"/>
  <c r="C78" s="1"/>
  <c r="B259"/>
  <c r="C259" s="1"/>
  <c r="B21"/>
  <c r="C21" s="1"/>
  <c r="B117"/>
  <c r="C117" s="1"/>
  <c r="B130"/>
  <c r="C130" s="1"/>
  <c r="B173"/>
  <c r="C173" s="1"/>
  <c r="B249"/>
  <c r="C249" s="1"/>
  <c r="B183"/>
  <c r="C183" s="1"/>
  <c r="B152"/>
  <c r="C152" s="1"/>
  <c r="B162"/>
  <c r="C162" s="1"/>
  <c r="B181"/>
  <c r="C181" s="1"/>
  <c r="B77"/>
  <c r="C77" s="1"/>
  <c r="B190"/>
  <c r="C190" s="1"/>
  <c r="B4"/>
  <c r="C4" s="1"/>
  <c r="B109"/>
  <c r="C109" s="1"/>
  <c r="B213"/>
  <c r="C213" s="1"/>
  <c r="B188"/>
  <c r="C188" s="1"/>
  <c r="B236"/>
  <c r="C236" s="1"/>
  <c r="B160"/>
  <c r="C160" s="1"/>
  <c r="Y20"/>
  <c r="A20" s="1"/>
  <c r="D120"/>
  <c r="D56"/>
  <c r="B84" i="3"/>
  <c r="Y56" i="1"/>
  <c r="A56" s="1"/>
  <c r="E57"/>
  <c r="F57"/>
  <c r="P82"/>
  <c r="Q82" s="1"/>
  <c r="D134"/>
  <c r="F160"/>
  <c r="D106"/>
  <c r="D110"/>
  <c r="M169"/>
  <c r="E169" s="1"/>
  <c r="D143"/>
  <c r="M83"/>
  <c r="E83" s="1"/>
  <c r="D133"/>
  <c r="A149" i="3"/>
  <c r="D57" i="1"/>
  <c r="L121"/>
  <c r="B76"/>
  <c r="C76" s="1"/>
  <c r="B237"/>
  <c r="C237" s="1"/>
  <c r="B182"/>
  <c r="C182" s="1"/>
  <c r="B99"/>
  <c r="C99" s="1"/>
  <c r="B17"/>
  <c r="C17" s="1"/>
  <c r="B242"/>
  <c r="C242" s="1"/>
  <c r="B146"/>
  <c r="C146" s="1"/>
  <c r="B209"/>
  <c r="C209" s="1"/>
  <c r="B36"/>
  <c r="C36" s="1"/>
  <c r="B211"/>
  <c r="C211" s="1"/>
  <c r="B275"/>
  <c r="C275" s="1"/>
  <c r="B53"/>
  <c r="C53" s="1"/>
  <c r="B161"/>
  <c r="C161" s="1"/>
  <c r="B47"/>
  <c r="C47" s="1"/>
  <c r="B276"/>
  <c r="C276" s="1"/>
  <c r="B58"/>
  <c r="C58" s="1"/>
  <c r="B6"/>
  <c r="C6" s="1"/>
  <c r="B7"/>
  <c r="C7" s="1"/>
  <c r="B141"/>
  <c r="C141" s="1"/>
  <c r="B176"/>
  <c r="C176" s="1"/>
  <c r="B24"/>
  <c r="C24" s="1"/>
  <c r="B168"/>
  <c r="C168" s="1"/>
  <c r="B201"/>
  <c r="C201" s="1"/>
  <c r="B68"/>
  <c r="C68" s="1"/>
  <c r="B134"/>
  <c r="C134" s="1"/>
  <c r="B187"/>
  <c r="C187" s="1"/>
  <c r="B86"/>
  <c r="C86" s="1"/>
  <c r="B71"/>
  <c r="C71" s="1"/>
  <c r="B170"/>
  <c r="C170" s="1"/>
  <c r="B88"/>
  <c r="C88" s="1"/>
  <c r="B35"/>
  <c r="C35" s="1"/>
  <c r="B273"/>
  <c r="C273" s="1"/>
  <c r="B241"/>
  <c r="C241" s="1"/>
  <c r="B221"/>
  <c r="C221" s="1"/>
  <c r="B177"/>
  <c r="C177" s="1"/>
  <c r="B2"/>
  <c r="C2" s="1"/>
  <c r="B210"/>
  <c r="C210" s="1"/>
  <c r="B274"/>
  <c r="C274" s="1"/>
  <c r="B25"/>
  <c r="C25" s="1"/>
  <c r="B230"/>
  <c r="C230" s="1"/>
  <c r="B57"/>
  <c r="C57" s="1"/>
  <c r="B121"/>
  <c r="C121" s="1"/>
  <c r="D160"/>
  <c r="D75"/>
  <c r="L17"/>
  <c r="D25"/>
  <c r="G57"/>
  <c r="D81"/>
  <c r="D45"/>
  <c r="M217"/>
  <c r="E217" s="1"/>
  <c r="D229"/>
  <c r="L218"/>
  <c r="M218" s="1"/>
  <c r="E218" s="1"/>
  <c r="L161"/>
  <c r="M161" s="1"/>
  <c r="N161" s="1"/>
  <c r="B102"/>
  <c r="C102" s="1"/>
  <c r="B234"/>
  <c r="C234" s="1"/>
  <c r="B140"/>
  <c r="C140" s="1"/>
  <c r="B180"/>
  <c r="C180" s="1"/>
  <c r="B158"/>
  <c r="C158" s="1"/>
  <c r="B191"/>
  <c r="C191" s="1"/>
  <c r="B231"/>
  <c r="C231" s="1"/>
  <c r="B175"/>
  <c r="C175" s="1"/>
  <c r="B60"/>
  <c r="C60" s="1"/>
  <c r="B225"/>
  <c r="C225" s="1"/>
  <c r="B222"/>
  <c r="C222" s="1"/>
  <c r="B228"/>
  <c r="C228" s="1"/>
  <c r="B39"/>
  <c r="C39" s="1"/>
  <c r="B155"/>
  <c r="C155" s="1"/>
  <c r="B114"/>
  <c r="C114" s="1"/>
  <c r="B233"/>
  <c r="C233" s="1"/>
  <c r="B10"/>
  <c r="C10" s="1"/>
  <c r="B247"/>
  <c r="C247" s="1"/>
  <c r="B235"/>
  <c r="C235" s="1"/>
  <c r="B277"/>
  <c r="C277" s="1"/>
  <c r="B124"/>
  <c r="C124" s="1"/>
  <c r="B95"/>
  <c r="C95" s="1"/>
  <c r="B279"/>
  <c r="C279" s="1"/>
  <c r="B272"/>
  <c r="C272" s="1"/>
  <c r="B115"/>
  <c r="C115" s="1"/>
  <c r="B116"/>
  <c r="C116" s="1"/>
  <c r="B51"/>
  <c r="C51" s="1"/>
  <c r="B13"/>
  <c r="C13" s="1"/>
  <c r="B153"/>
  <c r="C153" s="1"/>
  <c r="B159"/>
  <c r="C159" s="1"/>
  <c r="B142"/>
  <c r="C142" s="1"/>
  <c r="B93"/>
  <c r="C93" s="1"/>
  <c r="B122"/>
  <c r="C122" s="1"/>
  <c r="B108"/>
  <c r="C108" s="1"/>
  <c r="B126"/>
  <c r="C126" s="1"/>
  <c r="B72"/>
  <c r="C72" s="1"/>
  <c r="B186"/>
  <c r="C186" s="1"/>
  <c r="B28"/>
  <c r="C28" s="1"/>
  <c r="B89"/>
  <c r="C89" s="1"/>
  <c r="B193"/>
  <c r="C193" s="1"/>
  <c r="B65"/>
  <c r="C65" s="1"/>
  <c r="B224"/>
  <c r="C224" s="1"/>
  <c r="E248"/>
  <c r="E81"/>
  <c r="L271"/>
  <c r="M271" s="1"/>
  <c r="N271" s="1"/>
  <c r="O271" s="1"/>
  <c r="L7"/>
  <c r="M7" s="1"/>
  <c r="N7" s="1"/>
  <c r="O7" s="1"/>
  <c r="G7" s="1"/>
  <c r="G8"/>
  <c r="L10"/>
  <c r="B106"/>
  <c r="C106" s="1"/>
  <c r="B154"/>
  <c r="C154" s="1"/>
  <c r="B31"/>
  <c r="C31" s="1"/>
  <c r="B192"/>
  <c r="C192" s="1"/>
  <c r="B11"/>
  <c r="C11" s="1"/>
  <c r="B254"/>
  <c r="C254" s="1"/>
  <c r="B261"/>
  <c r="C261" s="1"/>
  <c r="B38"/>
  <c r="C38" s="1"/>
  <c r="B199"/>
  <c r="C199" s="1"/>
  <c r="B59"/>
  <c r="C59" s="1"/>
  <c r="B281"/>
  <c r="C281" s="1"/>
  <c r="B105"/>
  <c r="C105" s="1"/>
  <c r="B203"/>
  <c r="C203" s="1"/>
  <c r="B150"/>
  <c r="C150" s="1"/>
  <c r="B32"/>
  <c r="C32" s="1"/>
  <c r="B18"/>
  <c r="C18" s="1"/>
  <c r="B166"/>
  <c r="C166" s="1"/>
  <c r="B98"/>
  <c r="C98" s="1"/>
  <c r="B251"/>
  <c r="C251" s="1"/>
  <c r="B74"/>
  <c r="C74" s="1"/>
  <c r="B218"/>
  <c r="C218" s="1"/>
  <c r="B172"/>
  <c r="C172" s="1"/>
  <c r="B100"/>
  <c r="C100" s="1"/>
  <c r="B97"/>
  <c r="C97" s="1"/>
  <c r="B73"/>
  <c r="C73" s="1"/>
  <c r="B178"/>
  <c r="C178" s="1"/>
  <c r="B19"/>
  <c r="C19" s="1"/>
  <c r="B223"/>
  <c r="C223" s="1"/>
  <c r="B46"/>
  <c r="C46" s="1"/>
  <c r="B54"/>
  <c r="C54" s="1"/>
  <c r="B267"/>
  <c r="C267" s="1"/>
  <c r="B70"/>
  <c r="C70" s="1"/>
  <c r="B174"/>
  <c r="C174" s="1"/>
  <c r="B179"/>
  <c r="C179" s="1"/>
  <c r="B185"/>
  <c r="C185" s="1"/>
  <c r="B239"/>
  <c r="C239" s="1"/>
  <c r="L76"/>
  <c r="M76" s="1"/>
  <c r="N76" s="1"/>
  <c r="O76" s="1"/>
  <c r="P76" s="1"/>
  <c r="Q76" s="1"/>
  <c r="L99"/>
  <c r="E160"/>
  <c r="A48" i="3"/>
  <c r="M87" i="1"/>
  <c r="N87" s="1"/>
  <c r="F87" s="1"/>
  <c r="M157"/>
  <c r="E157" s="1"/>
  <c r="D17"/>
  <c r="M14"/>
  <c r="N120"/>
  <c r="E120"/>
  <c r="N23"/>
  <c r="F23" s="1"/>
  <c r="E23"/>
  <c r="E163"/>
  <c r="N163"/>
  <c r="O163" s="1"/>
  <c r="M61"/>
  <c r="N61" s="1"/>
  <c r="J110"/>
  <c r="I110"/>
  <c r="R110"/>
  <c r="K110" s="1"/>
  <c r="F135"/>
  <c r="O135"/>
  <c r="P135" s="1"/>
  <c r="Q135" s="1"/>
  <c r="I135" s="1"/>
  <c r="M96"/>
  <c r="N96" s="1"/>
  <c r="O96" s="1"/>
  <c r="G96" s="1"/>
  <c r="N66"/>
  <c r="O66" s="1"/>
  <c r="E66"/>
  <c r="M6"/>
  <c r="D6"/>
  <c r="D277"/>
  <c r="M277"/>
  <c r="N277" s="1"/>
  <c r="Y151"/>
  <c r="A151" s="1"/>
  <c r="D151"/>
  <c r="D140"/>
  <c r="D54"/>
  <c r="M129"/>
  <c r="N129" s="1"/>
  <c r="L53"/>
  <c r="D53" s="1"/>
  <c r="D61"/>
  <c r="G137"/>
  <c r="D129"/>
  <c r="Y75"/>
  <c r="A75" s="1"/>
  <c r="D8"/>
  <c r="F81"/>
  <c r="L46"/>
  <c r="L97"/>
  <c r="M97" s="1"/>
  <c r="N97" s="1"/>
  <c r="O97" s="1"/>
  <c r="P97" s="1"/>
  <c r="Q97" s="1"/>
  <c r="R97" s="1"/>
  <c r="K97" s="1"/>
  <c r="F137"/>
  <c r="D23"/>
  <c r="D224"/>
  <c r="A199" i="3" s="1"/>
  <c r="F78" i="1"/>
  <c r="D212"/>
  <c r="A212" i="3" s="1"/>
  <c r="L141" i="1"/>
  <c r="M141" s="1"/>
  <c r="N141" s="1"/>
  <c r="O141" s="1"/>
  <c r="G141" s="1"/>
  <c r="E268"/>
  <c r="L165"/>
  <c r="M165" s="1"/>
  <c r="N165" s="1"/>
  <c r="O165" s="1"/>
  <c r="L190"/>
  <c r="L206"/>
  <c r="L230"/>
  <c r="Y61"/>
  <c r="A61" s="1"/>
  <c r="L183"/>
  <c r="M183" s="1"/>
  <c r="N183" s="1"/>
  <c r="F183" s="1"/>
  <c r="A51" i="3"/>
  <c r="E78" i="1"/>
  <c r="F253"/>
  <c r="E38"/>
  <c r="L11"/>
  <c r="M11" s="1"/>
  <c r="N11" s="1"/>
  <c r="F11" s="1"/>
  <c r="F106"/>
  <c r="A196" i="3"/>
  <c r="H214" i="1"/>
  <c r="N20"/>
  <c r="F20" s="1"/>
  <c r="L89"/>
  <c r="D89" s="1"/>
  <c r="M52"/>
  <c r="E52" s="1"/>
  <c r="I78"/>
  <c r="M123"/>
  <c r="N123" s="1"/>
  <c r="D52"/>
  <c r="D147"/>
  <c r="L191"/>
  <c r="G78"/>
  <c r="M103"/>
  <c r="E103" s="1"/>
  <c r="E164"/>
  <c r="E30"/>
  <c r="B131" i="3" s="1"/>
  <c r="F94" i="1"/>
  <c r="D138"/>
  <c r="A138" i="3" s="1"/>
  <c r="D172" i="1"/>
  <c r="A172" i="3" s="1"/>
  <c r="C226"/>
  <c r="E50" i="1"/>
  <c r="E224"/>
  <c r="E147"/>
  <c r="B82" i="3" s="1"/>
  <c r="L65" i="1"/>
  <c r="D20"/>
  <c r="N147"/>
  <c r="F147" s="1"/>
  <c r="C82" i="3" s="1"/>
  <c r="M33" i="1"/>
  <c r="E33" s="1"/>
  <c r="H248"/>
  <c r="M198"/>
  <c r="N198" s="1"/>
  <c r="O198" s="1"/>
  <c r="P198" s="1"/>
  <c r="Q198" s="1"/>
  <c r="I198" s="1"/>
  <c r="E135"/>
  <c r="D164"/>
  <c r="D30"/>
  <c r="E20"/>
  <c r="D21"/>
  <c r="E8"/>
  <c r="A30" i="3"/>
  <c r="M115" i="1"/>
  <c r="E115" s="1"/>
  <c r="E133"/>
  <c r="J214"/>
  <c r="D112"/>
  <c r="N50"/>
  <c r="O50" s="1"/>
  <c r="P50" s="1"/>
  <c r="H50" s="1"/>
  <c r="D231"/>
  <c r="N86"/>
  <c r="E86"/>
  <c r="P240"/>
  <c r="H240" s="1"/>
  <c r="N138"/>
  <c r="F138" s="1"/>
  <c r="E138"/>
  <c r="P171"/>
  <c r="Q171" s="1"/>
  <c r="R171" s="1"/>
  <c r="K171" s="1"/>
  <c r="M219"/>
  <c r="E219" s="1"/>
  <c r="N100"/>
  <c r="F100" s="1"/>
  <c r="E100"/>
  <c r="I69"/>
  <c r="R69"/>
  <c r="K69" s="1"/>
  <c r="N172"/>
  <c r="R94"/>
  <c r="K94" s="1"/>
  <c r="M91"/>
  <c r="E91" s="1"/>
  <c r="O212"/>
  <c r="G212" s="1"/>
  <c r="F212"/>
  <c r="O164"/>
  <c r="G164" s="1"/>
  <c r="H30"/>
  <c r="Q30"/>
  <c r="R30" s="1"/>
  <c r="K30" s="1"/>
  <c r="O5"/>
  <c r="R125"/>
  <c r="K125" s="1"/>
  <c r="M276"/>
  <c r="E276" s="1"/>
  <c r="M13"/>
  <c r="E13" s="1"/>
  <c r="M176"/>
  <c r="E176" s="1"/>
  <c r="M72"/>
  <c r="E72" s="1"/>
  <c r="M67"/>
  <c r="E67" s="1"/>
  <c r="M215"/>
  <c r="E215" s="1"/>
  <c r="D114"/>
  <c r="M114"/>
  <c r="E114" s="1"/>
  <c r="B169" i="3" s="1"/>
  <c r="N234" i="1"/>
  <c r="M24"/>
  <c r="E24" s="1"/>
  <c r="M245"/>
  <c r="E245" s="1"/>
  <c r="M36"/>
  <c r="M213"/>
  <c r="M34"/>
  <c r="E34" s="1"/>
  <c r="B97" i="3" s="1"/>
  <c r="D34" i="1"/>
  <c r="N278"/>
  <c r="F278" s="1"/>
  <c r="N238"/>
  <c r="M116"/>
  <c r="E116" s="1"/>
  <c r="M270"/>
  <c r="D270"/>
  <c r="M216"/>
  <c r="E216" s="1"/>
  <c r="N144"/>
  <c r="F144" s="1"/>
  <c r="M275"/>
  <c r="E275" s="1"/>
  <c r="N255"/>
  <c r="F255" s="1"/>
  <c r="M228"/>
  <c r="E228" s="1"/>
  <c r="M177"/>
  <c r="M2"/>
  <c r="E2" s="1"/>
  <c r="M32"/>
  <c r="N32" s="1"/>
  <c r="M250"/>
  <c r="E250" s="1"/>
  <c r="E172"/>
  <c r="L98"/>
  <c r="F125"/>
  <c r="M269"/>
  <c r="M209"/>
  <c r="D122"/>
  <c r="N37"/>
  <c r="F37" s="1"/>
  <c r="D26"/>
  <c r="A257" i="3" s="1"/>
  <c r="L105" i="1"/>
  <c r="D105" s="1"/>
  <c r="D174"/>
  <c r="E174"/>
  <c r="E227"/>
  <c r="D243"/>
  <c r="A243" i="3" s="1"/>
  <c r="L259" i="1"/>
  <c r="D259" s="1"/>
  <c r="A259" i="3" s="1"/>
  <c r="F30" i="1"/>
  <c r="F175"/>
  <c r="H200"/>
  <c r="I44"/>
  <c r="D136"/>
  <c r="G69"/>
  <c r="F43"/>
  <c r="H44"/>
  <c r="D36"/>
  <c r="G9"/>
  <c r="Y91"/>
  <c r="A91" s="1"/>
  <c r="I248"/>
  <c r="E199"/>
  <c r="M254"/>
  <c r="E254" s="1"/>
  <c r="M132"/>
  <c r="N227"/>
  <c r="F227" s="1"/>
  <c r="M180"/>
  <c r="E180" s="1"/>
  <c r="M3"/>
  <c r="D3"/>
  <c r="M225"/>
  <c r="E225" s="1"/>
  <c r="M68"/>
  <c r="E68" s="1"/>
  <c r="N221"/>
  <c r="F221" s="1"/>
  <c r="M155"/>
  <c r="E155" s="1"/>
  <c r="D155"/>
  <c r="M162"/>
  <c r="M28"/>
  <c r="M4"/>
  <c r="E4" s="1"/>
  <c r="M47"/>
  <c r="D47"/>
  <c r="M153"/>
  <c r="E153" s="1"/>
  <c r="M58"/>
  <c r="E58" s="1"/>
  <c r="M27"/>
  <c r="M119"/>
  <c r="E119" s="1"/>
  <c r="D119"/>
  <c r="M265"/>
  <c r="E265" s="1"/>
  <c r="Y96"/>
  <c r="A96" s="1"/>
  <c r="D96"/>
  <c r="M207"/>
  <c r="E207" s="1"/>
  <c r="M279"/>
  <c r="E279" s="1"/>
  <c r="M178"/>
  <c r="N178" s="1"/>
  <c r="M262"/>
  <c r="E262" s="1"/>
  <c r="D262"/>
  <c r="M139"/>
  <c r="D139"/>
  <c r="M19"/>
  <c r="E19" s="1"/>
  <c r="D19"/>
  <c r="M181"/>
  <c r="E181" s="1"/>
  <c r="M51"/>
  <c r="N51" s="1"/>
  <c r="M56"/>
  <c r="E56" s="1"/>
  <c r="M79"/>
  <c r="E79" s="1"/>
  <c r="M154"/>
  <c r="E154" s="1"/>
  <c r="M109"/>
  <c r="E109" s="1"/>
  <c r="D196"/>
  <c r="M243"/>
  <c r="M266"/>
  <c r="N266" s="1"/>
  <c r="D5"/>
  <c r="L39"/>
  <c r="D39" s="1"/>
  <c r="E54"/>
  <c r="D266"/>
  <c r="F45"/>
  <c r="D171"/>
  <c r="F240"/>
  <c r="D276"/>
  <c r="I200"/>
  <c r="E136"/>
  <c r="D132"/>
  <c r="E125"/>
  <c r="D269"/>
  <c r="J44"/>
  <c r="N54"/>
  <c r="F54" s="1"/>
  <c r="F96"/>
  <c r="G81"/>
  <c r="D135"/>
  <c r="A135" i="3" s="1"/>
  <c r="D86" i="1"/>
  <c r="D91"/>
  <c r="G30"/>
  <c r="E97"/>
  <c r="G240"/>
  <c r="P127"/>
  <c r="H127" s="1"/>
  <c r="G110"/>
  <c r="M264"/>
  <c r="E264" s="1"/>
  <c r="M220"/>
  <c r="G94"/>
  <c r="E175"/>
  <c r="E137"/>
  <c r="N169"/>
  <c r="F200"/>
  <c r="D67"/>
  <c r="D195"/>
  <c r="M195"/>
  <c r="H134"/>
  <c r="D149"/>
  <c r="D215"/>
  <c r="E35"/>
  <c r="M62"/>
  <c r="H69"/>
  <c r="D43"/>
  <c r="H125"/>
  <c r="M26"/>
  <c r="E26" s="1"/>
  <c r="E144"/>
  <c r="G44"/>
  <c r="L251"/>
  <c r="D251" s="1"/>
  <c r="L203"/>
  <c r="E255"/>
  <c r="E112"/>
  <c r="D180"/>
  <c r="E9"/>
  <c r="D177"/>
  <c r="D32"/>
  <c r="J248"/>
  <c r="L188"/>
  <c r="M131"/>
  <c r="E131" s="1"/>
  <c r="D131"/>
  <c r="M249"/>
  <c r="E249" s="1"/>
  <c r="M16"/>
  <c r="N16" s="1"/>
  <c r="M118"/>
  <c r="E118" s="1"/>
  <c r="D118"/>
  <c r="N211"/>
  <c r="F211" s="1"/>
  <c r="N75"/>
  <c r="M74"/>
  <c r="E74" s="1"/>
  <c r="M113"/>
  <c r="D173"/>
  <c r="M173"/>
  <c r="N173" s="1"/>
  <c r="F173" s="1"/>
  <c r="M15"/>
  <c r="M202"/>
  <c r="E202" s="1"/>
  <c r="N187"/>
  <c r="M205"/>
  <c r="N205" s="1"/>
  <c r="D205"/>
  <c r="M252"/>
  <c r="E252" s="1"/>
  <c r="B127" i="3" s="1"/>
  <c r="D252" i="1"/>
  <c r="F133"/>
  <c r="O133"/>
  <c r="M197"/>
  <c r="E197" s="1"/>
  <c r="M159"/>
  <c r="N159" s="1"/>
  <c r="O159" s="1"/>
  <c r="G159" s="1"/>
  <c r="M232"/>
  <c r="E232" s="1"/>
  <c r="D232"/>
  <c r="M93"/>
  <c r="E93" s="1"/>
  <c r="O201"/>
  <c r="M244"/>
  <c r="E244" s="1"/>
  <c r="D244"/>
  <c r="M90"/>
  <c r="D90"/>
  <c r="A90" i="3" s="1"/>
  <c r="M145" i="1"/>
  <c r="M107"/>
  <c r="N107" s="1"/>
  <c r="P137"/>
  <c r="H137" s="1"/>
  <c r="N84"/>
  <c r="F84" s="1"/>
  <c r="M258"/>
  <c r="M223"/>
  <c r="M204"/>
  <c r="E204" s="1"/>
  <c r="Y163"/>
  <c r="A163" s="1"/>
  <c r="D163"/>
  <c r="Y22"/>
  <c r="A22" s="1"/>
  <c r="M189"/>
  <c r="E189" s="1"/>
  <c r="B217" i="3" s="1"/>
  <c r="D189" i="1"/>
  <c r="N31"/>
  <c r="F31" s="1"/>
  <c r="N128"/>
  <c r="F128" s="1"/>
  <c r="N268"/>
  <c r="M142"/>
  <c r="E142" s="1"/>
  <c r="D267"/>
  <c r="M267"/>
  <c r="N267" s="1"/>
  <c r="Q8"/>
  <c r="R8" s="1"/>
  <c r="K8" s="1"/>
  <c r="N140"/>
  <c r="F140" s="1"/>
  <c r="M108"/>
  <c r="E108" s="1"/>
  <c r="D44"/>
  <c r="J9"/>
  <c r="I9"/>
  <c r="M29"/>
  <c r="M196"/>
  <c r="G160"/>
  <c r="G43"/>
  <c r="D219"/>
  <c r="E234"/>
  <c r="D264"/>
  <c r="D94"/>
  <c r="G175"/>
  <c r="Y219"/>
  <c r="A219" s="1"/>
  <c r="F199"/>
  <c r="E21"/>
  <c r="F174"/>
  <c r="E37"/>
  <c r="F164"/>
  <c r="G171"/>
  <c r="E240"/>
  <c r="L124"/>
  <c r="E5"/>
  <c r="E127"/>
  <c r="F110"/>
  <c r="I94"/>
  <c r="D175"/>
  <c r="L92"/>
  <c r="D92" s="1"/>
  <c r="G200"/>
  <c r="D73"/>
  <c r="A278" i="3" s="1"/>
  <c r="M64" i="1"/>
  <c r="H78"/>
  <c r="L182"/>
  <c r="D182" s="1"/>
  <c r="J134"/>
  <c r="D141"/>
  <c r="F69"/>
  <c r="I125"/>
  <c r="E44"/>
  <c r="L242"/>
  <c r="D242" s="1"/>
  <c r="F112"/>
  <c r="D9"/>
  <c r="L233"/>
  <c r="G248"/>
  <c r="M156"/>
  <c r="E156" s="1"/>
  <c r="M273"/>
  <c r="E273" s="1"/>
  <c r="M152"/>
  <c r="E152" s="1"/>
  <c r="M130"/>
  <c r="E130" s="1"/>
  <c r="M263"/>
  <c r="E263" s="1"/>
  <c r="M12"/>
  <c r="E12" s="1"/>
  <c r="M281"/>
  <c r="E281" s="1"/>
  <c r="O45"/>
  <c r="E192"/>
  <c r="M192"/>
  <c r="N192" s="1"/>
  <c r="M101"/>
  <c r="E101" s="1"/>
  <c r="N136"/>
  <c r="D280"/>
  <c r="M280"/>
  <c r="E280" s="1"/>
  <c r="M104"/>
  <c r="M111"/>
  <c r="E111" s="1"/>
  <c r="B9" i="3" s="1"/>
  <c r="D111" i="1"/>
  <c r="M158"/>
  <c r="N158" s="1"/>
  <c r="M41"/>
  <c r="E41" s="1"/>
  <c r="F35"/>
  <c r="O35"/>
  <c r="M88"/>
  <c r="N88" s="1"/>
  <c r="F88" s="1"/>
  <c r="D88"/>
  <c r="N59"/>
  <c r="M85"/>
  <c r="E85" s="1"/>
  <c r="D85"/>
  <c r="M194"/>
  <c r="E194" s="1"/>
  <c r="M184"/>
  <c r="E184" s="1"/>
  <c r="M260"/>
  <c r="E260" s="1"/>
  <c r="D260"/>
  <c r="M117"/>
  <c r="E117" s="1"/>
  <c r="B33" i="3" s="1"/>
  <c r="M274" i="1"/>
  <c r="E274" s="1"/>
  <c r="M42"/>
  <c r="Y208"/>
  <c r="A208" s="1"/>
  <c r="L208"/>
  <c r="M247"/>
  <c r="E247" s="1"/>
  <c r="M235"/>
  <c r="N235" s="1"/>
  <c r="M40"/>
  <c r="E40" s="1"/>
  <c r="M55"/>
  <c r="E55" s="1"/>
  <c r="M210"/>
  <c r="E210" s="1"/>
  <c r="M272"/>
  <c r="D272"/>
  <c r="M226"/>
  <c r="N226" s="1"/>
  <c r="F226" s="1"/>
  <c r="M102"/>
  <c r="D261"/>
  <c r="M261"/>
  <c r="N143"/>
  <c r="F143" s="1"/>
  <c r="C201" i="3" s="1"/>
  <c r="N167" i="1"/>
  <c r="F48"/>
  <c r="O48"/>
  <c r="P48" s="1"/>
  <c r="O229"/>
  <c r="M146"/>
  <c r="E146" s="1"/>
  <c r="M150"/>
  <c r="E150" s="1"/>
  <c r="M257"/>
  <c r="N257" s="1"/>
  <c r="M126"/>
  <c r="E126" s="1"/>
  <c r="F5"/>
  <c r="D13"/>
  <c r="E211"/>
  <c r="E134"/>
  <c r="D72"/>
  <c r="H160"/>
  <c r="E171"/>
  <c r="H97"/>
  <c r="D250"/>
  <c r="A33" i="3" s="1"/>
  <c r="E94" i="1"/>
  <c r="L71"/>
  <c r="D71" s="1"/>
  <c r="J200"/>
  <c r="G134"/>
  <c r="D125"/>
  <c r="L77"/>
  <c r="D77" s="1"/>
  <c r="A166" i="3" s="1"/>
  <c r="E75" i="1"/>
  <c r="H9"/>
  <c r="D24"/>
  <c r="D68"/>
  <c r="D225"/>
  <c r="A225" i="3" s="1"/>
  <c r="D192" i="1"/>
  <c r="G97"/>
  <c r="D245"/>
  <c r="A38" i="3" s="1"/>
  <c r="D11" i="1"/>
  <c r="A67" i="3" s="1"/>
  <c r="F134" i="1"/>
  <c r="F9"/>
  <c r="E106"/>
  <c r="L60"/>
  <c r="D240"/>
  <c r="F76"/>
  <c r="D127"/>
  <c r="E110"/>
  <c r="H94"/>
  <c r="D137"/>
  <c r="D152"/>
  <c r="D254"/>
  <c r="E200"/>
  <c r="D226"/>
  <c r="A57" i="3" s="1"/>
  <c r="J78" i="1"/>
  <c r="L22"/>
  <c r="D22" s="1"/>
  <c r="D223"/>
  <c r="D227"/>
  <c r="I134"/>
  <c r="E69"/>
  <c r="P43"/>
  <c r="H43" s="1"/>
  <c r="G125"/>
  <c r="D144"/>
  <c r="F44"/>
  <c r="D176"/>
  <c r="D142"/>
  <c r="I97"/>
  <c r="L70"/>
  <c r="D70" s="1"/>
  <c r="L49"/>
  <c r="E140"/>
  <c r="D37"/>
  <c r="F248"/>
  <c r="D74"/>
  <c r="E246"/>
  <c r="B2" i="3" s="1"/>
  <c r="I246" i="1"/>
  <c r="H246"/>
  <c r="J246"/>
  <c r="G246"/>
  <c r="D246"/>
  <c r="A37" i="3" s="1"/>
  <c r="F246" i="1"/>
  <c r="P63"/>
  <c r="H63" s="1"/>
  <c r="P253"/>
  <c r="O174"/>
  <c r="G174" s="1"/>
  <c r="R175"/>
  <c r="K175" s="1"/>
  <c r="Q57"/>
  <c r="O21"/>
  <c r="G63"/>
  <c r="G253"/>
  <c r="O122"/>
  <c r="G122" s="1"/>
  <c r="R160"/>
  <c r="K160" s="1"/>
  <c r="P170"/>
  <c r="H170" s="1"/>
  <c r="Q48"/>
  <c r="O149"/>
  <c r="O237"/>
  <c r="G237" s="1"/>
  <c r="P112"/>
  <c r="P199"/>
  <c r="P186"/>
  <c r="H186" s="1"/>
  <c r="Q80"/>
  <c r="I80" s="1"/>
  <c r="I160"/>
  <c r="F149"/>
  <c r="F237"/>
  <c r="G112"/>
  <c r="P224"/>
  <c r="O38"/>
  <c r="O87"/>
  <c r="G87" s="1"/>
  <c r="O106"/>
  <c r="F122"/>
  <c r="P193"/>
  <c r="H193" s="1"/>
  <c r="G284" l="1"/>
  <c r="O284"/>
  <c r="P284" s="1"/>
  <c r="H284" s="1"/>
  <c r="N300"/>
  <c r="N298"/>
  <c r="O298" s="1"/>
  <c r="P298" s="1"/>
  <c r="F298"/>
  <c r="E300"/>
  <c r="E292"/>
  <c r="N292"/>
  <c r="G296"/>
  <c r="F284"/>
  <c r="P285"/>
  <c r="H285" s="1"/>
  <c r="H297"/>
  <c r="P297"/>
  <c r="Q296"/>
  <c r="I296" s="1"/>
  <c r="P286"/>
  <c r="H286" s="1"/>
  <c r="P301"/>
  <c r="H301" s="1"/>
  <c r="I291"/>
  <c r="Q291"/>
  <c r="Q288"/>
  <c r="I288" s="1"/>
  <c r="H293"/>
  <c r="P293"/>
  <c r="I287"/>
  <c r="Q287"/>
  <c r="Q283"/>
  <c r="I283" s="1"/>
  <c r="Q295"/>
  <c r="I295" s="1"/>
  <c r="P294"/>
  <c r="H294" s="1"/>
  <c r="H282"/>
  <c r="P282"/>
  <c r="H290"/>
  <c r="P290"/>
  <c r="P289"/>
  <c r="H289" s="1"/>
  <c r="Q299"/>
  <c r="I299" s="1"/>
  <c r="G298"/>
  <c r="A91" i="3"/>
  <c r="B126"/>
  <c r="A119"/>
  <c r="A86"/>
  <c r="F25" i="1"/>
  <c r="A183" i="3"/>
  <c r="B140"/>
  <c r="A78"/>
  <c r="B216"/>
  <c r="A178"/>
  <c r="F123" i="1"/>
  <c r="C123" i="3" s="1"/>
  <c r="A253"/>
  <c r="E256" i="1"/>
  <c r="A59" i="3"/>
  <c r="B66"/>
  <c r="A279"/>
  <c r="A158"/>
  <c r="O88" i="1"/>
  <c r="B150" i="3"/>
  <c r="A113"/>
  <c r="N148" i="1"/>
  <c r="F148" s="1"/>
  <c r="B69" i="3"/>
  <c r="B228"/>
  <c r="A144"/>
  <c r="F214" i="1"/>
  <c r="AA214" s="1"/>
  <c r="A274" i="3"/>
  <c r="G214" i="1"/>
  <c r="A88" i="3"/>
  <c r="A250"/>
  <c r="B248"/>
  <c r="B83"/>
  <c r="C84"/>
  <c r="B199"/>
  <c r="A194"/>
  <c r="B117"/>
  <c r="A213"/>
  <c r="C140"/>
  <c r="B274"/>
  <c r="B155"/>
  <c r="B133"/>
  <c r="F141" i="1"/>
  <c r="A272" i="3"/>
  <c r="B90"/>
  <c r="E95" i="1"/>
  <c r="B252" i="3" s="1"/>
  <c r="A165"/>
  <c r="B94"/>
  <c r="B156"/>
  <c r="B130"/>
  <c r="A160"/>
  <c r="A89"/>
  <c r="A193"/>
  <c r="A244"/>
  <c r="A6"/>
  <c r="B31"/>
  <c r="B240"/>
  <c r="I81" i="1"/>
  <c r="E185"/>
  <c r="A136" i="3"/>
  <c r="D185" i="1"/>
  <c r="A70" i="3"/>
  <c r="H81" i="1"/>
  <c r="B172" i="3"/>
  <c r="N231" i="1"/>
  <c r="F231" s="1"/>
  <c r="B260" i="3"/>
  <c r="A192"/>
  <c r="C246"/>
  <c r="A55"/>
  <c r="G256" i="1"/>
  <c r="N218"/>
  <c r="O218" s="1"/>
  <c r="P218" s="1"/>
  <c r="H218" s="1"/>
  <c r="A128" i="3"/>
  <c r="A121"/>
  <c r="AA166" i="1"/>
  <c r="B27" i="3"/>
  <c r="A29"/>
  <c r="AA222" i="1"/>
  <c r="A281" i="3"/>
  <c r="B160"/>
  <c r="B192"/>
  <c r="A210"/>
  <c r="B183"/>
  <c r="B189"/>
  <c r="A39"/>
  <c r="C199"/>
  <c r="A106"/>
  <c r="A41"/>
  <c r="A4"/>
  <c r="P179" i="1"/>
  <c r="H179" s="1"/>
  <c r="O241"/>
  <c r="G241" s="1"/>
  <c r="D246" i="3"/>
  <c r="F256" i="1"/>
  <c r="O20"/>
  <c r="P20" s="1"/>
  <c r="Q20" s="1"/>
  <c r="R20" s="1"/>
  <c r="K20" s="1"/>
  <c r="B134" i="3"/>
  <c r="B232"/>
  <c r="A216"/>
  <c r="N83" i="1"/>
  <c r="F83" s="1"/>
  <c r="B171" i="3"/>
  <c r="D30"/>
  <c r="F73" i="1"/>
  <c r="C278" i="3" s="1"/>
  <c r="H73" i="1"/>
  <c r="B175" i="3"/>
  <c r="F185" i="1"/>
  <c r="D218"/>
  <c r="A175" i="3"/>
  <c r="B210"/>
  <c r="A101"/>
  <c r="B44"/>
  <c r="N157" i="1"/>
  <c r="F157" s="1"/>
  <c r="B91" i="3"/>
  <c r="E239" i="1"/>
  <c r="A129" i="3"/>
  <c r="B86"/>
  <c r="A236"/>
  <c r="A45"/>
  <c r="B200"/>
  <c r="A92"/>
  <c r="E235" i="1"/>
  <c r="B48" i="3" s="1"/>
  <c r="B164"/>
  <c r="B246"/>
  <c r="C171"/>
  <c r="C134"/>
  <c r="B245"/>
  <c r="B264"/>
  <c r="D95" i="1"/>
  <c r="D239"/>
  <c r="A44" i="3" s="1"/>
  <c r="C173"/>
  <c r="R227" i="5"/>
  <c r="K227" s="1"/>
  <c r="P198"/>
  <c r="H198" s="1"/>
  <c r="I227"/>
  <c r="F2"/>
  <c r="P37"/>
  <c r="G37"/>
  <c r="H13"/>
  <c r="E233"/>
  <c r="N233"/>
  <c r="F233" s="1"/>
  <c r="E207"/>
  <c r="N207"/>
  <c r="J109"/>
  <c r="AA109" s="1"/>
  <c r="O24"/>
  <c r="J129"/>
  <c r="AA129" s="1"/>
  <c r="F79"/>
  <c r="G223"/>
  <c r="F98"/>
  <c r="N98"/>
  <c r="G180"/>
  <c r="P180"/>
  <c r="H180" s="1"/>
  <c r="G95"/>
  <c r="H223"/>
  <c r="G258"/>
  <c r="N87"/>
  <c r="F87" s="1"/>
  <c r="O95"/>
  <c r="P95" s="1"/>
  <c r="H95" s="1"/>
  <c r="N150"/>
  <c r="F150" s="1"/>
  <c r="E35"/>
  <c r="N35"/>
  <c r="O35" s="1"/>
  <c r="G35" s="1"/>
  <c r="O220"/>
  <c r="P220" s="1"/>
  <c r="O77"/>
  <c r="P77" s="1"/>
  <c r="H77" s="1"/>
  <c r="F77"/>
  <c r="E150"/>
  <c r="F255"/>
  <c r="F263"/>
  <c r="J22"/>
  <c r="AA22" s="1"/>
  <c r="F10"/>
  <c r="N75"/>
  <c r="N94"/>
  <c r="O94" s="1"/>
  <c r="N102"/>
  <c r="F102"/>
  <c r="O160"/>
  <c r="N281"/>
  <c r="O281" s="1"/>
  <c r="E281"/>
  <c r="O101"/>
  <c r="G101" s="1"/>
  <c r="F113"/>
  <c r="N58"/>
  <c r="O58" s="1"/>
  <c r="N44"/>
  <c r="N136"/>
  <c r="N268"/>
  <c r="F268" s="1"/>
  <c r="N12"/>
  <c r="F12" s="1"/>
  <c r="G113"/>
  <c r="H255"/>
  <c r="E102"/>
  <c r="P252"/>
  <c r="H252" s="1"/>
  <c r="O189"/>
  <c r="G189" s="1"/>
  <c r="P271"/>
  <c r="H271" s="1"/>
  <c r="N127"/>
  <c r="F127" s="1"/>
  <c r="P10"/>
  <c r="H10" s="1"/>
  <c r="P215"/>
  <c r="N157"/>
  <c r="F157" s="1"/>
  <c r="O138"/>
  <c r="G138" s="1"/>
  <c r="R276"/>
  <c r="K276" s="1"/>
  <c r="P205"/>
  <c r="H205" s="1"/>
  <c r="O103"/>
  <c r="G103" s="1"/>
  <c r="P267"/>
  <c r="H267" s="1"/>
  <c r="Q54"/>
  <c r="I54" s="1"/>
  <c r="P225"/>
  <c r="H225" s="1"/>
  <c r="F201"/>
  <c r="N201"/>
  <c r="N179"/>
  <c r="F179" s="1"/>
  <c r="O280"/>
  <c r="G280" s="1"/>
  <c r="P193"/>
  <c r="H193" s="1"/>
  <c r="P47"/>
  <c r="Q39"/>
  <c r="I39" s="1"/>
  <c r="O85"/>
  <c r="G85" s="1"/>
  <c r="N186"/>
  <c r="F186" s="1"/>
  <c r="O153"/>
  <c r="G153" s="1"/>
  <c r="Q204"/>
  <c r="I204" s="1"/>
  <c r="O148"/>
  <c r="G148" s="1"/>
  <c r="P273"/>
  <c r="H273" s="1"/>
  <c r="N147"/>
  <c r="F147" s="1"/>
  <c r="O11"/>
  <c r="G11" s="1"/>
  <c r="Q69"/>
  <c r="I69" s="1"/>
  <c r="Q240"/>
  <c r="I240" s="1"/>
  <c r="O218"/>
  <c r="G218" s="1"/>
  <c r="P244"/>
  <c r="H244" s="1"/>
  <c r="P40"/>
  <c r="H40" s="1"/>
  <c r="H4"/>
  <c r="P4"/>
  <c r="N72"/>
  <c r="F72" s="1"/>
  <c r="P32"/>
  <c r="H32" s="1"/>
  <c r="N38"/>
  <c r="F38" s="1"/>
  <c r="N230"/>
  <c r="R149"/>
  <c r="K149" s="1"/>
  <c r="N143"/>
  <c r="F143" s="1"/>
  <c r="O74"/>
  <c r="G74" s="1"/>
  <c r="P17"/>
  <c r="H17"/>
  <c r="N155"/>
  <c r="F155" s="1"/>
  <c r="O100"/>
  <c r="G100" s="1"/>
  <c r="O272"/>
  <c r="G272" s="1"/>
  <c r="P202"/>
  <c r="H202" s="1"/>
  <c r="F154"/>
  <c r="N154"/>
  <c r="O133"/>
  <c r="G133" s="1"/>
  <c r="P76"/>
  <c r="H76" s="1"/>
  <c r="O91"/>
  <c r="G91" s="1"/>
  <c r="N265"/>
  <c r="F265" s="1"/>
  <c r="O174"/>
  <c r="G174" s="1"/>
  <c r="Q53"/>
  <c r="I53" s="1"/>
  <c r="Q171"/>
  <c r="I171" s="1"/>
  <c r="O52"/>
  <c r="G52" s="1"/>
  <c r="P214"/>
  <c r="H214" s="1"/>
  <c r="N33"/>
  <c r="F33" s="1"/>
  <c r="Q8"/>
  <c r="O61"/>
  <c r="G61" s="1"/>
  <c r="Q130"/>
  <c r="I130" s="1"/>
  <c r="I276"/>
  <c r="G267"/>
  <c r="F148"/>
  <c r="H69"/>
  <c r="H240"/>
  <c r="F218"/>
  <c r="G244"/>
  <c r="G40"/>
  <c r="N30"/>
  <c r="N151"/>
  <c r="P117"/>
  <c r="H117" s="1"/>
  <c r="O248"/>
  <c r="O275"/>
  <c r="I97"/>
  <c r="Q97"/>
  <c r="O261"/>
  <c r="G261" s="1"/>
  <c r="N221"/>
  <c r="P219"/>
  <c r="H219" s="1"/>
  <c r="N262"/>
  <c r="F84"/>
  <c r="N84"/>
  <c r="O196"/>
  <c r="O194"/>
  <c r="G194" s="1"/>
  <c r="O238"/>
  <c r="G238" s="1"/>
  <c r="F242"/>
  <c r="N242"/>
  <c r="N49"/>
  <c r="F49" s="1"/>
  <c r="N115"/>
  <c r="N264"/>
  <c r="G168"/>
  <c r="O168"/>
  <c r="R216"/>
  <c r="K216" s="1"/>
  <c r="O68"/>
  <c r="O236"/>
  <c r="G236" s="1"/>
  <c r="O31"/>
  <c r="G31" s="1"/>
  <c r="O164"/>
  <c r="G164" s="1"/>
  <c r="Q18"/>
  <c r="Q126"/>
  <c r="I126" s="1"/>
  <c r="N105"/>
  <c r="O181"/>
  <c r="G181" s="1"/>
  <c r="Q140"/>
  <c r="I140" s="1"/>
  <c r="O55"/>
  <c r="G55" s="1"/>
  <c r="Q13"/>
  <c r="P119"/>
  <c r="O158"/>
  <c r="P191"/>
  <c r="R270"/>
  <c r="K270" s="1"/>
  <c r="O228"/>
  <c r="G228" s="1"/>
  <c r="P187"/>
  <c r="H187" s="1"/>
  <c r="O278"/>
  <c r="G278" s="1"/>
  <c r="P226"/>
  <c r="O231"/>
  <c r="O107"/>
  <c r="Q108"/>
  <c r="I108" s="1"/>
  <c r="O131"/>
  <c r="N163"/>
  <c r="F163" s="1"/>
  <c r="O70"/>
  <c r="O27"/>
  <c r="O184"/>
  <c r="R51"/>
  <c r="K51" s="1"/>
  <c r="Q172"/>
  <c r="O145"/>
  <c r="G145" s="1"/>
  <c r="P20"/>
  <c r="P266"/>
  <c r="H266" s="1"/>
  <c r="F229"/>
  <c r="N229"/>
  <c r="O116"/>
  <c r="P170"/>
  <c r="N166"/>
  <c r="G137"/>
  <c r="O137"/>
  <c r="Q223"/>
  <c r="I223" s="1"/>
  <c r="P208"/>
  <c r="Q113"/>
  <c r="I113" s="1"/>
  <c r="O64"/>
  <c r="G64" s="1"/>
  <c r="O269"/>
  <c r="G269" s="1"/>
  <c r="Q249"/>
  <c r="H256"/>
  <c r="P256"/>
  <c r="N19"/>
  <c r="O203"/>
  <c r="O259"/>
  <c r="F189"/>
  <c r="F238"/>
  <c r="F168"/>
  <c r="I216"/>
  <c r="H204"/>
  <c r="G4"/>
  <c r="E72"/>
  <c r="G32"/>
  <c r="E38"/>
  <c r="F74"/>
  <c r="E155"/>
  <c r="F100"/>
  <c r="F272"/>
  <c r="F91"/>
  <c r="P7"/>
  <c r="H7" s="1"/>
  <c r="Q96"/>
  <c r="I96" s="1"/>
  <c r="N139"/>
  <c r="F139" s="1"/>
  <c r="O206"/>
  <c r="G206" s="1"/>
  <c r="Q220"/>
  <c r="I220" s="1"/>
  <c r="O251"/>
  <c r="G251" s="1"/>
  <c r="Q60"/>
  <c r="I60" s="1"/>
  <c r="P263"/>
  <c r="H263" s="1"/>
  <c r="O57"/>
  <c r="G57" s="1"/>
  <c r="P110"/>
  <c r="H110" s="1"/>
  <c r="P243"/>
  <c r="H243" s="1"/>
  <c r="O79"/>
  <c r="G79" s="1"/>
  <c r="R89"/>
  <c r="K89" s="1"/>
  <c r="O132"/>
  <c r="G132" s="1"/>
  <c r="N195"/>
  <c r="F195" s="1"/>
  <c r="N197"/>
  <c r="F197" s="1"/>
  <c r="O241"/>
  <c r="G241" s="1"/>
  <c r="P5"/>
  <c r="H5" s="1"/>
  <c r="O199"/>
  <c r="G199" s="1"/>
  <c r="H258"/>
  <c r="P258"/>
  <c r="N239"/>
  <c r="F239" s="1"/>
  <c r="O23"/>
  <c r="G23" s="1"/>
  <c r="O2"/>
  <c r="G2" s="1"/>
  <c r="O34"/>
  <c r="P125"/>
  <c r="H125" s="1"/>
  <c r="P104"/>
  <c r="H104" s="1"/>
  <c r="O254"/>
  <c r="G254" s="1"/>
  <c r="Q56"/>
  <c r="I56" s="1"/>
  <c r="O128"/>
  <c r="G128" s="1"/>
  <c r="P159"/>
  <c r="H159" s="1"/>
  <c r="O50"/>
  <c r="G50" s="1"/>
  <c r="P161"/>
  <c r="H161" s="1"/>
  <c r="N257"/>
  <c r="F257" s="1"/>
  <c r="P48"/>
  <c r="H48" s="1"/>
  <c r="P237"/>
  <c r="H237" s="1"/>
  <c r="R175"/>
  <c r="K175" s="1"/>
  <c r="O279"/>
  <c r="G279" s="1"/>
  <c r="N135"/>
  <c r="F135" s="1"/>
  <c r="N62"/>
  <c r="F62" s="1"/>
  <c r="N192"/>
  <c r="F192" s="1"/>
  <c r="O246"/>
  <c r="G246" s="1"/>
  <c r="P141"/>
  <c r="H141" s="1"/>
  <c r="O63"/>
  <c r="G63" s="1"/>
  <c r="P217"/>
  <c r="H217" s="1"/>
  <c r="O176"/>
  <c r="G176" s="1"/>
  <c r="P177"/>
  <c r="H177" s="1"/>
  <c r="Q134"/>
  <c r="I134" s="1"/>
  <c r="R185"/>
  <c r="K185" s="1"/>
  <c r="O118"/>
  <c r="G118" s="1"/>
  <c r="O253"/>
  <c r="G253"/>
  <c r="P35"/>
  <c r="H35" s="1"/>
  <c r="Q82"/>
  <c r="I82" s="1"/>
  <c r="P211"/>
  <c r="H211" s="1"/>
  <c r="P90"/>
  <c r="H90" s="1"/>
  <c r="O121"/>
  <c r="G121" s="1"/>
  <c r="R88"/>
  <c r="K88" s="1"/>
  <c r="N114"/>
  <c r="F114" s="1"/>
  <c r="O59"/>
  <c r="G59" s="1"/>
  <c r="J123"/>
  <c r="AA123" s="1"/>
  <c r="F248"/>
  <c r="G271"/>
  <c r="F194"/>
  <c r="AB283"/>
  <c r="G205"/>
  <c r="F280"/>
  <c r="E84"/>
  <c r="N182"/>
  <c r="F182" s="1"/>
  <c r="P234"/>
  <c r="H234" s="1"/>
  <c r="P24"/>
  <c r="H24" s="1"/>
  <c r="N43"/>
  <c r="F43" s="1"/>
  <c r="P124"/>
  <c r="H124" s="1"/>
  <c r="O245"/>
  <c r="O142"/>
  <c r="G142" s="1"/>
  <c r="O78"/>
  <c r="G78" s="1"/>
  <c r="N45"/>
  <c r="N213"/>
  <c r="O73"/>
  <c r="G73" s="1"/>
  <c r="P28"/>
  <c r="H28" s="1"/>
  <c r="N167"/>
  <c r="F167" s="1"/>
  <c r="P190"/>
  <c r="O83"/>
  <c r="O224"/>
  <c r="P81"/>
  <c r="H81" s="1"/>
  <c r="G152"/>
  <c r="O152"/>
  <c r="G15"/>
  <c r="O15"/>
  <c r="Q198"/>
  <c r="N169"/>
  <c r="F169" s="1"/>
  <c r="R247"/>
  <c r="K247" s="1"/>
  <c r="R93"/>
  <c r="K93" s="1"/>
  <c r="O71"/>
  <c r="R120"/>
  <c r="K120" s="1"/>
  <c r="N212"/>
  <c r="F212" s="1"/>
  <c r="O99"/>
  <c r="G99" s="1"/>
  <c r="N3"/>
  <c r="F3" s="1"/>
  <c r="P209"/>
  <c r="P80"/>
  <c r="P250"/>
  <c r="H250" s="1"/>
  <c r="Q255"/>
  <c r="I255" s="1"/>
  <c r="I235"/>
  <c r="Q235"/>
  <c r="Q165"/>
  <c r="I165" s="1"/>
  <c r="O144"/>
  <c r="N200"/>
  <c r="N26"/>
  <c r="F26" s="1"/>
  <c r="P14"/>
  <c r="H14" s="1"/>
  <c r="Q188"/>
  <c r="I188" s="1"/>
  <c r="R42"/>
  <c r="K42" s="1"/>
  <c r="P46"/>
  <c r="H46" s="1"/>
  <c r="P112"/>
  <c r="H112" s="1"/>
  <c r="P146"/>
  <c r="H146" s="1"/>
  <c r="N183"/>
  <c r="O111"/>
  <c r="G111" s="1"/>
  <c r="R210"/>
  <c r="K210" s="1"/>
  <c r="P41"/>
  <c r="H41" s="1"/>
  <c r="N222"/>
  <c r="F222" s="1"/>
  <c r="Q178"/>
  <c r="I178" s="1"/>
  <c r="Q66"/>
  <c r="I66" s="1"/>
  <c r="N21"/>
  <c r="F6"/>
  <c r="N6"/>
  <c r="O25"/>
  <c r="G25" s="1"/>
  <c r="N260"/>
  <c r="F260" s="1"/>
  <c r="O122"/>
  <c r="G122" s="1"/>
  <c r="Q16"/>
  <c r="I16" s="1"/>
  <c r="P277"/>
  <c r="O65"/>
  <c r="O36"/>
  <c r="G36" s="1"/>
  <c r="O232"/>
  <c r="G232" s="1"/>
  <c r="Q67"/>
  <c r="I67" s="1"/>
  <c r="O173"/>
  <c r="G173" s="1"/>
  <c r="P9"/>
  <c r="H9" s="1"/>
  <c r="O106"/>
  <c r="N29"/>
  <c r="F29" s="1"/>
  <c r="N274"/>
  <c r="O92"/>
  <c r="G92" s="1"/>
  <c r="O162"/>
  <c r="G162" s="1"/>
  <c r="G252"/>
  <c r="E30"/>
  <c r="F275"/>
  <c r="F261"/>
  <c r="E264"/>
  <c r="H54"/>
  <c r="F71"/>
  <c r="G159"/>
  <c r="F50"/>
  <c r="G161"/>
  <c r="E257"/>
  <c r="E182"/>
  <c r="E151"/>
  <c r="G117"/>
  <c r="J156"/>
  <c r="AA156" s="1"/>
  <c r="G24"/>
  <c r="F246"/>
  <c r="G141"/>
  <c r="F63"/>
  <c r="G217"/>
  <c r="E43"/>
  <c r="E139"/>
  <c r="H97"/>
  <c r="G243"/>
  <c r="E127"/>
  <c r="E221"/>
  <c r="G124"/>
  <c r="J86"/>
  <c r="AA86" s="1"/>
  <c r="G219"/>
  <c r="G10"/>
  <c r="G215"/>
  <c r="E262"/>
  <c r="F245"/>
  <c r="E157"/>
  <c r="F251"/>
  <c r="A11" i="3"/>
  <c r="B116"/>
  <c r="A112"/>
  <c r="B54"/>
  <c r="A182"/>
  <c r="M18" i="1"/>
  <c r="N18" s="1"/>
  <c r="A111" i="3"/>
  <c r="A226"/>
  <c r="F271" i="1"/>
  <c r="A176" i="3"/>
  <c r="A202"/>
  <c r="B81"/>
  <c r="E277" i="1"/>
  <c r="B277" i="3" s="1"/>
  <c r="E7" i="1"/>
  <c r="B204" i="3" s="1"/>
  <c r="B103"/>
  <c r="B153"/>
  <c r="A54"/>
  <c r="D271" i="1"/>
  <c r="A271" i="3" s="1"/>
  <c r="A277"/>
  <c r="A15"/>
  <c r="E168" i="1"/>
  <c r="A116" i="3"/>
  <c r="AA134" i="1"/>
  <c r="A107" i="3"/>
  <c r="B154"/>
  <c r="F168" i="1"/>
  <c r="E129"/>
  <c r="B229" i="3" s="1"/>
  <c r="A23"/>
  <c r="B209"/>
  <c r="G50" i="1"/>
  <c r="I73"/>
  <c r="B23" i="3"/>
  <c r="F97" i="1"/>
  <c r="B185" i="3"/>
  <c r="F50" i="1"/>
  <c r="F179"/>
  <c r="E271"/>
  <c r="G271"/>
  <c r="A141" i="3"/>
  <c r="D7" i="1"/>
  <c r="A204" i="3" s="1"/>
  <c r="A151"/>
  <c r="A108"/>
  <c r="A66"/>
  <c r="A43"/>
  <c r="P168" i="1"/>
  <c r="Q168" s="1"/>
  <c r="R168" s="1"/>
  <c r="K168" s="1"/>
  <c r="G73"/>
  <c r="A247" i="3"/>
  <c r="A103"/>
  <c r="E11" i="1"/>
  <c r="B67" i="3" s="1"/>
  <c r="D97" i="1"/>
  <c r="A186" i="3" s="1"/>
  <c r="E73" i="1"/>
  <c r="B278" i="3" s="1"/>
  <c r="B167"/>
  <c r="F95" i="1"/>
  <c r="D168"/>
  <c r="A256" i="3"/>
  <c r="M236" i="1"/>
  <c r="N236" s="1"/>
  <c r="A153" i="3"/>
  <c r="B202"/>
  <c r="A137"/>
  <c r="C54"/>
  <c r="B225"/>
  <c r="B243"/>
  <c r="B191"/>
  <c r="B51"/>
  <c r="I76" i="1"/>
  <c r="R76"/>
  <c r="K76" s="1"/>
  <c r="F161"/>
  <c r="O161"/>
  <c r="B149" i="3"/>
  <c r="A117"/>
  <c r="B22" i="1"/>
  <c r="C22" s="1"/>
  <c r="A127" i="3"/>
  <c r="A264"/>
  <c r="A31"/>
  <c r="A82"/>
  <c r="C80" i="1"/>
  <c r="A248" i="3"/>
  <c r="A238"/>
  <c r="A134"/>
  <c r="A83"/>
  <c r="A94"/>
  <c r="A246"/>
  <c r="B163" i="1"/>
  <c r="B120" i="3" s="1"/>
  <c r="A2"/>
  <c r="AA246" i="1"/>
  <c r="A171" i="3"/>
  <c r="A17"/>
  <c r="A245"/>
  <c r="A254"/>
  <c r="AA9" i="1"/>
  <c r="B219"/>
  <c r="C219" s="1"/>
  <c r="A189" i="3"/>
  <c r="A251"/>
  <c r="A261"/>
  <c r="A265"/>
  <c r="P271" i="1"/>
  <c r="H271" s="1"/>
  <c r="A190" i="3"/>
  <c r="F151" i="1"/>
  <c r="B249" i="3"/>
  <c r="A73"/>
  <c r="B30"/>
  <c r="A35"/>
  <c r="AA78" i="1"/>
  <c r="O54"/>
  <c r="G54" s="1"/>
  <c r="A237" i="3"/>
  <c r="J69" i="1"/>
  <c r="A24" i="3"/>
  <c r="E30"/>
  <c r="A50"/>
  <c r="A34"/>
  <c r="A125"/>
  <c r="G165" i="1"/>
  <c r="B8" i="3"/>
  <c r="G239" i="1"/>
  <c r="F198"/>
  <c r="A62" i="3"/>
  <c r="A156"/>
  <c r="J97" i="1"/>
  <c r="B152" i="3"/>
  <c r="B123"/>
  <c r="G76" i="1"/>
  <c r="A19" i="3"/>
  <c r="A16"/>
  <c r="E32" i="1"/>
  <c r="B35" i="3"/>
  <c r="E87" i="1"/>
  <c r="B87" i="3" s="1"/>
  <c r="C200"/>
  <c r="A114"/>
  <c r="A267"/>
  <c r="H82" i="1"/>
  <c r="A145" i="3"/>
  <c r="A143"/>
  <c r="B79"/>
  <c r="A232"/>
  <c r="A200"/>
  <c r="A25"/>
  <c r="B182"/>
  <c r="A234"/>
  <c r="A198"/>
  <c r="A221"/>
  <c r="B91" i="1"/>
  <c r="C91" s="1"/>
  <c r="M17"/>
  <c r="E17" s="1"/>
  <c r="B136" i="3" s="1"/>
  <c r="A260"/>
  <c r="A201"/>
  <c r="A133"/>
  <c r="B38"/>
  <c r="A280"/>
  <c r="A155"/>
  <c r="A177"/>
  <c r="A269"/>
  <c r="A71"/>
  <c r="A97"/>
  <c r="A139"/>
  <c r="B151" i="1"/>
  <c r="C151" s="1"/>
  <c r="D99"/>
  <c r="A184" i="3" s="1"/>
  <c r="M99" i="1"/>
  <c r="A270" i="3"/>
  <c r="A268"/>
  <c r="B146"/>
  <c r="E61" i="1"/>
  <c r="B222" i="3" s="1"/>
  <c r="A74"/>
  <c r="B12"/>
  <c r="A167"/>
  <c r="A58"/>
  <c r="A7"/>
  <c r="A146"/>
  <c r="F239" i="1"/>
  <c r="B37" i="3"/>
  <c r="N115" i="1"/>
  <c r="O115" s="1"/>
  <c r="P115" s="1"/>
  <c r="B224" i="3"/>
  <c r="D76" i="1"/>
  <c r="H76"/>
  <c r="A174" i="3"/>
  <c r="A224"/>
  <c r="B96"/>
  <c r="B174"/>
  <c r="A79"/>
  <c r="A87"/>
  <c r="A8"/>
  <c r="A154"/>
  <c r="A12"/>
  <c r="D161" i="1"/>
  <c r="A122" i="3" s="1"/>
  <c r="A240"/>
  <c r="A5"/>
  <c r="B75" i="1"/>
  <c r="C75" s="1"/>
  <c r="A142" i="3"/>
  <c r="AA44" i="1"/>
  <c r="A126" i="3"/>
  <c r="A217"/>
  <c r="A131"/>
  <c r="B61" i="1"/>
  <c r="C61" s="1"/>
  <c r="A229" i="3"/>
  <c r="A150"/>
  <c r="A242"/>
  <c r="A132"/>
  <c r="A235"/>
  <c r="A179"/>
  <c r="M10" i="1"/>
  <c r="N10" s="1"/>
  <c r="O10" s="1"/>
  <c r="P10" s="1"/>
  <c r="D10"/>
  <c r="A173" i="3"/>
  <c r="A84"/>
  <c r="M121" i="1"/>
  <c r="D121"/>
  <c r="A162" i="3" s="1"/>
  <c r="B20" i="1"/>
  <c r="C20" s="1"/>
  <c r="AA248"/>
  <c r="B7" i="3"/>
  <c r="E96" i="1"/>
  <c r="A47" i="3"/>
  <c r="A209"/>
  <c r="H135" i="1"/>
  <c r="G48"/>
  <c r="A273" i="3"/>
  <c r="E88" i="1"/>
  <c r="A187" i="3"/>
  <c r="A118"/>
  <c r="B34"/>
  <c r="A72"/>
  <c r="A28"/>
  <c r="A164"/>
  <c r="A9"/>
  <c r="A10"/>
  <c r="E14" i="1"/>
  <c r="N14"/>
  <c r="O14" s="1"/>
  <c r="AA110"/>
  <c r="A255" i="3"/>
  <c r="A262"/>
  <c r="A195"/>
  <c r="E236" i="1"/>
  <c r="A3" i="3"/>
  <c r="A69"/>
  <c r="A205"/>
  <c r="A140"/>
  <c r="B96" i="1"/>
  <c r="C96" s="1"/>
  <c r="B56"/>
  <c r="C146" i="3"/>
  <c r="A152"/>
  <c r="AA200" i="1"/>
  <c r="A147" i="3"/>
  <c r="C30"/>
  <c r="G198" i="1"/>
  <c r="B267" i="3"/>
  <c r="N217" i="1"/>
  <c r="F217" s="1"/>
  <c r="B72" i="3"/>
  <c r="A105"/>
  <c r="A81"/>
  <c r="E161" i="1"/>
  <c r="A168" i="3"/>
  <c r="A249"/>
  <c r="H198" i="1"/>
  <c r="P7"/>
  <c r="Q7" s="1"/>
  <c r="I7" s="1"/>
  <c r="A65" i="3"/>
  <c r="A123"/>
  <c r="B45"/>
  <c r="A32"/>
  <c r="G135" i="1"/>
  <c r="E198"/>
  <c r="B198" i="3" s="1"/>
  <c r="C35"/>
  <c r="A197"/>
  <c r="A102"/>
  <c r="A215"/>
  <c r="E76" i="1"/>
  <c r="B85" i="3" s="1"/>
  <c r="C207"/>
  <c r="A96"/>
  <c r="A130"/>
  <c r="A228"/>
  <c r="A169"/>
  <c r="A104"/>
  <c r="P165" i="1"/>
  <c r="H165" s="1"/>
  <c r="O120"/>
  <c r="N52"/>
  <c r="N33"/>
  <c r="D206"/>
  <c r="A77" i="3" s="1"/>
  <c r="M206" i="1"/>
  <c r="M46"/>
  <c r="N6"/>
  <c r="M230"/>
  <c r="D230"/>
  <c r="A53" i="3" s="1"/>
  <c r="F61" i="1"/>
  <c r="C222" i="3" s="1"/>
  <c r="O61" i="1"/>
  <c r="O138"/>
  <c r="G138" s="1"/>
  <c r="F66"/>
  <c r="E123"/>
  <c r="O123"/>
  <c r="P123" s="1"/>
  <c r="O226"/>
  <c r="P226" s="1"/>
  <c r="H226" s="1"/>
  <c r="E226" i="3" s="1"/>
  <c r="J256" i="1"/>
  <c r="F165"/>
  <c r="E267"/>
  <c r="B271" i="3" s="1"/>
  <c r="F163" i="1"/>
  <c r="E6"/>
  <c r="B6" i="3" s="1"/>
  <c r="M191" i="1"/>
  <c r="E191" s="1"/>
  <c r="B52" i="3" s="1"/>
  <c r="O147" i="1"/>
  <c r="G147" s="1"/>
  <c r="E1" i="2"/>
  <c r="B208" i="1"/>
  <c r="A75" i="3" s="1"/>
  <c r="M53" i="1"/>
  <c r="N53" s="1"/>
  <c r="O53" s="1"/>
  <c r="P53" s="1"/>
  <c r="M65"/>
  <c r="D65"/>
  <c r="N103"/>
  <c r="O103" s="1"/>
  <c r="G103" s="1"/>
  <c r="M190"/>
  <c r="D190"/>
  <c r="E226"/>
  <c r="B255" i="3" s="1"/>
  <c r="E205" i="1"/>
  <c r="E165"/>
  <c r="B68" i="3" s="1"/>
  <c r="F120" i="1"/>
  <c r="C117" i="3" s="1"/>
  <c r="D165" i="1"/>
  <c r="E183"/>
  <c r="E141"/>
  <c r="D183"/>
  <c r="D191"/>
  <c r="A191" i="3" s="1"/>
  <c r="E89" i="1"/>
  <c r="B194" i="3" s="1"/>
  <c r="M89" i="1"/>
  <c r="O23"/>
  <c r="P23" s="1"/>
  <c r="E2" i="2"/>
  <c r="A2" s="1"/>
  <c r="A3" s="1"/>
  <c r="A4" s="1"/>
  <c r="H256" i="1"/>
  <c r="I30"/>
  <c r="I256"/>
  <c r="G185"/>
  <c r="D46"/>
  <c r="A46" i="3" s="1"/>
  <c r="F7" i="1"/>
  <c r="O167"/>
  <c r="G167" s="1"/>
  <c r="P35"/>
  <c r="N258"/>
  <c r="F258" s="1"/>
  <c r="P201"/>
  <c r="H201" s="1"/>
  <c r="N195"/>
  <c r="N132"/>
  <c r="O277"/>
  <c r="P277" s="1"/>
  <c r="Q277" s="1"/>
  <c r="O86"/>
  <c r="G86" s="1"/>
  <c r="N55"/>
  <c r="O55" s="1"/>
  <c r="P55" s="1"/>
  <c r="H55" s="1"/>
  <c r="N273"/>
  <c r="F273" s="1"/>
  <c r="N15"/>
  <c r="O15" s="1"/>
  <c r="F243"/>
  <c r="C5" i="3" s="1"/>
  <c r="N243" i="1"/>
  <c r="N47"/>
  <c r="P5"/>
  <c r="H5" s="1"/>
  <c r="F257"/>
  <c r="C143" i="3" s="1"/>
  <c r="O257" i="1"/>
  <c r="N223"/>
  <c r="N213"/>
  <c r="N219"/>
  <c r="F219" s="1"/>
  <c r="M77"/>
  <c r="E77" s="1"/>
  <c r="B166" i="3" s="1"/>
  <c r="N102" i="1"/>
  <c r="F192"/>
  <c r="O192"/>
  <c r="G192" s="1"/>
  <c r="N64"/>
  <c r="N252"/>
  <c r="N162"/>
  <c r="F162" s="1"/>
  <c r="N269"/>
  <c r="F269" s="1"/>
  <c r="O238"/>
  <c r="M70"/>
  <c r="N70" s="1"/>
  <c r="M60"/>
  <c r="N60" s="1"/>
  <c r="P229"/>
  <c r="N272"/>
  <c r="O272" s="1"/>
  <c r="N42"/>
  <c r="F42" s="1"/>
  <c r="C42" i="3" s="1"/>
  <c r="N184" i="1"/>
  <c r="F184" s="1"/>
  <c r="C25" i="3" s="1"/>
  <c r="O59" i="1"/>
  <c r="G59" s="1"/>
  <c r="N130"/>
  <c r="O148"/>
  <c r="G148" s="1"/>
  <c r="N204"/>
  <c r="F204" s="1"/>
  <c r="N202"/>
  <c r="O202" s="1"/>
  <c r="P202" s="1"/>
  <c r="M188"/>
  <c r="E188" s="1"/>
  <c r="N26"/>
  <c r="Q127"/>
  <c r="I127" s="1"/>
  <c r="N109"/>
  <c r="F109" s="1"/>
  <c r="C174" i="3" s="1"/>
  <c r="N56" i="1"/>
  <c r="N19"/>
  <c r="F19" s="1"/>
  <c r="N153"/>
  <c r="F153" s="1"/>
  <c r="C160" i="3" s="1"/>
  <c r="M259" i="1"/>
  <c r="E259" s="1"/>
  <c r="B24" i="3" s="1"/>
  <c r="N209" i="1"/>
  <c r="N2"/>
  <c r="N216"/>
  <c r="F216" s="1"/>
  <c r="N34"/>
  <c r="F34" s="1"/>
  <c r="O173"/>
  <c r="P173" s="1"/>
  <c r="I8"/>
  <c r="E258"/>
  <c r="B25" i="3" s="1"/>
  <c r="E132" i="1"/>
  <c r="B177" i="3" s="1"/>
  <c r="J8" i="1"/>
  <c r="H7"/>
  <c r="E257"/>
  <c r="B26" i="3" s="1"/>
  <c r="E223" i="1"/>
  <c r="E16"/>
  <c r="E243"/>
  <c r="B5" i="3" s="1"/>
  <c r="E102" i="1"/>
  <c r="E162"/>
  <c r="D188"/>
  <c r="F238"/>
  <c r="J73"/>
  <c r="J94"/>
  <c r="N196"/>
  <c r="N145"/>
  <c r="N249"/>
  <c r="F249" s="1"/>
  <c r="C158" i="3" s="1"/>
  <c r="N62" i="1"/>
  <c r="F62" s="1"/>
  <c r="C62" i="3" s="1"/>
  <c r="N27" i="1"/>
  <c r="M98"/>
  <c r="E98" s="1"/>
  <c r="B148" i="3" s="1"/>
  <c r="N12" i="1"/>
  <c r="D124"/>
  <c r="A159" i="3" s="1"/>
  <c r="M124" i="1"/>
  <c r="E124" s="1"/>
  <c r="B109" i="3" s="1"/>
  <c r="O268" i="1"/>
  <c r="G268" s="1"/>
  <c r="O75"/>
  <c r="G75" s="1"/>
  <c r="N207"/>
  <c r="F207" s="1"/>
  <c r="N155"/>
  <c r="O155" s="1"/>
  <c r="G155" s="1"/>
  <c r="N177"/>
  <c r="F177" s="1"/>
  <c r="C106" i="3" s="1"/>
  <c r="N114" i="1"/>
  <c r="F114" s="1"/>
  <c r="O172"/>
  <c r="G172" s="1"/>
  <c r="Q43"/>
  <c r="I43" s="1"/>
  <c r="F158"/>
  <c r="O158"/>
  <c r="F16"/>
  <c r="C135" i="3" s="1"/>
  <c r="O16" i="1"/>
  <c r="P16" s="1"/>
  <c r="H16" s="1"/>
  <c r="F266"/>
  <c r="O266"/>
  <c r="F32"/>
  <c r="O32"/>
  <c r="G32" s="1"/>
  <c r="O234"/>
  <c r="G234" s="1"/>
  <c r="M22"/>
  <c r="O143"/>
  <c r="N274"/>
  <c r="F274" s="1"/>
  <c r="C274" i="3" s="1"/>
  <c r="N280" i="1"/>
  <c r="O280" s="1"/>
  <c r="P280" s="1"/>
  <c r="H280" s="1"/>
  <c r="N74"/>
  <c r="F74" s="1"/>
  <c r="O169"/>
  <c r="G169" s="1"/>
  <c r="F169"/>
  <c r="N279"/>
  <c r="F279" s="1"/>
  <c r="O255"/>
  <c r="N67"/>
  <c r="M49"/>
  <c r="D49"/>
  <c r="A49" i="3" s="1"/>
  <c r="M71" i="1"/>
  <c r="E71" s="1"/>
  <c r="N126"/>
  <c r="F126" s="1"/>
  <c r="N41"/>
  <c r="N104"/>
  <c r="O104" s="1"/>
  <c r="P95"/>
  <c r="Q137"/>
  <c r="R137" s="1"/>
  <c r="K137" s="1"/>
  <c r="N90"/>
  <c r="F90" s="1"/>
  <c r="O187"/>
  <c r="G187" s="1"/>
  <c r="D96" i="3" s="1"/>
  <c r="N113" i="1"/>
  <c r="F118"/>
  <c r="C248" i="3" s="1"/>
  <c r="N118" i="1"/>
  <c r="O118" s="1"/>
  <c r="P118" s="1"/>
  <c r="H118" s="1"/>
  <c r="F178"/>
  <c r="O178"/>
  <c r="N28"/>
  <c r="N68"/>
  <c r="F68" s="1"/>
  <c r="N180"/>
  <c r="F180" s="1"/>
  <c r="O129"/>
  <c r="G129" s="1"/>
  <c r="D229" i="3" s="1"/>
  <c r="Q239" i="1"/>
  <c r="I239" s="1"/>
  <c r="N24"/>
  <c r="F24" s="1"/>
  <c r="N215"/>
  <c r="F215" s="1"/>
  <c r="N13"/>
  <c r="F13" s="1"/>
  <c r="P164"/>
  <c r="H164" s="1"/>
  <c r="Q50"/>
  <c r="I50" s="1"/>
  <c r="E145"/>
  <c r="B138" i="3" s="1"/>
  <c r="F268" i="1"/>
  <c r="C149" i="3" s="1"/>
  <c r="E51" i="1"/>
  <c r="E47"/>
  <c r="G5"/>
  <c r="O37"/>
  <c r="G37" s="1"/>
  <c r="G229"/>
  <c r="E272"/>
  <c r="B112" i="3" s="1"/>
  <c r="E42" i="1"/>
  <c r="B241" i="3" s="1"/>
  <c r="F59" i="1"/>
  <c r="D60"/>
  <c r="A223" i="3" s="1"/>
  <c r="D98" i="1"/>
  <c r="J125"/>
  <c r="E173"/>
  <c r="P45"/>
  <c r="Q45" s="1"/>
  <c r="N36"/>
  <c r="F36" s="1"/>
  <c r="C16" i="3" s="1"/>
  <c r="N270" i="1"/>
  <c r="O270" s="1"/>
  <c r="G270" s="1"/>
  <c r="E270"/>
  <c r="B238" i="3" s="1"/>
  <c r="O183" i="1"/>
  <c r="G183" s="1"/>
  <c r="O11"/>
  <c r="G11" s="1"/>
  <c r="F107"/>
  <c r="O107"/>
  <c r="P107" s="1"/>
  <c r="H107" s="1"/>
  <c r="E139"/>
  <c r="B139" i="3" s="1"/>
  <c r="N139" i="1"/>
  <c r="O139" s="1"/>
  <c r="P139" s="1"/>
  <c r="N225"/>
  <c r="F225" s="1"/>
  <c r="N276"/>
  <c r="F235"/>
  <c r="C249" i="3" s="1"/>
  <c r="O235" i="1"/>
  <c r="N152"/>
  <c r="F152" s="1"/>
  <c r="N142"/>
  <c r="F142" s="1"/>
  <c r="C152" i="3" s="1"/>
  <c r="N91" i="1"/>
  <c r="F91" s="1"/>
  <c r="Q240"/>
  <c r="I240" s="1"/>
  <c r="N146"/>
  <c r="F146" s="1"/>
  <c r="C120" i="3" s="1"/>
  <c r="E261" i="1"/>
  <c r="N261"/>
  <c r="N40"/>
  <c r="N260"/>
  <c r="F260" s="1"/>
  <c r="C260" i="3" s="1"/>
  <c r="N101" i="1"/>
  <c r="F101" s="1"/>
  <c r="N156"/>
  <c r="F156" s="1"/>
  <c r="C156" i="3" s="1"/>
  <c r="M242" i="1"/>
  <c r="E242" s="1"/>
  <c r="M182"/>
  <c r="E182" s="1"/>
  <c r="B107" i="3" s="1"/>
  <c r="N29" i="1"/>
  <c r="F29" s="1"/>
  <c r="N108"/>
  <c r="F108" s="1"/>
  <c r="F267"/>
  <c r="O267"/>
  <c r="O31"/>
  <c r="G31" s="1"/>
  <c r="O84"/>
  <c r="G84" s="1"/>
  <c r="N93"/>
  <c r="F93" s="1"/>
  <c r="P133"/>
  <c r="G133"/>
  <c r="N131"/>
  <c r="F131" s="1"/>
  <c r="N264"/>
  <c r="F264" s="1"/>
  <c r="N79"/>
  <c r="F79" s="1"/>
  <c r="C63" i="3" s="1"/>
  <c r="N265" i="1"/>
  <c r="O221"/>
  <c r="G221" s="1"/>
  <c r="E3"/>
  <c r="B262" i="3" s="1"/>
  <c r="N3" i="1"/>
  <c r="N250"/>
  <c r="F250" s="1"/>
  <c r="R135"/>
  <c r="K135" s="1"/>
  <c r="G201"/>
  <c r="E27"/>
  <c r="E36"/>
  <c r="B247" i="3" s="1"/>
  <c r="E196" i="1"/>
  <c r="B3" i="3" s="1"/>
  <c r="E159" i="1"/>
  <c r="F75"/>
  <c r="E177"/>
  <c r="F172"/>
  <c r="F86"/>
  <c r="C86" i="3" s="1"/>
  <c r="E107" i="1"/>
  <c r="E213"/>
  <c r="F234"/>
  <c r="H48"/>
  <c r="J160"/>
  <c r="E104"/>
  <c r="B179" i="3" s="1"/>
  <c r="E90" i="1"/>
  <c r="F187"/>
  <c r="C96" i="3" s="1"/>
  <c r="E113" i="1"/>
  <c r="B170" i="3" s="1"/>
  <c r="E29" i="1"/>
  <c r="B254" i="3" s="1"/>
  <c r="E266" i="1"/>
  <c r="B269" i="3" s="1"/>
  <c r="E178" i="1"/>
  <c r="B105" i="3" s="1"/>
  <c r="E28" i="1"/>
  <c r="B28" i="3" s="1"/>
  <c r="F129" i="1"/>
  <c r="C229" i="3" s="1"/>
  <c r="H239" i="1"/>
  <c r="E269"/>
  <c r="E209"/>
  <c r="B74" i="3" s="1"/>
  <c r="N150" i="1"/>
  <c r="F150" s="1"/>
  <c r="C150" i="3" s="1"/>
  <c r="N247" i="1"/>
  <c r="O247" s="1"/>
  <c r="G247" s="1"/>
  <c r="O136"/>
  <c r="G136" s="1"/>
  <c r="M92"/>
  <c r="E92" s="1"/>
  <c r="M203"/>
  <c r="E203" s="1"/>
  <c r="P141"/>
  <c r="H141" s="1"/>
  <c r="N117"/>
  <c r="F117" s="1"/>
  <c r="F51"/>
  <c r="C186" i="3" s="1"/>
  <c r="O51" i="1"/>
  <c r="G51" s="1"/>
  <c r="D186" i="3" s="1"/>
  <c r="N275" i="1"/>
  <c r="N72"/>
  <c r="F72" s="1"/>
  <c r="N194"/>
  <c r="N189"/>
  <c r="F189" s="1"/>
  <c r="F244"/>
  <c r="N244"/>
  <c r="N119"/>
  <c r="F119" s="1"/>
  <c r="C119" i="3" s="1"/>
  <c r="O227" i="1"/>
  <c r="P227" s="1"/>
  <c r="P212"/>
  <c r="H212" s="1"/>
  <c r="N210"/>
  <c r="O210" s="1"/>
  <c r="P210" s="1"/>
  <c r="M233"/>
  <c r="E233" s="1"/>
  <c r="B275" i="3" s="1"/>
  <c r="O140" i="1"/>
  <c r="N232"/>
  <c r="O100"/>
  <c r="G100" s="1"/>
  <c r="M208"/>
  <c r="D208"/>
  <c r="N85"/>
  <c r="N111"/>
  <c r="F111" s="1"/>
  <c r="N281"/>
  <c r="F281" s="1"/>
  <c r="N263"/>
  <c r="F263" s="1"/>
  <c r="O128"/>
  <c r="N197"/>
  <c r="F197" s="1"/>
  <c r="F205"/>
  <c r="O205"/>
  <c r="O211"/>
  <c r="M251"/>
  <c r="N220"/>
  <c r="F220" s="1"/>
  <c r="M39"/>
  <c r="N154"/>
  <c r="N181"/>
  <c r="N262"/>
  <c r="O262" s="1"/>
  <c r="P262" s="1"/>
  <c r="N58"/>
  <c r="F58" s="1"/>
  <c r="N4"/>
  <c r="N254"/>
  <c r="M105"/>
  <c r="E105" s="1"/>
  <c r="N228"/>
  <c r="O144"/>
  <c r="G144" s="1"/>
  <c r="N116"/>
  <c r="O278"/>
  <c r="P278" s="1"/>
  <c r="N245"/>
  <c r="F245" s="1"/>
  <c r="N176"/>
  <c r="O176" s="1"/>
  <c r="R198"/>
  <c r="K198" s="1"/>
  <c r="F136"/>
  <c r="G45"/>
  <c r="E62"/>
  <c r="B221" i="3" s="1"/>
  <c r="E15" i="1"/>
  <c r="B268" i="3" s="1"/>
  <c r="J81" i="1"/>
  <c r="E195"/>
  <c r="B235" i="3" s="1"/>
  <c r="E158" i="1"/>
  <c r="B125" i="3" s="1"/>
  <c r="I171" i="1"/>
  <c r="F159"/>
  <c r="D233"/>
  <c r="A233" i="3" s="1"/>
  <c r="F167" i="1"/>
  <c r="G35"/>
  <c r="E64"/>
  <c r="B219" i="3" s="1"/>
  <c r="D203" i="1"/>
  <c r="A80" i="3" s="1"/>
  <c r="F277" i="1"/>
  <c r="E220"/>
  <c r="B63" i="3" s="1"/>
  <c r="H171" i="1"/>
  <c r="P88"/>
  <c r="H88" s="1"/>
  <c r="P66"/>
  <c r="H66" s="1"/>
  <c r="Q179"/>
  <c r="I179" s="1"/>
  <c r="P87"/>
  <c r="Q185"/>
  <c r="R80"/>
  <c r="K80" s="1"/>
  <c r="P237"/>
  <c r="H237" s="1"/>
  <c r="E118" i="3" s="1"/>
  <c r="P122" i="1"/>
  <c r="P174"/>
  <c r="H174" s="1"/>
  <c r="P159"/>
  <c r="Q63"/>
  <c r="I63" s="1"/>
  <c r="P14"/>
  <c r="H14" s="1"/>
  <c r="R48"/>
  <c r="K48" s="1"/>
  <c r="P151"/>
  <c r="Q186"/>
  <c r="I186" s="1"/>
  <c r="J30"/>
  <c r="I48"/>
  <c r="P163"/>
  <c r="H163" s="1"/>
  <c r="Q170"/>
  <c r="I170" s="1"/>
  <c r="Q253"/>
  <c r="I253" s="1"/>
  <c r="P106"/>
  <c r="H106" s="1"/>
  <c r="P38"/>
  <c r="P25"/>
  <c r="H25" s="1"/>
  <c r="Q199"/>
  <c r="Q112"/>
  <c r="I112" s="1"/>
  <c r="P149"/>
  <c r="H149" s="1"/>
  <c r="R82"/>
  <c r="K82" s="1"/>
  <c r="P21"/>
  <c r="H21" s="1"/>
  <c r="R57"/>
  <c r="K57" s="1"/>
  <c r="G163"/>
  <c r="G173"/>
  <c r="G88"/>
  <c r="G66"/>
  <c r="G210"/>
  <c r="P96"/>
  <c r="H96" s="1"/>
  <c r="Q224"/>
  <c r="H253"/>
  <c r="G106"/>
  <c r="D200" i="3" s="1"/>
  <c r="G38" i="1"/>
  <c r="H224"/>
  <c r="G202"/>
  <c r="G25"/>
  <c r="H199"/>
  <c r="H112"/>
  <c r="G149"/>
  <c r="I82"/>
  <c r="J171"/>
  <c r="G139"/>
  <c r="G21"/>
  <c r="D54" i="3" s="1"/>
  <c r="I57" i="1"/>
  <c r="J175"/>
  <c r="Q193"/>
  <c r="O292" l="1"/>
  <c r="G292"/>
  <c r="O300"/>
  <c r="H298"/>
  <c r="Q284"/>
  <c r="I284" s="1"/>
  <c r="F300"/>
  <c r="F292"/>
  <c r="Q290"/>
  <c r="Q285"/>
  <c r="I285" s="1"/>
  <c r="J287"/>
  <c r="AA287" s="1"/>
  <c r="R287"/>
  <c r="K287" s="1"/>
  <c r="R283"/>
  <c r="K283" s="1"/>
  <c r="Q289"/>
  <c r="I289" s="1"/>
  <c r="R295"/>
  <c r="K295" s="1"/>
  <c r="J288"/>
  <c r="AA288" s="1"/>
  <c r="R288"/>
  <c r="K288" s="1"/>
  <c r="Q301"/>
  <c r="I301" s="1"/>
  <c r="R296"/>
  <c r="K296" s="1"/>
  <c r="J284"/>
  <c r="R284"/>
  <c r="K284" s="1"/>
  <c r="I282"/>
  <c r="Q282"/>
  <c r="Q298"/>
  <c r="Q286"/>
  <c r="I286" s="1"/>
  <c r="R299"/>
  <c r="K299" s="1"/>
  <c r="Q294"/>
  <c r="I293"/>
  <c r="Q293"/>
  <c r="R291"/>
  <c r="K291" s="1"/>
  <c r="Q297"/>
  <c r="I297" s="1"/>
  <c r="D258" i="3"/>
  <c r="A207"/>
  <c r="A76"/>
  <c r="B92"/>
  <c r="B145"/>
  <c r="C154"/>
  <c r="O157" i="1"/>
  <c r="G157" s="1"/>
  <c r="C176" i="3"/>
  <c r="C83"/>
  <c r="A163"/>
  <c r="B163"/>
  <c r="C99"/>
  <c r="B178"/>
  <c r="B151"/>
  <c r="C245"/>
  <c r="C254"/>
  <c r="B22"/>
  <c r="B236"/>
  <c r="D149"/>
  <c r="C264"/>
  <c r="A230"/>
  <c r="A218"/>
  <c r="A22"/>
  <c r="A206"/>
  <c r="B168"/>
  <c r="B195"/>
  <c r="B15"/>
  <c r="A219"/>
  <c r="B102"/>
  <c r="A124"/>
  <c r="B226"/>
  <c r="B233"/>
  <c r="A161"/>
  <c r="C205"/>
  <c r="C116"/>
  <c r="D62"/>
  <c r="C17"/>
  <c r="O83" i="1"/>
  <c r="G83" s="1"/>
  <c r="D202" i="3" s="1"/>
  <c r="C97"/>
  <c r="C91"/>
  <c r="D238"/>
  <c r="D85"/>
  <c r="B73"/>
  <c r="C111"/>
  <c r="D84"/>
  <c r="C217"/>
  <c r="B14"/>
  <c r="B242"/>
  <c r="A185"/>
  <c r="C126"/>
  <c r="A203"/>
  <c r="B47"/>
  <c r="A20"/>
  <c r="B20"/>
  <c r="B270"/>
  <c r="C142"/>
  <c r="B165"/>
  <c r="B104"/>
  <c r="C169"/>
  <c r="B279"/>
  <c r="B173"/>
  <c r="B251"/>
  <c r="D139"/>
  <c r="B205"/>
  <c r="C113"/>
  <c r="G115" i="1"/>
  <c r="B124" i="3"/>
  <c r="B89"/>
  <c r="B42"/>
  <c r="B158"/>
  <c r="B71"/>
  <c r="G280" i="1"/>
  <c r="D44" i="3" s="1"/>
  <c r="D276"/>
  <c r="G14" i="1"/>
  <c r="D128" i="3" s="1"/>
  <c r="P241" i="1"/>
  <c r="F10"/>
  <c r="C10" i="3" s="1"/>
  <c r="C33"/>
  <c r="B256"/>
  <c r="D173"/>
  <c r="B61"/>
  <c r="A98"/>
  <c r="A60"/>
  <c r="B113"/>
  <c r="A99"/>
  <c r="B259"/>
  <c r="B258"/>
  <c r="B129"/>
  <c r="B98"/>
  <c r="B257"/>
  <c r="C9"/>
  <c r="C172"/>
  <c r="D199"/>
  <c r="C32"/>
  <c r="C122"/>
  <c r="D268"/>
  <c r="B265"/>
  <c r="E248"/>
  <c r="C74"/>
  <c r="C137"/>
  <c r="C68"/>
  <c r="C118"/>
  <c r="A222"/>
  <c r="Q218" i="1"/>
  <c r="J76"/>
  <c r="C232" i="3"/>
  <c r="C234"/>
  <c r="C76"/>
  <c r="C66"/>
  <c r="H20" i="1"/>
  <c r="A276" i="3"/>
  <c r="B64"/>
  <c r="A64"/>
  <c r="B272"/>
  <c r="C101"/>
  <c r="B88"/>
  <c r="C38"/>
  <c r="B132"/>
  <c r="C244"/>
  <c r="C50"/>
  <c r="P247" i="1"/>
  <c r="H247" s="1"/>
  <c r="E57" i="3" s="1"/>
  <c r="P138" i="1"/>
  <c r="H138" s="1"/>
  <c r="G20"/>
  <c r="C98" i="3"/>
  <c r="D134"/>
  <c r="C23"/>
  <c r="E44"/>
  <c r="O217" i="1"/>
  <c r="G217" s="1"/>
  <c r="G23"/>
  <c r="D168" i="3"/>
  <c r="B276"/>
  <c r="B144"/>
  <c r="C56" i="1"/>
  <c r="A227" i="3"/>
  <c r="C163" i="1"/>
  <c r="A120" i="3"/>
  <c r="C256"/>
  <c r="C225"/>
  <c r="B95"/>
  <c r="B122"/>
  <c r="O231" i="1"/>
  <c r="G231" s="1"/>
  <c r="C165" i="3"/>
  <c r="B80"/>
  <c r="B159"/>
  <c r="I168" i="1"/>
  <c r="I20"/>
  <c r="Q16"/>
  <c r="I16" s="1"/>
  <c r="C20" i="3"/>
  <c r="C271"/>
  <c r="C45"/>
  <c r="C144"/>
  <c r="D82"/>
  <c r="B118"/>
  <c r="F218" i="1"/>
  <c r="C79" i="3" s="1"/>
  <c r="D91"/>
  <c r="B176"/>
  <c r="B11"/>
  <c r="B17"/>
  <c r="B142"/>
  <c r="A252"/>
  <c r="A188"/>
  <c r="E199"/>
  <c r="H168" i="1"/>
  <c r="C94" i="3"/>
  <c r="B57"/>
  <c r="B280"/>
  <c r="P54" i="1"/>
  <c r="H54" s="1"/>
  <c r="B78" i="3"/>
  <c r="C133"/>
  <c r="C58"/>
  <c r="D20"/>
  <c r="C204"/>
  <c r="B181"/>
  <c r="F115" i="1"/>
  <c r="F30" i="3"/>
  <c r="B106"/>
  <c r="B207"/>
  <c r="G218" i="1"/>
  <c r="C131" i="3"/>
  <c r="D87"/>
  <c r="B101"/>
  <c r="C164"/>
  <c r="C221"/>
  <c r="AA227" i="5"/>
  <c r="J227"/>
  <c r="Q37"/>
  <c r="I37" s="1"/>
  <c r="O87"/>
  <c r="G87" s="1"/>
  <c r="H220"/>
  <c r="H37"/>
  <c r="O98"/>
  <c r="F207"/>
  <c r="O207"/>
  <c r="J210"/>
  <c r="AA210" s="1"/>
  <c r="O233"/>
  <c r="P233" s="1"/>
  <c r="Q180"/>
  <c r="O12"/>
  <c r="G12" s="1"/>
  <c r="F35"/>
  <c r="G281"/>
  <c r="P281"/>
  <c r="Q281" s="1"/>
  <c r="I281" s="1"/>
  <c r="O136"/>
  <c r="O268"/>
  <c r="G268" s="1"/>
  <c r="O102"/>
  <c r="J93"/>
  <c r="AA93" s="1"/>
  <c r="Q77"/>
  <c r="I77" s="1"/>
  <c r="O44"/>
  <c r="G44"/>
  <c r="O75"/>
  <c r="G94"/>
  <c r="P94"/>
  <c r="F75"/>
  <c r="J175"/>
  <c r="AA175" s="1"/>
  <c r="G220"/>
  <c r="O150"/>
  <c r="P150" s="1"/>
  <c r="H101"/>
  <c r="P101"/>
  <c r="G58"/>
  <c r="P58"/>
  <c r="H58" s="1"/>
  <c r="P160"/>
  <c r="H160" s="1"/>
  <c r="F44"/>
  <c r="F281"/>
  <c r="F136"/>
  <c r="F94"/>
  <c r="F58"/>
  <c r="G160"/>
  <c r="G77"/>
  <c r="P65"/>
  <c r="H65" s="1"/>
  <c r="P224"/>
  <c r="P34"/>
  <c r="Q170"/>
  <c r="I170" s="1"/>
  <c r="P70"/>
  <c r="H70" s="1"/>
  <c r="R13"/>
  <c r="K13" s="1"/>
  <c r="H196"/>
  <c r="P196"/>
  <c r="R8"/>
  <c r="K8" s="1"/>
  <c r="O230"/>
  <c r="G230" s="1"/>
  <c r="Q47"/>
  <c r="Q215"/>
  <c r="I215" s="1"/>
  <c r="O274"/>
  <c r="O21"/>
  <c r="G21" s="1"/>
  <c r="O183"/>
  <c r="G183" s="1"/>
  <c r="O200"/>
  <c r="G200" s="1"/>
  <c r="P71"/>
  <c r="H71" s="1"/>
  <c r="Q190"/>
  <c r="I190" s="1"/>
  <c r="O213"/>
  <c r="H245"/>
  <c r="P245"/>
  <c r="P121"/>
  <c r="H121" s="1"/>
  <c r="R134"/>
  <c r="K134" s="1"/>
  <c r="Q217"/>
  <c r="I217" s="1"/>
  <c r="G192"/>
  <c r="O192"/>
  <c r="Q258"/>
  <c r="I258" s="1"/>
  <c r="O197"/>
  <c r="G197" s="1"/>
  <c r="P79"/>
  <c r="H79" s="1"/>
  <c r="O166"/>
  <c r="O115"/>
  <c r="G115" s="1"/>
  <c r="P275"/>
  <c r="O30"/>
  <c r="G30" s="1"/>
  <c r="R171"/>
  <c r="K171" s="1"/>
  <c r="O154"/>
  <c r="G154" s="1"/>
  <c r="Q4"/>
  <c r="I4" s="1"/>
  <c r="J240"/>
  <c r="AA240" s="1"/>
  <c r="R240"/>
  <c r="K240" s="1"/>
  <c r="P153"/>
  <c r="H153" s="1"/>
  <c r="O201"/>
  <c r="G201" s="1"/>
  <c r="P189"/>
  <c r="Q9"/>
  <c r="H36"/>
  <c r="P36"/>
  <c r="P122"/>
  <c r="H122" s="1"/>
  <c r="Q41"/>
  <c r="R255"/>
  <c r="K255" s="1"/>
  <c r="G3"/>
  <c r="O3"/>
  <c r="O169"/>
  <c r="G169" s="1"/>
  <c r="Q81"/>
  <c r="Q234"/>
  <c r="I234" s="1"/>
  <c r="J82"/>
  <c r="AA82" s="1"/>
  <c r="R82"/>
  <c r="K82" s="1"/>
  <c r="P279"/>
  <c r="H279" s="1"/>
  <c r="Q125"/>
  <c r="I125" s="1"/>
  <c r="O239"/>
  <c r="G239" s="1"/>
  <c r="R220"/>
  <c r="K220" s="1"/>
  <c r="Q7"/>
  <c r="I7" s="1"/>
  <c r="Q256"/>
  <c r="R113"/>
  <c r="K113" s="1"/>
  <c r="Q266"/>
  <c r="P87"/>
  <c r="R108"/>
  <c r="K108" s="1"/>
  <c r="P278"/>
  <c r="H278" s="1"/>
  <c r="P181"/>
  <c r="P164"/>
  <c r="H194"/>
  <c r="P194"/>
  <c r="Q219"/>
  <c r="I219" s="1"/>
  <c r="P61"/>
  <c r="H133"/>
  <c r="P133"/>
  <c r="O147"/>
  <c r="G147" s="1"/>
  <c r="R204"/>
  <c r="K204" s="1"/>
  <c r="O179"/>
  <c r="G179" s="1"/>
  <c r="Q205"/>
  <c r="I205" s="1"/>
  <c r="G34"/>
  <c r="I8"/>
  <c r="F230"/>
  <c r="H47"/>
  <c r="J276"/>
  <c r="AA276" s="1"/>
  <c r="H215"/>
  <c r="F274"/>
  <c r="F21"/>
  <c r="F183"/>
  <c r="J42"/>
  <c r="AA42" s="1"/>
  <c r="F200"/>
  <c r="G71"/>
  <c r="H190"/>
  <c r="F213"/>
  <c r="G245"/>
  <c r="J88"/>
  <c r="AA88" s="1"/>
  <c r="J185"/>
  <c r="AA185" s="1"/>
  <c r="J89"/>
  <c r="AA89" s="1"/>
  <c r="F166"/>
  <c r="F115"/>
  <c r="G275"/>
  <c r="F30"/>
  <c r="J149"/>
  <c r="AA149" s="1"/>
  <c r="P144"/>
  <c r="R198"/>
  <c r="K198" s="1"/>
  <c r="Q208"/>
  <c r="P107"/>
  <c r="H107" s="1"/>
  <c r="O105"/>
  <c r="O221"/>
  <c r="G221" s="1"/>
  <c r="O265"/>
  <c r="G265" s="1"/>
  <c r="Q273"/>
  <c r="I273" s="1"/>
  <c r="P106"/>
  <c r="Q209"/>
  <c r="I209" s="1"/>
  <c r="P176"/>
  <c r="H176" s="1"/>
  <c r="P246"/>
  <c r="H246" s="1"/>
  <c r="G257"/>
  <c r="O257"/>
  <c r="P128"/>
  <c r="H128" s="1"/>
  <c r="P241"/>
  <c r="H241" s="1"/>
  <c r="P57"/>
  <c r="O19"/>
  <c r="G19" s="1"/>
  <c r="R172"/>
  <c r="K172" s="1"/>
  <c r="P27"/>
  <c r="H27" s="1"/>
  <c r="P131"/>
  <c r="Q226"/>
  <c r="I119"/>
  <c r="Q119"/>
  <c r="R18"/>
  <c r="K18" s="1"/>
  <c r="P68"/>
  <c r="O264"/>
  <c r="G264" s="1"/>
  <c r="O262"/>
  <c r="G262" s="1"/>
  <c r="O151"/>
  <c r="G151" s="1"/>
  <c r="P52"/>
  <c r="P174"/>
  <c r="P100"/>
  <c r="H100" s="1"/>
  <c r="O72"/>
  <c r="G72" s="1"/>
  <c r="P218"/>
  <c r="H218" s="1"/>
  <c r="R39"/>
  <c r="K39" s="1"/>
  <c r="Q267"/>
  <c r="I267" s="1"/>
  <c r="O157"/>
  <c r="I271"/>
  <c r="Q271"/>
  <c r="P92"/>
  <c r="H92" s="1"/>
  <c r="P232"/>
  <c r="H232" s="1"/>
  <c r="R16"/>
  <c r="K16" s="1"/>
  <c r="O6"/>
  <c r="G6" s="1"/>
  <c r="H111"/>
  <c r="P111"/>
  <c r="Q46"/>
  <c r="I46" s="1"/>
  <c r="O26"/>
  <c r="R235"/>
  <c r="K235" s="1"/>
  <c r="H152"/>
  <c r="P152"/>
  <c r="P73"/>
  <c r="P142"/>
  <c r="Q24"/>
  <c r="Q211"/>
  <c r="I211" s="1"/>
  <c r="P118"/>
  <c r="Q5"/>
  <c r="I5" s="1"/>
  <c r="I110"/>
  <c r="Q110"/>
  <c r="P251"/>
  <c r="H251" s="1"/>
  <c r="P64"/>
  <c r="H64" s="1"/>
  <c r="P137"/>
  <c r="G229"/>
  <c r="O229"/>
  <c r="R140"/>
  <c r="K140" s="1"/>
  <c r="P238"/>
  <c r="R97"/>
  <c r="K97" s="1"/>
  <c r="I214"/>
  <c r="Q214"/>
  <c r="Q76"/>
  <c r="I76" s="1"/>
  <c r="Q17"/>
  <c r="I17" s="1"/>
  <c r="O143"/>
  <c r="P85"/>
  <c r="H85" s="1"/>
  <c r="R54"/>
  <c r="K54" s="1"/>
  <c r="J54"/>
  <c r="AA54" s="1"/>
  <c r="P103"/>
  <c r="Q252"/>
  <c r="I252" s="1"/>
  <c r="G106"/>
  <c r="H209"/>
  <c r="J120"/>
  <c r="AA120" s="1"/>
  <c r="J247"/>
  <c r="AA247" s="1"/>
  <c r="F19"/>
  <c r="I172"/>
  <c r="G27"/>
  <c r="G131"/>
  <c r="H226"/>
  <c r="J270"/>
  <c r="AA270" s="1"/>
  <c r="H119"/>
  <c r="I18"/>
  <c r="G68"/>
  <c r="F264"/>
  <c r="F262"/>
  <c r="F151"/>
  <c r="Q35"/>
  <c r="Q161"/>
  <c r="Q263"/>
  <c r="P259"/>
  <c r="H259" s="1"/>
  <c r="Q191"/>
  <c r="Q277"/>
  <c r="I277" s="1"/>
  <c r="I80"/>
  <c r="Q80"/>
  <c r="P83"/>
  <c r="H83" s="1"/>
  <c r="Q141"/>
  <c r="I141" s="1"/>
  <c r="Q48"/>
  <c r="Q104"/>
  <c r="P132"/>
  <c r="H132" s="1"/>
  <c r="P203"/>
  <c r="H116"/>
  <c r="P116"/>
  <c r="H184"/>
  <c r="P184"/>
  <c r="P231"/>
  <c r="H231" s="1"/>
  <c r="P158"/>
  <c r="R130"/>
  <c r="K130" s="1"/>
  <c r="H272"/>
  <c r="P272"/>
  <c r="Q32"/>
  <c r="I32" s="1"/>
  <c r="P11"/>
  <c r="P280"/>
  <c r="H280" s="1"/>
  <c r="P25"/>
  <c r="H25" s="1"/>
  <c r="R178"/>
  <c r="K178" s="1"/>
  <c r="Q14"/>
  <c r="I14" s="1"/>
  <c r="O212"/>
  <c r="G212" s="1"/>
  <c r="P15"/>
  <c r="H15" s="1"/>
  <c r="Q28"/>
  <c r="I28" s="1"/>
  <c r="P78"/>
  <c r="P253"/>
  <c r="H253" s="1"/>
  <c r="Q177"/>
  <c r="I177" s="1"/>
  <c r="O62"/>
  <c r="G62" s="1"/>
  <c r="P50"/>
  <c r="P2"/>
  <c r="H2" s="1"/>
  <c r="P199"/>
  <c r="H199" s="1"/>
  <c r="Q243"/>
  <c r="I243" s="1"/>
  <c r="O139"/>
  <c r="G139" s="1"/>
  <c r="R223"/>
  <c r="K223" s="1"/>
  <c r="P145"/>
  <c r="P228"/>
  <c r="H228" s="1"/>
  <c r="P55"/>
  <c r="P236"/>
  <c r="H236" s="1"/>
  <c r="P168"/>
  <c r="H168" s="1"/>
  <c r="O242"/>
  <c r="G242" s="1"/>
  <c r="O84"/>
  <c r="Q117"/>
  <c r="I117" s="1"/>
  <c r="Q202"/>
  <c r="O155"/>
  <c r="G155" s="1"/>
  <c r="R69"/>
  <c r="K69" s="1"/>
  <c r="P148"/>
  <c r="H148" s="1"/>
  <c r="O186"/>
  <c r="Q193"/>
  <c r="I193" s="1"/>
  <c r="Q225"/>
  <c r="I225" s="1"/>
  <c r="P138"/>
  <c r="Q10"/>
  <c r="I10" s="1"/>
  <c r="H277"/>
  <c r="H80"/>
  <c r="G83"/>
  <c r="G203"/>
  <c r="G116"/>
  <c r="G184"/>
  <c r="G231"/>
  <c r="G158"/>
  <c r="O45"/>
  <c r="G45" s="1"/>
  <c r="R56"/>
  <c r="K56" s="1"/>
  <c r="P206"/>
  <c r="J249"/>
  <c r="R249"/>
  <c r="K249" s="1"/>
  <c r="Q20"/>
  <c r="I20" s="1"/>
  <c r="P248"/>
  <c r="H248" s="1"/>
  <c r="O222"/>
  <c r="P162"/>
  <c r="H162" s="1"/>
  <c r="R67"/>
  <c r="K67" s="1"/>
  <c r="Q112"/>
  <c r="I112" s="1"/>
  <c r="R165"/>
  <c r="K165" s="1"/>
  <c r="O43"/>
  <c r="G43" s="1"/>
  <c r="O114"/>
  <c r="G114" s="1"/>
  <c r="J77"/>
  <c r="R77"/>
  <c r="K77" s="1"/>
  <c r="O135"/>
  <c r="G135" s="1"/>
  <c r="I159"/>
  <c r="Q159"/>
  <c r="P23"/>
  <c r="H23" s="1"/>
  <c r="R96"/>
  <c r="K96" s="1"/>
  <c r="P269"/>
  <c r="O163"/>
  <c r="G163" s="1"/>
  <c r="R126"/>
  <c r="K126" s="1"/>
  <c r="P261"/>
  <c r="R53"/>
  <c r="K53" s="1"/>
  <c r="Q244"/>
  <c r="I244" s="1"/>
  <c r="O127"/>
  <c r="G127" s="1"/>
  <c r="O29"/>
  <c r="G29" s="1"/>
  <c r="H173"/>
  <c r="P173"/>
  <c r="O260"/>
  <c r="G260" s="1"/>
  <c r="R66"/>
  <c r="K66" s="1"/>
  <c r="Q146"/>
  <c r="I146" s="1"/>
  <c r="R188"/>
  <c r="K188" s="1"/>
  <c r="Q250"/>
  <c r="P99"/>
  <c r="H99" s="1"/>
  <c r="O167"/>
  <c r="G167" s="1"/>
  <c r="Q124"/>
  <c r="G182"/>
  <c r="O182"/>
  <c r="P59"/>
  <c r="H59" s="1"/>
  <c r="Q90"/>
  <c r="I90" s="1"/>
  <c r="H63"/>
  <c r="P63"/>
  <c r="Q237"/>
  <c r="I237" s="1"/>
  <c r="P254"/>
  <c r="H254" s="1"/>
  <c r="O195"/>
  <c r="G195" s="1"/>
  <c r="J60"/>
  <c r="AA60" s="1"/>
  <c r="R60"/>
  <c r="K60" s="1"/>
  <c r="Q187"/>
  <c r="I187" s="1"/>
  <c r="P31"/>
  <c r="H31" s="1"/>
  <c r="O49"/>
  <c r="G49" s="1"/>
  <c r="O33"/>
  <c r="I95"/>
  <c r="Q95"/>
  <c r="P91"/>
  <c r="H91" s="1"/>
  <c r="P74"/>
  <c r="O38"/>
  <c r="Q40"/>
  <c r="I40" s="1"/>
  <c r="G65"/>
  <c r="G144"/>
  <c r="I198"/>
  <c r="G224"/>
  <c r="F45"/>
  <c r="G259"/>
  <c r="I249"/>
  <c r="H208"/>
  <c r="H170"/>
  <c r="H20"/>
  <c r="J51"/>
  <c r="AA51" s="1"/>
  <c r="G70"/>
  <c r="G107"/>
  <c r="H191"/>
  <c r="I13"/>
  <c r="F105"/>
  <c r="J216"/>
  <c r="AA216" s="1"/>
  <c r="G196"/>
  <c r="F221"/>
  <c r="G248"/>
  <c r="A110" i="3"/>
  <c r="B263"/>
  <c r="E18" i="1"/>
  <c r="G226"/>
  <c r="D226" i="3" s="1"/>
  <c r="G118" i="1"/>
  <c r="D248" i="3" s="1"/>
  <c r="A26"/>
  <c r="A266"/>
  <c r="AA125" i="1"/>
  <c r="O18"/>
  <c r="G16"/>
  <c r="D135" i="3" s="1"/>
  <c r="F55" i="1"/>
  <c r="C241" i="3" s="1"/>
  <c r="A36"/>
  <c r="AA69" i="1"/>
  <c r="B36" i="3"/>
  <c r="B266"/>
  <c r="F247" i="1"/>
  <c r="C57" i="3" s="1"/>
  <c r="F280" i="1"/>
  <c r="C44" i="3" s="1"/>
  <c r="F18" i="1"/>
  <c r="C197" i="3" s="1"/>
  <c r="G123" i="1"/>
  <c r="D123" i="3" s="1"/>
  <c r="D263"/>
  <c r="AA97" i="1"/>
  <c r="C224" i="3"/>
  <c r="B108"/>
  <c r="C90"/>
  <c r="C37"/>
  <c r="B29"/>
  <c r="B143"/>
  <c r="AA256" i="1"/>
  <c r="B21" i="3"/>
  <c r="B111"/>
  <c r="A211"/>
  <c r="A275"/>
  <c r="B135"/>
  <c r="A85"/>
  <c r="B62"/>
  <c r="A239"/>
  <c r="B58"/>
  <c r="B203"/>
  <c r="B212"/>
  <c r="A109"/>
  <c r="B161"/>
  <c r="B213"/>
  <c r="A181"/>
  <c r="A40"/>
  <c r="A100"/>
  <c r="A93"/>
  <c r="A95"/>
  <c r="C110"/>
  <c r="B110"/>
  <c r="AA171" i="1"/>
  <c r="AA160"/>
  <c r="AA175"/>
  <c r="G161"/>
  <c r="G227"/>
  <c r="B157" i="3"/>
  <c r="A263"/>
  <c r="AA81" i="1"/>
  <c r="C263" i="3"/>
  <c r="AA8" i="1"/>
  <c r="B4" i="3"/>
  <c r="B187"/>
  <c r="A68"/>
  <c r="C175"/>
  <c r="C267"/>
  <c r="F236" i="1"/>
  <c r="O236"/>
  <c r="B273" i="3"/>
  <c r="A148"/>
  <c r="B114"/>
  <c r="B253"/>
  <c r="B76"/>
  <c r="B50"/>
  <c r="B128"/>
  <c r="E10" i="1"/>
  <c r="B10" i="3" s="1"/>
  <c r="P161" i="1"/>
  <c r="H161" s="1"/>
  <c r="A157" i="3"/>
  <c r="D81"/>
  <c r="B193"/>
  <c r="B65"/>
  <c r="A56"/>
  <c r="B234"/>
  <c r="C258"/>
  <c r="A14"/>
  <c r="B137"/>
  <c r="C34"/>
  <c r="B188"/>
  <c r="B186"/>
  <c r="A61"/>
  <c r="A52"/>
  <c r="N17" i="1"/>
  <c r="F17" s="1"/>
  <c r="C266" i="3" s="1"/>
  <c r="B281"/>
  <c r="H277" i="1"/>
  <c r="A13" i="3"/>
  <c r="AA73" i="1"/>
  <c r="B215" i="3"/>
  <c r="B227"/>
  <c r="N121" i="1"/>
  <c r="C8" i="3"/>
  <c r="N99" i="1"/>
  <c r="F99" s="1"/>
  <c r="E99"/>
  <c r="B99" i="3" s="1"/>
  <c r="B250"/>
  <c r="D35"/>
  <c r="B196"/>
  <c r="B214"/>
  <c r="B43"/>
  <c r="B41"/>
  <c r="B55"/>
  <c r="B16"/>
  <c r="C88"/>
  <c r="B19"/>
  <c r="A115"/>
  <c r="C48"/>
  <c r="A220"/>
  <c r="A180"/>
  <c r="A231"/>
  <c r="Q271" i="1"/>
  <c r="I271" s="1"/>
  <c r="B208" i="3"/>
  <c r="E121" i="1"/>
  <c r="B121" i="3" s="1"/>
  <c r="A208"/>
  <c r="D110"/>
  <c r="P37" i="1"/>
  <c r="Q37" s="1"/>
  <c r="I37" s="1"/>
  <c r="C157" i="3"/>
  <c r="F14" i="1"/>
  <c r="C128" i="3" s="1"/>
  <c r="AA94" i="1"/>
  <c r="AA30"/>
  <c r="B3" i="2"/>
  <c r="N230" i="1"/>
  <c r="O33"/>
  <c r="P33" s="1"/>
  <c r="H23"/>
  <c r="Q23"/>
  <c r="N190"/>
  <c r="C208"/>
  <c r="L1" i="3"/>
  <c r="Q165" i="1"/>
  <c r="F262"/>
  <c r="C21" i="3" s="1"/>
  <c r="E230" i="1"/>
  <c r="F33"/>
  <c r="G55"/>
  <c r="G10"/>
  <c r="F155"/>
  <c r="C155" i="3" s="1"/>
  <c r="B2" i="2"/>
  <c r="F270" i="1"/>
  <c r="C270" i="3" s="1"/>
  <c r="E190" i="1"/>
  <c r="B180" i="3" s="1"/>
  <c r="E53" i="1"/>
  <c r="B230" i="3" s="1"/>
  <c r="E206" i="1"/>
  <c r="N206"/>
  <c r="N65"/>
  <c r="N46"/>
  <c r="F46" s="1"/>
  <c r="N191"/>
  <c r="F191" s="1"/>
  <c r="G262"/>
  <c r="P103"/>
  <c r="H103" s="1"/>
  <c r="F15"/>
  <c r="C250" i="3" s="1"/>
  <c r="E65" i="1"/>
  <c r="E46"/>
  <c r="B46" i="3" s="1"/>
  <c r="P120" i="1"/>
  <c r="P61"/>
  <c r="G61"/>
  <c r="O6"/>
  <c r="G6" s="1"/>
  <c r="O52"/>
  <c r="P52" s="1"/>
  <c r="G120"/>
  <c r="E60"/>
  <c r="N89"/>
  <c r="O89" s="1"/>
  <c r="P147"/>
  <c r="Q147" s="1"/>
  <c r="I147" s="1"/>
  <c r="F82" i="3" s="1"/>
  <c r="F53" i="1"/>
  <c r="F103"/>
  <c r="C103" i="3" s="1"/>
  <c r="F6" i="1"/>
  <c r="C114" i="3" s="1"/>
  <c r="F52" i="1"/>
  <c r="O213"/>
  <c r="O47"/>
  <c r="O132"/>
  <c r="Q35"/>
  <c r="I35" s="1"/>
  <c r="N105"/>
  <c r="O220"/>
  <c r="O197"/>
  <c r="O111"/>
  <c r="G111" s="1"/>
  <c r="D111" i="3" s="1"/>
  <c r="O119" i="1"/>
  <c r="R240"/>
  <c r="K240" s="1"/>
  <c r="O225"/>
  <c r="G225" s="1"/>
  <c r="R50"/>
  <c r="K50" s="1"/>
  <c r="O180"/>
  <c r="O279"/>
  <c r="O274"/>
  <c r="G274" s="1"/>
  <c r="D37" i="3" s="1"/>
  <c r="P32" i="1"/>
  <c r="Q32" s="1"/>
  <c r="G158"/>
  <c r="P158"/>
  <c r="O249"/>
  <c r="G249" s="1"/>
  <c r="N259"/>
  <c r="F259" s="1"/>
  <c r="P157"/>
  <c r="H157" s="1"/>
  <c r="O42"/>
  <c r="F60"/>
  <c r="O60"/>
  <c r="O269"/>
  <c r="G53"/>
  <c r="E70"/>
  <c r="B70" i="3" s="1"/>
  <c r="Q107" i="1"/>
  <c r="I107" s="1"/>
  <c r="J198"/>
  <c r="AA198" s="1"/>
  <c r="G278"/>
  <c r="D278" i="3" s="1"/>
  <c r="I137" i="1"/>
  <c r="F104"/>
  <c r="F202"/>
  <c r="C81" i="3" s="1"/>
  <c r="F213" i="1"/>
  <c r="F47"/>
  <c r="F132"/>
  <c r="C177" i="3" s="1"/>
  <c r="H35" i="1"/>
  <c r="O154"/>
  <c r="O232"/>
  <c r="O28"/>
  <c r="O67"/>
  <c r="G67" s="1"/>
  <c r="O27"/>
  <c r="O2"/>
  <c r="O26"/>
  <c r="P144"/>
  <c r="H144" s="1"/>
  <c r="E83" i="3" s="1"/>
  <c r="O85" i="1"/>
  <c r="G85" s="1"/>
  <c r="D198" i="3" s="1"/>
  <c r="O189" i="1"/>
  <c r="G189" s="1"/>
  <c r="D94" i="3" s="1"/>
  <c r="H133" i="1"/>
  <c r="Q133"/>
  <c r="I133" s="1"/>
  <c r="O40"/>
  <c r="P235"/>
  <c r="Q235" s="1"/>
  <c r="I45"/>
  <c r="R45"/>
  <c r="K45" s="1"/>
  <c r="O113"/>
  <c r="G113" s="1"/>
  <c r="D170" i="3" s="1"/>
  <c r="P143" i="1"/>
  <c r="G266"/>
  <c r="P266"/>
  <c r="Q266" s="1"/>
  <c r="I266" s="1"/>
  <c r="O102"/>
  <c r="G102" s="1"/>
  <c r="D161" i="3" s="1"/>
  <c r="O195" i="1"/>
  <c r="G195" s="1"/>
  <c r="D195" i="3" s="1"/>
  <c r="O116" i="1"/>
  <c r="P116" s="1"/>
  <c r="O181"/>
  <c r="G181" s="1"/>
  <c r="O275"/>
  <c r="O150"/>
  <c r="P150" s="1"/>
  <c r="P267"/>
  <c r="Q267" s="1"/>
  <c r="G267"/>
  <c r="N49"/>
  <c r="F49" s="1"/>
  <c r="N124"/>
  <c r="O145"/>
  <c r="O153"/>
  <c r="P153" s="1"/>
  <c r="H53"/>
  <c r="Q53"/>
  <c r="I53" s="1"/>
  <c r="O162"/>
  <c r="G162" s="1"/>
  <c r="O243"/>
  <c r="O244"/>
  <c r="O131"/>
  <c r="G131" s="1"/>
  <c r="N182"/>
  <c r="F182" s="1"/>
  <c r="C182" i="3" s="1"/>
  <c r="O152" i="1"/>
  <c r="P183"/>
  <c r="H183" s="1"/>
  <c r="O24"/>
  <c r="G24" s="1"/>
  <c r="G104"/>
  <c r="P104"/>
  <c r="H104" s="1"/>
  <c r="O177"/>
  <c r="H268"/>
  <c r="E149" i="3" s="1"/>
  <c r="P268" i="1"/>
  <c r="Q268" s="1"/>
  <c r="H278"/>
  <c r="E165" i="3" s="1"/>
  <c r="I278" i="1"/>
  <c r="Q278"/>
  <c r="O281"/>
  <c r="G281" s="1"/>
  <c r="N233"/>
  <c r="F233" s="1"/>
  <c r="O72"/>
  <c r="P136"/>
  <c r="O264"/>
  <c r="G264" s="1"/>
  <c r="P84"/>
  <c r="H84" s="1"/>
  <c r="O146"/>
  <c r="G142"/>
  <c r="D142" i="3" s="1"/>
  <c r="O142" i="1"/>
  <c r="P142" s="1"/>
  <c r="H10"/>
  <c r="Q10"/>
  <c r="O90"/>
  <c r="N71"/>
  <c r="P234"/>
  <c r="Q234" s="1"/>
  <c r="O114"/>
  <c r="G114" s="1"/>
  <c r="P75"/>
  <c r="O34"/>
  <c r="O109"/>
  <c r="P109" s="1"/>
  <c r="H109" s="1"/>
  <c r="P192"/>
  <c r="Q192" s="1"/>
  <c r="Q5"/>
  <c r="O273"/>
  <c r="G273" s="1"/>
  <c r="O258"/>
  <c r="G258" s="1"/>
  <c r="F154"/>
  <c r="F232"/>
  <c r="G107"/>
  <c r="F67"/>
  <c r="C67" i="3" s="1"/>
  <c r="F27" i="1"/>
  <c r="C27" i="3" s="1"/>
  <c r="F2" i="1"/>
  <c r="C281" i="3" s="1"/>
  <c r="F26" i="1"/>
  <c r="C26" i="3" s="1"/>
  <c r="J57" i="1"/>
  <c r="J82"/>
  <c r="J135"/>
  <c r="G235"/>
  <c r="H45"/>
  <c r="F113"/>
  <c r="G143"/>
  <c r="F195"/>
  <c r="F116"/>
  <c r="C167" i="3" s="1"/>
  <c r="F181" i="1"/>
  <c r="C102" i="3" s="1"/>
  <c r="F275" i="1"/>
  <c r="E49"/>
  <c r="F145"/>
  <c r="G277"/>
  <c r="G176"/>
  <c r="P176"/>
  <c r="O4"/>
  <c r="G4" s="1"/>
  <c r="P211"/>
  <c r="H211" s="1"/>
  <c r="P51"/>
  <c r="Q51" s="1"/>
  <c r="F261"/>
  <c r="O261"/>
  <c r="G261" s="1"/>
  <c r="Q95"/>
  <c r="I95" s="1"/>
  <c r="N22"/>
  <c r="O22" s="1"/>
  <c r="O196"/>
  <c r="G196" s="1"/>
  <c r="O19"/>
  <c r="P148"/>
  <c r="G272"/>
  <c r="D112" i="3" s="1"/>
  <c r="P272" i="1"/>
  <c r="H272" s="1"/>
  <c r="E112" i="3" s="1"/>
  <c r="O252" i="1"/>
  <c r="G257"/>
  <c r="P257"/>
  <c r="Q257" s="1"/>
  <c r="I257" s="1"/>
  <c r="P128"/>
  <c r="Q212"/>
  <c r="O265"/>
  <c r="N242"/>
  <c r="O242" s="1"/>
  <c r="O91"/>
  <c r="G91" s="1"/>
  <c r="D192" i="3" s="1"/>
  <c r="Q164" i="1"/>
  <c r="O68"/>
  <c r="O41"/>
  <c r="G41" s="1"/>
  <c r="D183" i="3" s="1"/>
  <c r="P169" i="1"/>
  <c r="R43"/>
  <c r="K43" s="1"/>
  <c r="P59"/>
  <c r="O223"/>
  <c r="G223" s="1"/>
  <c r="P86"/>
  <c r="Q123"/>
  <c r="O254"/>
  <c r="N251"/>
  <c r="F251" s="1"/>
  <c r="C147" i="3" s="1"/>
  <c r="P100" i="1"/>
  <c r="N203"/>
  <c r="J239"/>
  <c r="R239"/>
  <c r="K239" s="1"/>
  <c r="H115"/>
  <c r="Q115"/>
  <c r="N98"/>
  <c r="F98" s="1"/>
  <c r="C185" i="3" s="1"/>
  <c r="O216" i="1"/>
  <c r="R127"/>
  <c r="K127" s="1"/>
  <c r="O204"/>
  <c r="P204" s="1"/>
  <c r="F70"/>
  <c r="C60" i="3" s="1"/>
  <c r="O70" i="1"/>
  <c r="G70" s="1"/>
  <c r="P167"/>
  <c r="H167" s="1"/>
  <c r="Q141"/>
  <c r="P221"/>
  <c r="H221" s="1"/>
  <c r="P31"/>
  <c r="H31" s="1"/>
  <c r="O260"/>
  <c r="G260" s="1"/>
  <c r="D10" i="3" s="1"/>
  <c r="O36" i="1"/>
  <c r="O228"/>
  <c r="P228" s="1"/>
  <c r="N39"/>
  <c r="F39" s="1"/>
  <c r="C59" i="3" s="1"/>
  <c r="P205" i="1"/>
  <c r="H205" s="1"/>
  <c r="N208"/>
  <c r="P140"/>
  <c r="O194"/>
  <c r="O117"/>
  <c r="G117" s="1"/>
  <c r="F3"/>
  <c r="C262" i="3" s="1"/>
  <c r="O3" i="1"/>
  <c r="O29"/>
  <c r="G29" s="1"/>
  <c r="O101"/>
  <c r="G101" s="1"/>
  <c r="O276"/>
  <c r="G276" s="1"/>
  <c r="P11"/>
  <c r="O215"/>
  <c r="G178"/>
  <c r="P178"/>
  <c r="P255"/>
  <c r="H255" s="1"/>
  <c r="O12"/>
  <c r="G12" s="1"/>
  <c r="D12" i="3" s="1"/>
  <c r="O209" i="1"/>
  <c r="G209" s="1"/>
  <c r="D43" i="3" s="1"/>
  <c r="O56" i="1"/>
  <c r="P56" s="1"/>
  <c r="O130"/>
  <c r="P130" s="1"/>
  <c r="Q229"/>
  <c r="P238"/>
  <c r="O64"/>
  <c r="O219"/>
  <c r="G219" s="1"/>
  <c r="F176"/>
  <c r="F4"/>
  <c r="C279" i="3" s="1"/>
  <c r="G211" i="1"/>
  <c r="F196"/>
  <c r="F272"/>
  <c r="C11" i="3" s="1"/>
  <c r="F252" i="1"/>
  <c r="C252" i="3" s="1"/>
  <c r="G128" i="1"/>
  <c r="D155" i="3" s="1"/>
  <c r="F85" i="1"/>
  <c r="C198" i="3" s="1"/>
  <c r="F265" i="1"/>
  <c r="C18" i="3" s="1"/>
  <c r="F40" i="1"/>
  <c r="F41"/>
  <c r="F102"/>
  <c r="F223"/>
  <c r="P270"/>
  <c r="Q270" s="1"/>
  <c r="I270" s="1"/>
  <c r="P155"/>
  <c r="H155" s="1"/>
  <c r="H267"/>
  <c r="H123"/>
  <c r="E123" i="3" s="1"/>
  <c r="F254" i="1"/>
  <c r="C29" i="3" s="1"/>
  <c r="E251" i="1"/>
  <c r="B32" i="3" s="1"/>
  <c r="F210" i="1"/>
  <c r="O245"/>
  <c r="G245" s="1"/>
  <c r="O58"/>
  <c r="O263"/>
  <c r="G263" s="1"/>
  <c r="H227"/>
  <c r="E171" i="3" s="1"/>
  <c r="Q227" i="1"/>
  <c r="N92"/>
  <c r="F92" s="1"/>
  <c r="O250"/>
  <c r="O79"/>
  <c r="O93"/>
  <c r="O108"/>
  <c r="G108" s="1"/>
  <c r="O156"/>
  <c r="G156" s="1"/>
  <c r="P83"/>
  <c r="H83" s="1"/>
  <c r="E202" i="3" s="1"/>
  <c r="G13" i="1"/>
  <c r="D270" i="3" s="1"/>
  <c r="O13" i="1"/>
  <c r="P129"/>
  <c r="H129" s="1"/>
  <c r="P187"/>
  <c r="O126"/>
  <c r="G126" s="1"/>
  <c r="O74"/>
  <c r="G74" s="1"/>
  <c r="P172"/>
  <c r="H172" s="1"/>
  <c r="O207"/>
  <c r="O62"/>
  <c r="G62" s="1"/>
  <c r="D21" i="3" s="1"/>
  <c r="N188" i="1"/>
  <c r="O184"/>
  <c r="G184" s="1"/>
  <c r="D25" i="3" s="1"/>
  <c r="N77" i="1"/>
  <c r="G15"/>
  <c r="P15"/>
  <c r="H15" s="1"/>
  <c r="Q201"/>
  <c r="I201" s="1"/>
  <c r="J137"/>
  <c r="F228"/>
  <c r="E39"/>
  <c r="G205"/>
  <c r="E208"/>
  <c r="B75" i="3" s="1"/>
  <c r="G140" i="1"/>
  <c r="F194"/>
  <c r="F139"/>
  <c r="C139" i="3" s="1"/>
  <c r="F276" i="1"/>
  <c r="F28"/>
  <c r="C28" i="3" s="1"/>
  <c r="H95" i="1"/>
  <c r="G255"/>
  <c r="E22"/>
  <c r="B261" i="3" s="1"/>
  <c r="F12" i="1"/>
  <c r="C12" i="3" s="1"/>
  <c r="F209" i="1"/>
  <c r="C43" i="3" s="1"/>
  <c r="F56" i="1"/>
  <c r="C227" i="3" s="1"/>
  <c r="F130" i="1"/>
  <c r="C130" i="3" s="1"/>
  <c r="H229" i="1"/>
  <c r="E173" i="3" s="1"/>
  <c r="G238" i="1"/>
  <c r="D48" i="3" s="1"/>
  <c r="F64" i="1"/>
  <c r="C64" i="3" s="1"/>
  <c r="R218" i="1"/>
  <c r="K218" s="1"/>
  <c r="Q139"/>
  <c r="I139" s="1"/>
  <c r="Q122"/>
  <c r="R267"/>
  <c r="K267" s="1"/>
  <c r="Q202"/>
  <c r="I202" s="1"/>
  <c r="Q210"/>
  <c r="Q21"/>
  <c r="I21" s="1"/>
  <c r="R112"/>
  <c r="K112" s="1"/>
  <c r="Q226"/>
  <c r="I226" s="1"/>
  <c r="F226" i="3" s="1"/>
  <c r="R253" i="1"/>
  <c r="K253" s="1"/>
  <c r="R63"/>
  <c r="K63" s="1"/>
  <c r="Q237"/>
  <c r="R179"/>
  <c r="K179" s="1"/>
  <c r="Q66"/>
  <c r="J80"/>
  <c r="Q38"/>
  <c r="I38" s="1"/>
  <c r="Q241"/>
  <c r="I241" s="1"/>
  <c r="R185"/>
  <c r="K185" s="1"/>
  <c r="Q174"/>
  <c r="Q55"/>
  <c r="Q151"/>
  <c r="I151" s="1"/>
  <c r="Q173"/>
  <c r="I173" s="1"/>
  <c r="H38"/>
  <c r="H122"/>
  <c r="I185"/>
  <c r="R7"/>
  <c r="K7" s="1"/>
  <c r="Q87"/>
  <c r="I87" s="1"/>
  <c r="R186"/>
  <c r="K186" s="1"/>
  <c r="Q14"/>
  <c r="Q262"/>
  <c r="I262" s="1"/>
  <c r="R224"/>
  <c r="K224" s="1"/>
  <c r="R277"/>
  <c r="K277" s="1"/>
  <c r="Q96"/>
  <c r="I96" s="1"/>
  <c r="Q149"/>
  <c r="Q25"/>
  <c r="I25" s="1"/>
  <c r="Q106"/>
  <c r="Q163"/>
  <c r="Q159"/>
  <c r="I159" s="1"/>
  <c r="Q118"/>
  <c r="I118" s="1"/>
  <c r="F248" i="3" s="1"/>
  <c r="I218" i="1"/>
  <c r="H139"/>
  <c r="E139" i="3" s="1"/>
  <c r="H241" i="1"/>
  <c r="H87"/>
  <c r="H202"/>
  <c r="H151"/>
  <c r="J48"/>
  <c r="H173"/>
  <c r="R170"/>
  <c r="K170" s="1"/>
  <c r="R199"/>
  <c r="K199" s="1"/>
  <c r="Q109"/>
  <c r="I109" s="1"/>
  <c r="Q88"/>
  <c r="I267"/>
  <c r="I199"/>
  <c r="H210"/>
  <c r="J20"/>
  <c r="H262"/>
  <c r="I224"/>
  <c r="I277"/>
  <c r="H159"/>
  <c r="R193"/>
  <c r="K193" s="1"/>
  <c r="Q280"/>
  <c r="I193"/>
  <c r="J168"/>
  <c r="A5" i="2"/>
  <c r="B4"/>
  <c r="AA289" i="1" l="1"/>
  <c r="P300"/>
  <c r="Q300" s="1"/>
  <c r="G300"/>
  <c r="J283"/>
  <c r="AA283" s="1"/>
  <c r="AA284"/>
  <c r="P292"/>
  <c r="Q292" s="1"/>
  <c r="H292"/>
  <c r="J299"/>
  <c r="AA299" s="1"/>
  <c r="J291"/>
  <c r="AA291" s="1"/>
  <c r="J296"/>
  <c r="AA296" s="1"/>
  <c r="J295"/>
  <c r="AA295" s="1"/>
  <c r="R298"/>
  <c r="K298" s="1"/>
  <c r="J290"/>
  <c r="R290"/>
  <c r="K290" s="1"/>
  <c r="R293"/>
  <c r="K293" s="1"/>
  <c r="J289"/>
  <c r="R289"/>
  <c r="K289" s="1"/>
  <c r="J286"/>
  <c r="AA286" s="1"/>
  <c r="R286"/>
  <c r="K286" s="1"/>
  <c r="R285"/>
  <c r="K285" s="1"/>
  <c r="R297"/>
  <c r="K297" s="1"/>
  <c r="I298"/>
  <c r="I290"/>
  <c r="R294"/>
  <c r="K294" s="1"/>
  <c r="J282"/>
  <c r="AA282" s="1"/>
  <c r="R282"/>
  <c r="K282" s="1"/>
  <c r="R301"/>
  <c r="K301" s="1"/>
  <c r="I294"/>
  <c r="C220" i="3"/>
  <c r="C46"/>
  <c r="B197"/>
  <c r="B18"/>
  <c r="B244"/>
  <c r="B39"/>
  <c r="B115"/>
  <c r="B49"/>
  <c r="B231"/>
  <c r="B206"/>
  <c r="D140"/>
  <c r="D34"/>
  <c r="P231" i="1"/>
  <c r="H231" s="1"/>
  <c r="C191" i="3"/>
  <c r="D83"/>
  <c r="D209"/>
  <c r="C6"/>
  <c r="D118"/>
  <c r="C202"/>
  <c r="D6"/>
  <c r="D156"/>
  <c r="C214"/>
  <c r="C145"/>
  <c r="C132"/>
  <c r="D36"/>
  <c r="E278"/>
  <c r="E268"/>
  <c r="E84"/>
  <c r="C275"/>
  <c r="C56"/>
  <c r="D274"/>
  <c r="C4"/>
  <c r="C235"/>
  <c r="C195"/>
  <c r="C7"/>
  <c r="C276"/>
  <c r="C73"/>
  <c r="C210"/>
  <c r="C115"/>
  <c r="C49"/>
  <c r="Q247" i="1"/>
  <c r="E122" i="3"/>
  <c r="C209"/>
  <c r="C85"/>
  <c r="C251"/>
  <c r="D65"/>
  <c r="D117"/>
  <c r="E260"/>
  <c r="P217" i="1"/>
  <c r="Q217" s="1"/>
  <c r="C2" i="3"/>
  <c r="D235"/>
  <c r="D88"/>
  <c r="C211"/>
  <c r="C223"/>
  <c r="B100"/>
  <c r="B53"/>
  <c r="F134"/>
  <c r="F246"/>
  <c r="C196"/>
  <c r="C255"/>
  <c r="C179"/>
  <c r="B211"/>
  <c r="B223"/>
  <c r="B40"/>
  <c r="B218"/>
  <c r="E168"/>
  <c r="C273"/>
  <c r="D179"/>
  <c r="B220"/>
  <c r="B237"/>
  <c r="B56"/>
  <c r="B184"/>
  <c r="C253"/>
  <c r="C219"/>
  <c r="D273"/>
  <c r="D22"/>
  <c r="C193"/>
  <c r="C47"/>
  <c r="D221"/>
  <c r="D260"/>
  <c r="C161"/>
  <c r="C181"/>
  <c r="C3"/>
  <c r="C87"/>
  <c r="C170"/>
  <c r="C19"/>
  <c r="C236"/>
  <c r="C141"/>
  <c r="F165"/>
  <c r="D255"/>
  <c r="Q161" i="1"/>
  <c r="I161" s="1"/>
  <c r="D138" i="3"/>
  <c r="D237"/>
  <c r="D57"/>
  <c r="D249"/>
  <c r="R16" i="1"/>
  <c r="K16" s="1"/>
  <c r="Q138"/>
  <c r="I138" s="1"/>
  <c r="R266"/>
  <c r="K266" s="1"/>
  <c r="E229" i="3"/>
  <c r="E144"/>
  <c r="D271"/>
  <c r="C55"/>
  <c r="D141"/>
  <c r="C213"/>
  <c r="C184"/>
  <c r="E281"/>
  <c r="E174"/>
  <c r="E81"/>
  <c r="D143"/>
  <c r="C70"/>
  <c r="B77"/>
  <c r="C237"/>
  <c r="C36"/>
  <c r="D26"/>
  <c r="B239"/>
  <c r="B162"/>
  <c r="D7"/>
  <c r="D11"/>
  <c r="C269"/>
  <c r="E54"/>
  <c r="D169"/>
  <c r="H30"/>
  <c r="D122"/>
  <c r="D45"/>
  <c r="D216"/>
  <c r="C151"/>
  <c r="E179"/>
  <c r="C108"/>
  <c r="C24"/>
  <c r="D240"/>
  <c r="D102"/>
  <c r="D9"/>
  <c r="D172"/>
  <c r="C259"/>
  <c r="C168"/>
  <c r="F84"/>
  <c r="H37" i="1"/>
  <c r="Q54"/>
  <c r="I54" s="1"/>
  <c r="F54" i="3" s="1"/>
  <c r="C265"/>
  <c r="E42"/>
  <c r="D41"/>
  <c r="E110"/>
  <c r="B93"/>
  <c r="AA76" i="1"/>
  <c r="D175" i="3"/>
  <c r="E200"/>
  <c r="D181"/>
  <c r="J96" i="5"/>
  <c r="AA96" s="1"/>
  <c r="R37"/>
  <c r="K37" s="1"/>
  <c r="P98"/>
  <c r="Q98" s="1"/>
  <c r="I98" s="1"/>
  <c r="G207"/>
  <c r="P207"/>
  <c r="P12"/>
  <c r="Q12" s="1"/>
  <c r="J113"/>
  <c r="AA113" s="1"/>
  <c r="J255"/>
  <c r="AA255" s="1"/>
  <c r="H233"/>
  <c r="Q233"/>
  <c r="J180"/>
  <c r="R180"/>
  <c r="K180" s="1"/>
  <c r="G98"/>
  <c r="G233"/>
  <c r="J16"/>
  <c r="AA16" s="1"/>
  <c r="AA77"/>
  <c r="I180"/>
  <c r="Q58"/>
  <c r="P136"/>
  <c r="Q160"/>
  <c r="P44"/>
  <c r="Q44" s="1"/>
  <c r="H44"/>
  <c r="H281"/>
  <c r="G136"/>
  <c r="H94"/>
  <c r="Q94"/>
  <c r="R94" s="1"/>
  <c r="K94" s="1"/>
  <c r="H150"/>
  <c r="Q150"/>
  <c r="R150" s="1"/>
  <c r="K150" s="1"/>
  <c r="P75"/>
  <c r="H75" s="1"/>
  <c r="H268"/>
  <c r="P268"/>
  <c r="J66"/>
  <c r="AA66" s="1"/>
  <c r="P102"/>
  <c r="Q102" s="1"/>
  <c r="Q101"/>
  <c r="AA249"/>
  <c r="J130"/>
  <c r="AA130" s="1"/>
  <c r="R281"/>
  <c r="J108"/>
  <c r="AA108" s="1"/>
  <c r="J134"/>
  <c r="AA134" s="1"/>
  <c r="J8"/>
  <c r="AA8" s="1"/>
  <c r="G150"/>
  <c r="G75"/>
  <c r="G102"/>
  <c r="R250"/>
  <c r="K250" s="1"/>
  <c r="Q78"/>
  <c r="I78" s="1"/>
  <c r="Q203"/>
  <c r="H157"/>
  <c r="P157"/>
  <c r="Q68"/>
  <c r="I68" s="1"/>
  <c r="R256"/>
  <c r="K256" s="1"/>
  <c r="Q189"/>
  <c r="Q224"/>
  <c r="I224" s="1"/>
  <c r="R95"/>
  <c r="K95" s="1"/>
  <c r="R237"/>
  <c r="K237" s="1"/>
  <c r="H182"/>
  <c r="P182"/>
  <c r="P260"/>
  <c r="H260" s="1"/>
  <c r="P163"/>
  <c r="H163" s="1"/>
  <c r="R159"/>
  <c r="K159" s="1"/>
  <c r="H43"/>
  <c r="P43"/>
  <c r="H45"/>
  <c r="P45"/>
  <c r="R48"/>
  <c r="K48" s="1"/>
  <c r="J48"/>
  <c r="R161"/>
  <c r="K161" s="1"/>
  <c r="Q103"/>
  <c r="I103" s="1"/>
  <c r="H143"/>
  <c r="P143"/>
  <c r="Q137"/>
  <c r="I137" s="1"/>
  <c r="Q142"/>
  <c r="I142" s="1"/>
  <c r="Q174"/>
  <c r="I174" s="1"/>
  <c r="R226"/>
  <c r="K226" s="1"/>
  <c r="Q106"/>
  <c r="I106" s="1"/>
  <c r="Q164"/>
  <c r="R9"/>
  <c r="K9" s="1"/>
  <c r="H166"/>
  <c r="P166"/>
  <c r="Q34"/>
  <c r="I34" s="1"/>
  <c r="Q31"/>
  <c r="I31" s="1"/>
  <c r="Q254"/>
  <c r="Q59"/>
  <c r="I59" s="1"/>
  <c r="P127"/>
  <c r="H127" s="1"/>
  <c r="P114"/>
  <c r="H114" s="1"/>
  <c r="I248"/>
  <c r="Q248"/>
  <c r="Q148"/>
  <c r="R117"/>
  <c r="K117" s="1"/>
  <c r="Q236"/>
  <c r="Q2"/>
  <c r="Q253"/>
  <c r="I253" s="1"/>
  <c r="P212"/>
  <c r="H212" s="1"/>
  <c r="Q280"/>
  <c r="I280" s="1"/>
  <c r="Q116"/>
  <c r="R277"/>
  <c r="K277" s="1"/>
  <c r="R5"/>
  <c r="K5" s="1"/>
  <c r="P6"/>
  <c r="R271"/>
  <c r="K271" s="1"/>
  <c r="Q218"/>
  <c r="I218" s="1"/>
  <c r="P264"/>
  <c r="H264" s="1"/>
  <c r="P19"/>
  <c r="H19" s="1"/>
  <c r="P257"/>
  <c r="H257" s="1"/>
  <c r="P221"/>
  <c r="R205"/>
  <c r="K205" s="1"/>
  <c r="I133"/>
  <c r="Q133"/>
  <c r="P239"/>
  <c r="H239" s="1"/>
  <c r="R234"/>
  <c r="K234" s="1"/>
  <c r="P30"/>
  <c r="H30" s="1"/>
  <c r="H192"/>
  <c r="P192"/>
  <c r="Q245"/>
  <c r="P200"/>
  <c r="R215"/>
  <c r="K215" s="1"/>
  <c r="I196"/>
  <c r="Q196"/>
  <c r="I250"/>
  <c r="J126"/>
  <c r="AA126" s="1"/>
  <c r="J67"/>
  <c r="AA67" s="1"/>
  <c r="J56"/>
  <c r="AA56" s="1"/>
  <c r="J223"/>
  <c r="AA223" s="1"/>
  <c r="I48"/>
  <c r="I161"/>
  <c r="H103"/>
  <c r="G143"/>
  <c r="J97"/>
  <c r="AA97" s="1"/>
  <c r="H137"/>
  <c r="H142"/>
  <c r="J235"/>
  <c r="AA235" s="1"/>
  <c r="H174"/>
  <c r="I226"/>
  <c r="H106"/>
  <c r="J198"/>
  <c r="AA198" s="1"/>
  <c r="H164"/>
  <c r="I9"/>
  <c r="G166"/>
  <c r="H34"/>
  <c r="R244"/>
  <c r="K244" s="1"/>
  <c r="R20"/>
  <c r="K20" s="1"/>
  <c r="P84"/>
  <c r="R191"/>
  <c r="K191" s="1"/>
  <c r="Q73"/>
  <c r="Q57"/>
  <c r="I57" s="1"/>
  <c r="Q61"/>
  <c r="I61" s="1"/>
  <c r="I275"/>
  <c r="Q275"/>
  <c r="J47"/>
  <c r="R47"/>
  <c r="K47" s="1"/>
  <c r="Q138"/>
  <c r="I138" s="1"/>
  <c r="Q145"/>
  <c r="I145" s="1"/>
  <c r="R104"/>
  <c r="K104" s="1"/>
  <c r="R24"/>
  <c r="K24" s="1"/>
  <c r="J208"/>
  <c r="R208"/>
  <c r="K208" s="1"/>
  <c r="R266"/>
  <c r="K266" s="1"/>
  <c r="P274"/>
  <c r="Q74"/>
  <c r="I74" s="1"/>
  <c r="Q261"/>
  <c r="I261" s="1"/>
  <c r="I206"/>
  <c r="Q206"/>
  <c r="Q168"/>
  <c r="Q15"/>
  <c r="I15" s="1"/>
  <c r="Q184"/>
  <c r="I184" s="1"/>
  <c r="J252"/>
  <c r="AA252" s="1"/>
  <c r="R252"/>
  <c r="K252" s="1"/>
  <c r="P229"/>
  <c r="H229" s="1"/>
  <c r="R110"/>
  <c r="K110" s="1"/>
  <c r="Q152"/>
  <c r="I152" s="1"/>
  <c r="Q92"/>
  <c r="I92" s="1"/>
  <c r="I100"/>
  <c r="Q100"/>
  <c r="P262"/>
  <c r="H262" s="1"/>
  <c r="R119"/>
  <c r="K119" s="1"/>
  <c r="H265"/>
  <c r="P265"/>
  <c r="P147"/>
  <c r="H147" s="1"/>
  <c r="Q194"/>
  <c r="I194" s="1"/>
  <c r="P3"/>
  <c r="H3" s="1"/>
  <c r="Q36"/>
  <c r="I36" s="1"/>
  <c r="Q153"/>
  <c r="Q121"/>
  <c r="I121" s="1"/>
  <c r="Q71"/>
  <c r="I71" s="1"/>
  <c r="P49"/>
  <c r="P195"/>
  <c r="R90"/>
  <c r="K90" s="1"/>
  <c r="R146"/>
  <c r="K146" s="1"/>
  <c r="H29"/>
  <c r="P29"/>
  <c r="R112"/>
  <c r="K112" s="1"/>
  <c r="R193"/>
  <c r="K193" s="1"/>
  <c r="P155"/>
  <c r="H155" s="1"/>
  <c r="P62"/>
  <c r="H62" s="1"/>
  <c r="R32"/>
  <c r="K32" s="1"/>
  <c r="R76"/>
  <c r="K76" s="1"/>
  <c r="R267"/>
  <c r="K267" s="1"/>
  <c r="Q241"/>
  <c r="R273"/>
  <c r="K273" s="1"/>
  <c r="Q107"/>
  <c r="I107" s="1"/>
  <c r="R7"/>
  <c r="K7" s="1"/>
  <c r="I279"/>
  <c r="Q279"/>
  <c r="P201"/>
  <c r="H201" s="1"/>
  <c r="R190"/>
  <c r="K190" s="1"/>
  <c r="P21"/>
  <c r="H21" s="1"/>
  <c r="P230"/>
  <c r="H230" s="1"/>
  <c r="Q70"/>
  <c r="I70" s="1"/>
  <c r="H145"/>
  <c r="I104"/>
  <c r="I24"/>
  <c r="J39"/>
  <c r="AA39" s="1"/>
  <c r="J172"/>
  <c r="AA172" s="1"/>
  <c r="I208"/>
  <c r="I266"/>
  <c r="J220"/>
  <c r="AA220" s="1"/>
  <c r="J171"/>
  <c r="AA171" s="1"/>
  <c r="G274"/>
  <c r="H74"/>
  <c r="H261"/>
  <c r="H206"/>
  <c r="J178"/>
  <c r="AA178" s="1"/>
  <c r="J140"/>
  <c r="AA140" s="1"/>
  <c r="J150"/>
  <c r="J18"/>
  <c r="AA18" s="1"/>
  <c r="J204"/>
  <c r="AA204" s="1"/>
  <c r="R187"/>
  <c r="K187" s="1"/>
  <c r="Q55"/>
  <c r="I55" s="1"/>
  <c r="Q11"/>
  <c r="I11" s="1"/>
  <c r="R35"/>
  <c r="K35" s="1"/>
  <c r="Q118"/>
  <c r="I118" s="1"/>
  <c r="Q131"/>
  <c r="I131" s="1"/>
  <c r="P105"/>
  <c r="H105" s="1"/>
  <c r="Q181"/>
  <c r="I181" s="1"/>
  <c r="R81"/>
  <c r="K81" s="1"/>
  <c r="Q23"/>
  <c r="I23" s="1"/>
  <c r="P186"/>
  <c r="H186" s="1"/>
  <c r="R263"/>
  <c r="K263" s="1"/>
  <c r="J209"/>
  <c r="AA209" s="1"/>
  <c r="R209"/>
  <c r="K209" s="1"/>
  <c r="Q278"/>
  <c r="I278" s="1"/>
  <c r="R170"/>
  <c r="K170" s="1"/>
  <c r="Q199"/>
  <c r="I199" s="1"/>
  <c r="I272"/>
  <c r="Q272"/>
  <c r="R214"/>
  <c r="K214" s="1"/>
  <c r="P38"/>
  <c r="H38" s="1"/>
  <c r="R124"/>
  <c r="K124" s="1"/>
  <c r="P222"/>
  <c r="H222" s="1"/>
  <c r="R10"/>
  <c r="K10" s="1"/>
  <c r="Q228"/>
  <c r="I228" s="1"/>
  <c r="R28"/>
  <c r="K28" s="1"/>
  <c r="Q132"/>
  <c r="Q85"/>
  <c r="I85" s="1"/>
  <c r="Q251"/>
  <c r="I251" s="1"/>
  <c r="R211"/>
  <c r="K211" s="1"/>
  <c r="R46"/>
  <c r="K46" s="1"/>
  <c r="I232"/>
  <c r="Q232"/>
  <c r="P151"/>
  <c r="H151" s="1"/>
  <c r="Q27"/>
  <c r="I27" s="1"/>
  <c r="Q176"/>
  <c r="I176" s="1"/>
  <c r="J219"/>
  <c r="AA219" s="1"/>
  <c r="R219"/>
  <c r="K219" s="1"/>
  <c r="P169"/>
  <c r="H169" s="1"/>
  <c r="I122"/>
  <c r="Q122"/>
  <c r="P154"/>
  <c r="P115"/>
  <c r="H115" s="1"/>
  <c r="P197"/>
  <c r="H197" s="1"/>
  <c r="Q65"/>
  <c r="I65" s="1"/>
  <c r="G186"/>
  <c r="J40"/>
  <c r="AA40" s="1"/>
  <c r="R40"/>
  <c r="K40" s="1"/>
  <c r="I162"/>
  <c r="Q162"/>
  <c r="Q50"/>
  <c r="I50" s="1"/>
  <c r="Q158"/>
  <c r="I158" s="1"/>
  <c r="Q238"/>
  <c r="I238" s="1"/>
  <c r="P26"/>
  <c r="Q52"/>
  <c r="I52" s="1"/>
  <c r="Q144"/>
  <c r="I144" s="1"/>
  <c r="Q87"/>
  <c r="R41"/>
  <c r="K41" s="1"/>
  <c r="P213"/>
  <c r="H213" s="1"/>
  <c r="Q91"/>
  <c r="I91" s="1"/>
  <c r="Q99"/>
  <c r="R202"/>
  <c r="K202" s="1"/>
  <c r="Q128"/>
  <c r="I128" s="1"/>
  <c r="R258"/>
  <c r="K258" s="1"/>
  <c r="P167"/>
  <c r="R177"/>
  <c r="K177" s="1"/>
  <c r="Q25"/>
  <c r="I25" s="1"/>
  <c r="R80"/>
  <c r="K80" s="1"/>
  <c r="Q111"/>
  <c r="P33"/>
  <c r="H33" s="1"/>
  <c r="Q269"/>
  <c r="I269" s="1"/>
  <c r="P242"/>
  <c r="R243"/>
  <c r="K243" s="1"/>
  <c r="Q231"/>
  <c r="I231" s="1"/>
  <c r="Q83"/>
  <c r="I83" s="1"/>
  <c r="Q259"/>
  <c r="Q63"/>
  <c r="I63" s="1"/>
  <c r="Q173"/>
  <c r="I173" s="1"/>
  <c r="P135"/>
  <c r="H135" s="1"/>
  <c r="R225"/>
  <c r="K225" s="1"/>
  <c r="P139"/>
  <c r="H139" s="1"/>
  <c r="R14"/>
  <c r="K14" s="1"/>
  <c r="R141"/>
  <c r="K141" s="1"/>
  <c r="R17"/>
  <c r="K17" s="1"/>
  <c r="Q64"/>
  <c r="P72"/>
  <c r="H72" s="1"/>
  <c r="Q246"/>
  <c r="I246" s="1"/>
  <c r="P179"/>
  <c r="H179" s="1"/>
  <c r="R125"/>
  <c r="K125" s="1"/>
  <c r="R4"/>
  <c r="K4" s="1"/>
  <c r="Q79"/>
  <c r="R217"/>
  <c r="K217" s="1"/>
  <c r="P183"/>
  <c r="H183" s="1"/>
  <c r="H138"/>
  <c r="I202"/>
  <c r="I263"/>
  <c r="G38"/>
  <c r="G33"/>
  <c r="I124"/>
  <c r="J188"/>
  <c r="AA188" s="1"/>
  <c r="J53"/>
  <c r="AA53" s="1"/>
  <c r="H269"/>
  <c r="J165"/>
  <c r="AA165" s="1"/>
  <c r="G222"/>
  <c r="J69"/>
  <c r="AA69" s="1"/>
  <c r="G84"/>
  <c r="H55"/>
  <c r="H50"/>
  <c r="H78"/>
  <c r="H11"/>
  <c r="H158"/>
  <c r="H203"/>
  <c r="I191"/>
  <c r="I35"/>
  <c r="H238"/>
  <c r="H118"/>
  <c r="H73"/>
  <c r="G26"/>
  <c r="G157"/>
  <c r="H52"/>
  <c r="H68"/>
  <c r="H131"/>
  <c r="H57"/>
  <c r="G105"/>
  <c r="H144"/>
  <c r="H61"/>
  <c r="H181"/>
  <c r="H87"/>
  <c r="I256"/>
  <c r="I81"/>
  <c r="I41"/>
  <c r="H189"/>
  <c r="H275"/>
  <c r="G213"/>
  <c r="I47"/>
  <c r="J13"/>
  <c r="AA13" s="1"/>
  <c r="H224"/>
  <c r="K3" i="3"/>
  <c r="K4" s="1"/>
  <c r="P18" i="1"/>
  <c r="R147"/>
  <c r="K147" s="1"/>
  <c r="G204"/>
  <c r="AA168"/>
  <c r="G18"/>
  <c r="H147"/>
  <c r="C52" i="3"/>
  <c r="C148"/>
  <c r="D114"/>
  <c r="C107"/>
  <c r="D267"/>
  <c r="D217"/>
  <c r="D210"/>
  <c r="D157"/>
  <c r="D176"/>
  <c r="C163"/>
  <c r="B141"/>
  <c r="AA80" i="1"/>
  <c r="C272" i="3"/>
  <c r="D222"/>
  <c r="C240"/>
  <c r="C189"/>
  <c r="C243"/>
  <c r="C121"/>
  <c r="G236" i="1"/>
  <c r="P236"/>
  <c r="C129" i="3"/>
  <c r="C228"/>
  <c r="D158"/>
  <c r="E221"/>
  <c r="C15"/>
  <c r="C183"/>
  <c r="C125"/>
  <c r="B147"/>
  <c r="C153"/>
  <c r="R271" i="1"/>
  <c r="K271" s="1"/>
  <c r="O17"/>
  <c r="P17" s="1"/>
  <c r="J127"/>
  <c r="H51"/>
  <c r="G52"/>
  <c r="D233" i="3" s="1"/>
  <c r="AA239" i="1"/>
  <c r="B59" i="3"/>
  <c r="C277"/>
  <c r="C138"/>
  <c r="C89"/>
  <c r="B60"/>
  <c r="C104"/>
  <c r="C39"/>
  <c r="D113"/>
  <c r="C78"/>
  <c r="C268"/>
  <c r="C112"/>
  <c r="C280"/>
  <c r="D165"/>
  <c r="C233"/>
  <c r="O121" i="1"/>
  <c r="C136" i="3"/>
  <c r="C51"/>
  <c r="C127"/>
  <c r="AA137" i="1"/>
  <c r="C192" i="3"/>
  <c r="D171"/>
  <c r="AA57" i="1"/>
  <c r="F121"/>
  <c r="AA20"/>
  <c r="D38" i="3"/>
  <c r="C31"/>
  <c r="D201"/>
  <c r="C69"/>
  <c r="D66"/>
  <c r="C72"/>
  <c r="E82"/>
  <c r="C238"/>
  <c r="R107" i="1"/>
  <c r="K107" s="1"/>
  <c r="B190" i="3"/>
  <c r="B13"/>
  <c r="C257"/>
  <c r="C247"/>
  <c r="C216"/>
  <c r="O99" i="1"/>
  <c r="G33"/>
  <c r="AA82"/>
  <c r="AA48"/>
  <c r="AA135"/>
  <c r="G89"/>
  <c r="D89" i="3" s="1"/>
  <c r="P89" i="1"/>
  <c r="H89" s="1"/>
  <c r="O190"/>
  <c r="G190" s="1"/>
  <c r="F206"/>
  <c r="O206"/>
  <c r="P206" s="1"/>
  <c r="O230"/>
  <c r="P6"/>
  <c r="H6" s="1"/>
  <c r="O65"/>
  <c r="G65" s="1"/>
  <c r="H52"/>
  <c r="Q52"/>
  <c r="I52" s="1"/>
  <c r="H33"/>
  <c r="Q33"/>
  <c r="F89"/>
  <c r="C194" i="3" s="1"/>
  <c r="F190" i="1"/>
  <c r="Q155"/>
  <c r="R155" s="1"/>
  <c r="K155" s="1"/>
  <c r="F230"/>
  <c r="C230" i="3" s="1"/>
  <c r="J218" i="1"/>
  <c r="Q103"/>
  <c r="R103" s="1"/>
  <c r="K103" s="1"/>
  <c r="G109"/>
  <c r="D174" i="3" s="1"/>
  <c r="F65" i="1"/>
  <c r="C65" i="3" s="1"/>
  <c r="R165" i="1"/>
  <c r="K165" s="1"/>
  <c r="Q120"/>
  <c r="I120" s="1"/>
  <c r="H270"/>
  <c r="I165"/>
  <c r="H61"/>
  <c r="Q61"/>
  <c r="R61" s="1"/>
  <c r="K61" s="1"/>
  <c r="O46"/>
  <c r="G46" s="1"/>
  <c r="O191"/>
  <c r="G191" s="1"/>
  <c r="I23"/>
  <c r="R23"/>
  <c r="K23" s="1"/>
  <c r="J179"/>
  <c r="R257"/>
  <c r="K257" s="1"/>
  <c r="H192"/>
  <c r="J50"/>
  <c r="H120"/>
  <c r="P215"/>
  <c r="Q215" s="1"/>
  <c r="I215" s="1"/>
  <c r="Q140"/>
  <c r="P34"/>
  <c r="H34" s="1"/>
  <c r="E97" i="3" s="1"/>
  <c r="P60" i="1"/>
  <c r="Q187"/>
  <c r="I187" s="1"/>
  <c r="P58"/>
  <c r="R229"/>
  <c r="K229" s="1"/>
  <c r="H173" i="3" s="1"/>
  <c r="Q100" i="1"/>
  <c r="I100" s="1"/>
  <c r="F35" i="3" s="1"/>
  <c r="Q128" i="1"/>
  <c r="I128" s="1"/>
  <c r="R278"/>
  <c r="K278" s="1"/>
  <c r="P195"/>
  <c r="P27"/>
  <c r="H27" s="1"/>
  <c r="P213"/>
  <c r="H213" s="1"/>
  <c r="O98"/>
  <c r="P98" s="1"/>
  <c r="I51"/>
  <c r="F186" i="3" s="1"/>
  <c r="R51" i="1"/>
  <c r="G182"/>
  <c r="D182" i="3" s="1"/>
  <c r="O182" i="1"/>
  <c r="H116"/>
  <c r="E116" i="3" s="1"/>
  <c r="Q116" i="1"/>
  <c r="R116" s="1"/>
  <c r="K116" s="1"/>
  <c r="P269"/>
  <c r="H269" s="1"/>
  <c r="E205" i="3" s="1"/>
  <c r="P79" i="1"/>
  <c r="Q238"/>
  <c r="Q178"/>
  <c r="I178" s="1"/>
  <c r="O39"/>
  <c r="G39" s="1"/>
  <c r="D59" i="3" s="1"/>
  <c r="P216" i="1"/>
  <c r="Q216" s="1"/>
  <c r="O203"/>
  <c r="R123"/>
  <c r="K123" s="1"/>
  <c r="H123" i="3" s="1"/>
  <c r="R164" i="1"/>
  <c r="K164" s="1"/>
  <c r="R212"/>
  <c r="K212" s="1"/>
  <c r="I10"/>
  <c r="R10"/>
  <c r="K10" s="1"/>
  <c r="P177"/>
  <c r="H177" s="1"/>
  <c r="P152"/>
  <c r="P243"/>
  <c r="H243" s="1"/>
  <c r="E5" i="3" s="1"/>
  <c r="P2" i="1"/>
  <c r="H2" s="1"/>
  <c r="E277" i="3" s="1"/>
  <c r="P232" i="1"/>
  <c r="P180"/>
  <c r="H180" s="1"/>
  <c r="P119"/>
  <c r="P220"/>
  <c r="H220" s="1"/>
  <c r="P47"/>
  <c r="Q15"/>
  <c r="P126"/>
  <c r="H126" s="1"/>
  <c r="E267" i="3" s="1"/>
  <c r="P263" i="1"/>
  <c r="H263" s="1"/>
  <c r="P276"/>
  <c r="P117"/>
  <c r="H117" s="1"/>
  <c r="P260"/>
  <c r="H260" s="1"/>
  <c r="Q167"/>
  <c r="I167" s="1"/>
  <c r="I272"/>
  <c r="F112" i="3" s="1"/>
  <c r="Q272" i="1"/>
  <c r="R272" s="1"/>
  <c r="K272" s="1"/>
  <c r="H112" i="3" s="1"/>
  <c r="P196" i="1"/>
  <c r="H196" s="1"/>
  <c r="H176"/>
  <c r="E176" i="3" s="1"/>
  <c r="Q176" i="1"/>
  <c r="R176" s="1"/>
  <c r="K176" s="1"/>
  <c r="I192"/>
  <c r="R192"/>
  <c r="K192" s="1"/>
  <c r="Q84"/>
  <c r="I84" s="1"/>
  <c r="O233"/>
  <c r="G233" s="1"/>
  <c r="O49"/>
  <c r="G49" s="1"/>
  <c r="P181"/>
  <c r="P189"/>
  <c r="Q157"/>
  <c r="I157" s="1"/>
  <c r="Q158"/>
  <c r="H158"/>
  <c r="G228"/>
  <c r="G60"/>
  <c r="D223" i="3" s="1"/>
  <c r="H32" i="1"/>
  <c r="F22"/>
  <c r="C22" i="3" s="1"/>
  <c r="H234" i="1"/>
  <c r="G153"/>
  <c r="G116"/>
  <c r="D116" i="3" s="1"/>
  <c r="H235" i="1"/>
  <c r="G269"/>
  <c r="D269" i="3" s="1"/>
  <c r="G79" i="1"/>
  <c r="D79" i="3" s="1"/>
  <c r="H238" i="1"/>
  <c r="E48" i="3" s="1"/>
  <c r="H178" i="1"/>
  <c r="G216"/>
  <c r="D67" i="3" s="1"/>
  <c r="F203" i="1"/>
  <c r="C80" i="3" s="1"/>
  <c r="I123" i="1"/>
  <c r="F123" i="3" s="1"/>
  <c r="J43" i="1"/>
  <c r="I164"/>
  <c r="I212"/>
  <c r="G177"/>
  <c r="D106" i="3" s="1"/>
  <c r="G152" i="1"/>
  <c r="D131" i="3" s="1"/>
  <c r="G243" i="1"/>
  <c r="H266"/>
  <c r="E269" i="3" s="1"/>
  <c r="G2" i="1"/>
  <c r="D2" i="3" s="1"/>
  <c r="G232" i="1"/>
  <c r="G180"/>
  <c r="D103" i="3" s="1"/>
  <c r="G119" i="1"/>
  <c r="G220"/>
  <c r="G47"/>
  <c r="P29"/>
  <c r="Q221"/>
  <c r="G242"/>
  <c r="D187" i="3" s="1"/>
  <c r="P242" i="1"/>
  <c r="R95"/>
  <c r="K95" s="1"/>
  <c r="O71"/>
  <c r="P145"/>
  <c r="H145" s="1"/>
  <c r="E214" i="3" s="1"/>
  <c r="P207" i="1"/>
  <c r="H207" s="1"/>
  <c r="E207" i="3" s="1"/>
  <c r="P250" i="1"/>
  <c r="H250" s="1"/>
  <c r="P12"/>
  <c r="Q169"/>
  <c r="I169" s="1"/>
  <c r="P85"/>
  <c r="H85" s="1"/>
  <c r="E85" i="3" s="1"/>
  <c r="I32" i="1"/>
  <c r="R32"/>
  <c r="K32" s="1"/>
  <c r="Q231"/>
  <c r="P194"/>
  <c r="P70"/>
  <c r="H70" s="1"/>
  <c r="P258"/>
  <c r="H258" s="1"/>
  <c r="E213" i="3" s="1"/>
  <c r="P264" i="1"/>
  <c r="H264" s="1"/>
  <c r="H153"/>
  <c r="Q153"/>
  <c r="R153" s="1"/>
  <c r="K153" s="1"/>
  <c r="H160" i="3" s="1"/>
  <c r="P209" i="1"/>
  <c r="O188"/>
  <c r="G188" s="1"/>
  <c r="D61" i="3" s="1"/>
  <c r="P93" i="1"/>
  <c r="P64"/>
  <c r="H64" s="1"/>
  <c r="E253" i="3" s="1"/>
  <c r="H56" i="1"/>
  <c r="E125" i="3" s="1"/>
  <c r="Q56" i="1"/>
  <c r="Q205"/>
  <c r="P254"/>
  <c r="Q59"/>
  <c r="P68"/>
  <c r="P265"/>
  <c r="P252"/>
  <c r="P261"/>
  <c r="H261" s="1"/>
  <c r="H114"/>
  <c r="P114"/>
  <c r="P244"/>
  <c r="P26"/>
  <c r="P28"/>
  <c r="H28" s="1"/>
  <c r="E255" i="3" s="1"/>
  <c r="P42" i="1"/>
  <c r="H42" s="1"/>
  <c r="P279"/>
  <c r="H279" s="1"/>
  <c r="P197"/>
  <c r="P132"/>
  <c r="H140"/>
  <c r="G145"/>
  <c r="D145" i="3" s="1"/>
  <c r="G150" i="1"/>
  <c r="H187"/>
  <c r="E96" i="3" s="1"/>
  <c r="G58" i="1"/>
  <c r="I229"/>
  <c r="H100"/>
  <c r="H169"/>
  <c r="H128"/>
  <c r="E128" i="3" s="1"/>
  <c r="R201" i="1"/>
  <c r="K201" s="1"/>
  <c r="H130"/>
  <c r="E104" i="3" s="1"/>
  <c r="Q130" i="1"/>
  <c r="I130" s="1"/>
  <c r="H228"/>
  <c r="Q228"/>
  <c r="I228" s="1"/>
  <c r="I115"/>
  <c r="R115"/>
  <c r="Q148"/>
  <c r="P273"/>
  <c r="Q273" s="1"/>
  <c r="Q136"/>
  <c r="H150"/>
  <c r="E150" i="3" s="1"/>
  <c r="Q150" i="1"/>
  <c r="R150" s="1"/>
  <c r="K150" s="1"/>
  <c r="P40"/>
  <c r="H40" s="1"/>
  <c r="E163" i="3" s="1"/>
  <c r="O77" i="1"/>
  <c r="P156"/>
  <c r="Q86"/>
  <c r="I86" s="1"/>
  <c r="P91"/>
  <c r="Q91" s="1"/>
  <c r="P162"/>
  <c r="Q143"/>
  <c r="P154"/>
  <c r="O259"/>
  <c r="G259" s="1"/>
  <c r="D259" i="3" s="1"/>
  <c r="O105" i="1"/>
  <c r="G22"/>
  <c r="P22"/>
  <c r="Q22" s="1"/>
  <c r="I22" s="1"/>
  <c r="P281"/>
  <c r="H281" s="1"/>
  <c r="P62"/>
  <c r="H62" s="1"/>
  <c r="E21" i="3" s="1"/>
  <c r="P74" i="1"/>
  <c r="P13"/>
  <c r="Q13" s="1"/>
  <c r="R227"/>
  <c r="K227" s="1"/>
  <c r="H171" i="3" s="1"/>
  <c r="I227" i="1"/>
  <c r="F171" i="3" s="1"/>
  <c r="Q11" i="1"/>
  <c r="I11" s="1"/>
  <c r="O208"/>
  <c r="G208" s="1"/>
  <c r="D208" i="3" s="1"/>
  <c r="P36" i="1"/>
  <c r="H36" s="1"/>
  <c r="E16" i="3" s="1"/>
  <c r="R141" i="1"/>
  <c r="K141" s="1"/>
  <c r="P19"/>
  <c r="H19" s="1"/>
  <c r="P4"/>
  <c r="Q4" s="1"/>
  <c r="R5"/>
  <c r="K5" s="1"/>
  <c r="Q75"/>
  <c r="I75" s="1"/>
  <c r="P90"/>
  <c r="Q90" s="1"/>
  <c r="P146"/>
  <c r="H146" s="1"/>
  <c r="P72"/>
  <c r="H72" s="1"/>
  <c r="E72" i="3" s="1"/>
  <c r="I268" i="1"/>
  <c r="R268"/>
  <c r="Q183"/>
  <c r="R53"/>
  <c r="K53" s="1"/>
  <c r="O124"/>
  <c r="P275"/>
  <c r="H275" s="1"/>
  <c r="H257"/>
  <c r="G215"/>
  <c r="D68" i="3" s="1"/>
  <c r="H148" i="1"/>
  <c r="E135" i="3" s="1"/>
  <c r="G34" i="1"/>
  <c r="F71"/>
  <c r="H136"/>
  <c r="G40"/>
  <c r="G207"/>
  <c r="D207" i="3" s="1"/>
  <c r="G250" i="1"/>
  <c r="D33" i="3" s="1"/>
  <c r="H143" i="1"/>
  <c r="G213"/>
  <c r="D213" i="3" s="1"/>
  <c r="H142" i="1"/>
  <c r="E142" i="3" s="1"/>
  <c r="Q142" i="1"/>
  <c r="R142" s="1"/>
  <c r="K142" s="1"/>
  <c r="F188"/>
  <c r="G93"/>
  <c r="D93" i="3" s="1"/>
  <c r="G64" i="1"/>
  <c r="D219" i="3" s="1"/>
  <c r="G56" i="1"/>
  <c r="D125" i="3" s="1"/>
  <c r="G254" i="1"/>
  <c r="D272" i="3" s="1"/>
  <c r="H59" i="1"/>
  <c r="G68"/>
  <c r="G265"/>
  <c r="D18" i="3" s="1"/>
  <c r="G252" i="1"/>
  <c r="G244"/>
  <c r="D39" i="3" s="1"/>
  <c r="J45" i="1"/>
  <c r="G26"/>
  <c r="D69" i="3" s="1"/>
  <c r="G28" i="1"/>
  <c r="G42"/>
  <c r="G279"/>
  <c r="D279" i="3" s="1"/>
  <c r="J240" i="1"/>
  <c r="G197"/>
  <c r="D86" i="3" s="1"/>
  <c r="G132" i="1"/>
  <c r="P101"/>
  <c r="H101" s="1"/>
  <c r="Q31"/>
  <c r="I234"/>
  <c r="R234"/>
  <c r="K234" s="1"/>
  <c r="Q104"/>
  <c r="R104" s="1"/>
  <c r="K104" s="1"/>
  <c r="H179" i="3" s="1"/>
  <c r="I235" i="1"/>
  <c r="R235"/>
  <c r="K235" s="1"/>
  <c r="Q83"/>
  <c r="R83" s="1"/>
  <c r="K83" s="1"/>
  <c r="P184"/>
  <c r="H184" s="1"/>
  <c r="Q172"/>
  <c r="Q129"/>
  <c r="P108"/>
  <c r="H108" s="1"/>
  <c r="O92"/>
  <c r="G92" s="1"/>
  <c r="P245"/>
  <c r="P219"/>
  <c r="Q255"/>
  <c r="I255" s="1"/>
  <c r="P3"/>
  <c r="G3"/>
  <c r="D262" i="3" s="1"/>
  <c r="H204" i="1"/>
  <c r="Q204"/>
  <c r="I204" s="1"/>
  <c r="O251"/>
  <c r="G251" s="1"/>
  <c r="D147" i="3" s="1"/>
  <c r="P223" i="1"/>
  <c r="Q223" s="1"/>
  <c r="P41"/>
  <c r="Q211"/>
  <c r="I211" s="1"/>
  <c r="P24"/>
  <c r="P131"/>
  <c r="H131" s="1"/>
  <c r="P102"/>
  <c r="P113"/>
  <c r="H113" s="1"/>
  <c r="R133"/>
  <c r="K133" s="1"/>
  <c r="Q144"/>
  <c r="I144" s="1"/>
  <c r="F144" i="3" s="1"/>
  <c r="P67" i="1"/>
  <c r="P249"/>
  <c r="H249" s="1"/>
  <c r="P274"/>
  <c r="H274" s="1"/>
  <c r="P225"/>
  <c r="H225" s="1"/>
  <c r="E103" i="3" s="1"/>
  <c r="P111" i="1"/>
  <c r="R35"/>
  <c r="K35" s="1"/>
  <c r="F77"/>
  <c r="C206" i="3" s="1"/>
  <c r="H86" i="1"/>
  <c r="G27"/>
  <c r="G154"/>
  <c r="D228" i="3" s="1"/>
  <c r="F105" i="1"/>
  <c r="G194"/>
  <c r="D15" i="3" s="1"/>
  <c r="G130" i="1"/>
  <c r="D104" i="3" s="1"/>
  <c r="H11" i="1"/>
  <c r="F208"/>
  <c r="C208" i="3" s="1"/>
  <c r="G36" i="1"/>
  <c r="D247" i="3" s="1"/>
  <c r="I141" i="1"/>
  <c r="F242"/>
  <c r="C41" i="3" s="1"/>
  <c r="G19" i="1"/>
  <c r="D264" i="3" s="1"/>
  <c r="I103" i="1"/>
  <c r="I5"/>
  <c r="F278" i="3" s="1"/>
  <c r="H75" i="1"/>
  <c r="G90"/>
  <c r="D90" i="3" s="1"/>
  <c r="G146" i="1"/>
  <c r="G72"/>
  <c r="D72" i="3" s="1"/>
  <c r="F124" i="1"/>
  <c r="G275"/>
  <c r="D153" i="3" s="1"/>
  <c r="R88" i="1"/>
  <c r="K88" s="1"/>
  <c r="R122"/>
  <c r="K122" s="1"/>
  <c r="R174"/>
  <c r="K174" s="1"/>
  <c r="R54"/>
  <c r="K54" s="1"/>
  <c r="R106"/>
  <c r="K106" s="1"/>
  <c r="H200" i="3" s="1"/>
  <c r="R149" i="1"/>
  <c r="K149" s="1"/>
  <c r="R14"/>
  <c r="K14" s="1"/>
  <c r="R270"/>
  <c r="K270" s="1"/>
  <c r="R241"/>
  <c r="K241" s="1"/>
  <c r="R202"/>
  <c r="K202" s="1"/>
  <c r="R139"/>
  <c r="K139" s="1"/>
  <c r="J277"/>
  <c r="I174"/>
  <c r="F174" i="3" s="1"/>
  <c r="J63" i="1"/>
  <c r="J199"/>
  <c r="I106"/>
  <c r="I149"/>
  <c r="I14"/>
  <c r="J7"/>
  <c r="R66"/>
  <c r="K66" s="1"/>
  <c r="R109"/>
  <c r="K109" s="1"/>
  <c r="R118"/>
  <c r="K118" s="1"/>
  <c r="H248" i="3" s="1"/>
  <c r="R25" i="1"/>
  <c r="K25" s="1"/>
  <c r="R96"/>
  <c r="K96" s="1"/>
  <c r="R262"/>
  <c r="K262" s="1"/>
  <c r="R87"/>
  <c r="K87" s="1"/>
  <c r="R163"/>
  <c r="K163" s="1"/>
  <c r="R159"/>
  <c r="K159" s="1"/>
  <c r="R173"/>
  <c r="K173" s="1"/>
  <c r="R38"/>
  <c r="K38" s="1"/>
  <c r="R226"/>
  <c r="K226" s="1"/>
  <c r="H226" i="3" s="1"/>
  <c r="R55" i="1"/>
  <c r="K55" s="1"/>
  <c r="R237"/>
  <c r="K237" s="1"/>
  <c r="R210"/>
  <c r="K210" s="1"/>
  <c r="R247"/>
  <c r="K247" s="1"/>
  <c r="H57" i="3" s="1"/>
  <c r="I66" i="1"/>
  <c r="I122"/>
  <c r="J186"/>
  <c r="R151"/>
  <c r="K151" s="1"/>
  <c r="R138"/>
  <c r="K138" s="1"/>
  <c r="R215"/>
  <c r="K215" s="1"/>
  <c r="R161"/>
  <c r="K161" s="1"/>
  <c r="R37"/>
  <c r="K37" s="1"/>
  <c r="R21"/>
  <c r="K21" s="1"/>
  <c r="J112"/>
  <c r="J170"/>
  <c r="I88"/>
  <c r="I163"/>
  <c r="J224"/>
  <c r="I55"/>
  <c r="J185"/>
  <c r="I237"/>
  <c r="J253"/>
  <c r="G30" i="3" s="1"/>
  <c r="I210" i="1"/>
  <c r="J267"/>
  <c r="I247"/>
  <c r="F57" i="3" s="1"/>
  <c r="R280" i="1"/>
  <c r="K280" s="1"/>
  <c r="H44" i="3" s="1"/>
  <c r="J193" i="1"/>
  <c r="I280"/>
  <c r="A6" i="2"/>
  <c r="B5"/>
  <c r="J285" i="1" l="1"/>
  <c r="AA285" s="1"/>
  <c r="I292"/>
  <c r="R292"/>
  <c r="K292" s="1"/>
  <c r="I300"/>
  <c r="R300"/>
  <c r="K300" s="1"/>
  <c r="J300"/>
  <c r="AA300" s="1"/>
  <c r="AA290"/>
  <c r="AA298"/>
  <c r="J294"/>
  <c r="AA294" s="1"/>
  <c r="H300"/>
  <c r="J298"/>
  <c r="J301"/>
  <c r="AA301" s="1"/>
  <c r="J297"/>
  <c r="AA297" s="1"/>
  <c r="J293"/>
  <c r="AA293" s="1"/>
  <c r="D196" i="3"/>
  <c r="D28"/>
  <c r="D241"/>
  <c r="D42"/>
  <c r="E70"/>
  <c r="E27"/>
  <c r="D225"/>
  <c r="D58"/>
  <c r="E145"/>
  <c r="F149"/>
  <c r="E238"/>
  <c r="J16" i="1"/>
  <c r="AA16" s="1"/>
  <c r="H217"/>
  <c r="E245" i="3"/>
  <c r="D130"/>
  <c r="D40"/>
  <c r="E62"/>
  <c r="D254"/>
  <c r="D60"/>
  <c r="D70"/>
  <c r="D27"/>
  <c r="D189"/>
  <c r="D232"/>
  <c r="D220"/>
  <c r="D46"/>
  <c r="F26"/>
  <c r="E117"/>
  <c r="E250"/>
  <c r="D180"/>
  <c r="D251"/>
  <c r="D133"/>
  <c r="D150"/>
  <c r="D137"/>
  <c r="D146"/>
  <c r="D127"/>
  <c r="D252"/>
  <c r="D177"/>
  <c r="D132"/>
  <c r="E208"/>
  <c r="E258"/>
  <c r="H54"/>
  <c r="H141"/>
  <c r="H202"/>
  <c r="F119"/>
  <c r="J266" i="1"/>
  <c r="D275" i="3"/>
  <c r="D52"/>
  <c r="D152"/>
  <c r="C242"/>
  <c r="C212"/>
  <c r="C71"/>
  <c r="C95"/>
  <c r="C188"/>
  <c r="C159"/>
  <c r="C124"/>
  <c r="C178"/>
  <c r="C105"/>
  <c r="E37"/>
  <c r="E274"/>
  <c r="E120"/>
  <c r="E146"/>
  <c r="D164"/>
  <c r="D119"/>
  <c r="D115"/>
  <c r="D49"/>
  <c r="E3"/>
  <c r="D3"/>
  <c r="E263"/>
  <c r="D188"/>
  <c r="E105"/>
  <c r="D204"/>
  <c r="D64"/>
  <c r="E273"/>
  <c r="E22"/>
  <c r="H118"/>
  <c r="H122"/>
  <c r="D163"/>
  <c r="D243"/>
  <c r="D107"/>
  <c r="D101"/>
  <c r="F210"/>
  <c r="F155"/>
  <c r="C180"/>
  <c r="C93"/>
  <c r="H134"/>
  <c r="H246"/>
  <c r="D13"/>
  <c r="D75"/>
  <c r="E210"/>
  <c r="E155"/>
  <c r="D193"/>
  <c r="D47"/>
  <c r="F122"/>
  <c r="E31"/>
  <c r="D250"/>
  <c r="H268"/>
  <c r="D190"/>
  <c r="E151"/>
  <c r="H215" i="1"/>
  <c r="H176" i="3"/>
  <c r="D227"/>
  <c r="F241"/>
  <c r="H110"/>
  <c r="F38"/>
  <c r="F11"/>
  <c r="E106"/>
  <c r="H165"/>
  <c r="E114"/>
  <c r="F199"/>
  <c r="E222"/>
  <c r="E73"/>
  <c r="E264"/>
  <c r="E76"/>
  <c r="E241"/>
  <c r="F96"/>
  <c r="H174"/>
  <c r="J96" i="1"/>
  <c r="D55" i="3"/>
  <c r="E55"/>
  <c r="E243"/>
  <c r="E20"/>
  <c r="D234"/>
  <c r="H135"/>
  <c r="D50"/>
  <c r="D8"/>
  <c r="E198"/>
  <c r="D29"/>
  <c r="H150"/>
  <c r="F168"/>
  <c r="E8"/>
  <c r="E2"/>
  <c r="E201"/>
  <c r="E140"/>
  <c r="H142"/>
  <c r="D19"/>
  <c r="D236"/>
  <c r="E175"/>
  <c r="F91"/>
  <c r="D51"/>
  <c r="H227"/>
  <c r="H82"/>
  <c r="D31"/>
  <c r="D261"/>
  <c r="E152"/>
  <c r="D129"/>
  <c r="D95"/>
  <c r="E141"/>
  <c r="C13"/>
  <c r="C75"/>
  <c r="H278"/>
  <c r="E169"/>
  <c r="E160"/>
  <c r="E130"/>
  <c r="C190"/>
  <c r="C261"/>
  <c r="C100"/>
  <c r="C53"/>
  <c r="C239"/>
  <c r="C162"/>
  <c r="D215"/>
  <c r="D194"/>
  <c r="D108"/>
  <c r="D24"/>
  <c r="D277"/>
  <c r="D281"/>
  <c r="C40"/>
  <c r="C218"/>
  <c r="C231"/>
  <c r="C77"/>
  <c r="D197"/>
  <c r="D265"/>
  <c r="E134"/>
  <c r="E246"/>
  <c r="E167"/>
  <c r="E247"/>
  <c r="E87"/>
  <c r="J147" i="1"/>
  <c r="AA147" s="1"/>
  <c r="F128" i="3"/>
  <c r="J133" i="1"/>
  <c r="D257" i="3"/>
  <c r="E74"/>
  <c r="E133"/>
  <c r="F227"/>
  <c r="E249"/>
  <c r="E137"/>
  <c r="D280"/>
  <c r="E227"/>
  <c r="J37" i="5"/>
  <c r="AA37" s="1"/>
  <c r="J41"/>
  <c r="J190"/>
  <c r="AA190" s="1"/>
  <c r="H98"/>
  <c r="J273"/>
  <c r="AA273" s="1"/>
  <c r="H12"/>
  <c r="J125"/>
  <c r="AA125" s="1"/>
  <c r="J80"/>
  <c r="AA80" s="1"/>
  <c r="J263"/>
  <c r="AA263" s="1"/>
  <c r="H207"/>
  <c r="Q207"/>
  <c r="J94"/>
  <c r="AA94" s="1"/>
  <c r="AA180"/>
  <c r="AA47"/>
  <c r="J17"/>
  <c r="AA17" s="1"/>
  <c r="I150"/>
  <c r="R233"/>
  <c r="K233" s="1"/>
  <c r="AA124"/>
  <c r="J4"/>
  <c r="AA4" s="1"/>
  <c r="J124"/>
  <c r="J170"/>
  <c r="AA170" s="1"/>
  <c r="R98"/>
  <c r="K98" s="1"/>
  <c r="I94"/>
  <c r="I233"/>
  <c r="J243"/>
  <c r="AA243" s="1"/>
  <c r="J271"/>
  <c r="AA271" s="1"/>
  <c r="J58"/>
  <c r="R58"/>
  <c r="K58" s="1"/>
  <c r="Q136"/>
  <c r="I136" s="1"/>
  <c r="Q268"/>
  <c r="J141"/>
  <c r="AA141" s="1"/>
  <c r="AA150"/>
  <c r="J277"/>
  <c r="AA277" s="1"/>
  <c r="J9"/>
  <c r="AA9" s="1"/>
  <c r="H136"/>
  <c r="I102"/>
  <c r="R102"/>
  <c r="K102" s="1"/>
  <c r="R101"/>
  <c r="K101" s="1"/>
  <c r="K281"/>
  <c r="J281"/>
  <c r="J160"/>
  <c r="R160"/>
  <c r="K160" s="1"/>
  <c r="J211"/>
  <c r="AA211" s="1"/>
  <c r="J214"/>
  <c r="AA214" s="1"/>
  <c r="J102"/>
  <c r="Q75"/>
  <c r="I75" s="1"/>
  <c r="AA208"/>
  <c r="I58"/>
  <c r="J110"/>
  <c r="AA110" s="1"/>
  <c r="I160"/>
  <c r="I44"/>
  <c r="R44"/>
  <c r="K44" s="1"/>
  <c r="I101"/>
  <c r="J217"/>
  <c r="AA217" s="1"/>
  <c r="J14"/>
  <c r="AA14" s="1"/>
  <c r="J28"/>
  <c r="AA28" s="1"/>
  <c r="J244"/>
  <c r="AA244" s="1"/>
  <c r="J234"/>
  <c r="AA234" s="1"/>
  <c r="H102"/>
  <c r="Q195"/>
  <c r="R153"/>
  <c r="K153" s="1"/>
  <c r="R168"/>
  <c r="K168" s="1"/>
  <c r="Q274"/>
  <c r="I274" s="1"/>
  <c r="R12"/>
  <c r="K12" s="1"/>
  <c r="R73"/>
  <c r="K73" s="1"/>
  <c r="Q200"/>
  <c r="I200" s="1"/>
  <c r="Q221"/>
  <c r="I221" s="1"/>
  <c r="R148"/>
  <c r="K148" s="1"/>
  <c r="R259"/>
  <c r="K259" s="1"/>
  <c r="Q242"/>
  <c r="Q167"/>
  <c r="I167" s="1"/>
  <c r="R99"/>
  <c r="K99" s="1"/>
  <c r="R87"/>
  <c r="K87" s="1"/>
  <c r="R232"/>
  <c r="K232" s="1"/>
  <c r="R85"/>
  <c r="K85" s="1"/>
  <c r="R278"/>
  <c r="K278" s="1"/>
  <c r="Q230"/>
  <c r="I230" s="1"/>
  <c r="R279"/>
  <c r="K279" s="1"/>
  <c r="Q147"/>
  <c r="I147" s="1"/>
  <c r="J100"/>
  <c r="AA100" s="1"/>
  <c r="R100"/>
  <c r="K100" s="1"/>
  <c r="Q229"/>
  <c r="I229" s="1"/>
  <c r="R218"/>
  <c r="K218" s="1"/>
  <c r="R253"/>
  <c r="K253" s="1"/>
  <c r="J59"/>
  <c r="AA59" s="1"/>
  <c r="R59"/>
  <c r="K59" s="1"/>
  <c r="Q166"/>
  <c r="I166" s="1"/>
  <c r="Q143"/>
  <c r="Q45"/>
  <c r="I45" s="1"/>
  <c r="Q260"/>
  <c r="R224"/>
  <c r="K224" s="1"/>
  <c r="I157"/>
  <c r="Q157"/>
  <c r="Q179"/>
  <c r="I179" s="1"/>
  <c r="R238"/>
  <c r="K238" s="1"/>
  <c r="Q197"/>
  <c r="I197" s="1"/>
  <c r="Q38"/>
  <c r="I38" s="1"/>
  <c r="Q105"/>
  <c r="I105" s="1"/>
  <c r="R11"/>
  <c r="K11" s="1"/>
  <c r="R70"/>
  <c r="K70" s="1"/>
  <c r="J194"/>
  <c r="AA194" s="1"/>
  <c r="R194"/>
  <c r="K194" s="1"/>
  <c r="Q262"/>
  <c r="I262" s="1"/>
  <c r="R15"/>
  <c r="K15" s="1"/>
  <c r="R74"/>
  <c r="K74" s="1"/>
  <c r="R138"/>
  <c r="K138" s="1"/>
  <c r="R57"/>
  <c r="K57" s="1"/>
  <c r="Q30"/>
  <c r="R137"/>
  <c r="K137" s="1"/>
  <c r="Q163"/>
  <c r="I163" s="1"/>
  <c r="J10"/>
  <c r="AA10" s="1"/>
  <c r="J32"/>
  <c r="AA32" s="1"/>
  <c r="J112"/>
  <c r="AA112" s="1"/>
  <c r="H195"/>
  <c r="I153"/>
  <c r="I168"/>
  <c r="H274"/>
  <c r="I12"/>
  <c r="I73"/>
  <c r="H200"/>
  <c r="H221"/>
  <c r="I148"/>
  <c r="J226"/>
  <c r="AA226" s="1"/>
  <c r="J225"/>
  <c r="AA225" s="1"/>
  <c r="I259"/>
  <c r="H242"/>
  <c r="H167"/>
  <c r="I99"/>
  <c r="I87"/>
  <c r="J76"/>
  <c r="AA76" s="1"/>
  <c r="J193"/>
  <c r="AA193" s="1"/>
  <c r="J90"/>
  <c r="AA90" s="1"/>
  <c r="J24"/>
  <c r="AA24" s="1"/>
  <c r="J20"/>
  <c r="AA20" s="1"/>
  <c r="J215"/>
  <c r="AA215" s="1"/>
  <c r="J205"/>
  <c r="AA205" s="1"/>
  <c r="J5"/>
  <c r="AA5" s="1"/>
  <c r="J117"/>
  <c r="AA117" s="1"/>
  <c r="J95"/>
  <c r="AA95" s="1"/>
  <c r="J250"/>
  <c r="AA250" s="1"/>
  <c r="Q115"/>
  <c r="I115" s="1"/>
  <c r="R55"/>
  <c r="K55" s="1"/>
  <c r="J64"/>
  <c r="R64"/>
  <c r="K64" s="1"/>
  <c r="R111"/>
  <c r="K111" s="1"/>
  <c r="Q26"/>
  <c r="Q169"/>
  <c r="I169" s="1"/>
  <c r="R228"/>
  <c r="K228" s="1"/>
  <c r="R121"/>
  <c r="K121" s="1"/>
  <c r="Q264"/>
  <c r="I264" s="1"/>
  <c r="Q212"/>
  <c r="I212" s="1"/>
  <c r="R34"/>
  <c r="K34" s="1"/>
  <c r="Q84"/>
  <c r="I84" s="1"/>
  <c r="I6"/>
  <c r="Q6"/>
  <c r="R236"/>
  <c r="K236" s="1"/>
  <c r="J164"/>
  <c r="R164"/>
  <c r="K164" s="1"/>
  <c r="R231"/>
  <c r="K231" s="1"/>
  <c r="Q33"/>
  <c r="I33" s="1"/>
  <c r="Q213"/>
  <c r="I213" s="1"/>
  <c r="J50"/>
  <c r="AA50" s="1"/>
  <c r="R50"/>
  <c r="K50" s="1"/>
  <c r="R122"/>
  <c r="K122" s="1"/>
  <c r="J199"/>
  <c r="AA199" s="1"/>
  <c r="R199"/>
  <c r="K199" s="1"/>
  <c r="R181"/>
  <c r="K181" s="1"/>
  <c r="R152"/>
  <c r="K152" s="1"/>
  <c r="R184"/>
  <c r="K184" s="1"/>
  <c r="R261"/>
  <c r="K261" s="1"/>
  <c r="R196"/>
  <c r="K196" s="1"/>
  <c r="Q192"/>
  <c r="R133"/>
  <c r="K133" s="1"/>
  <c r="Q19"/>
  <c r="I19" s="1"/>
  <c r="Q114"/>
  <c r="I114" s="1"/>
  <c r="R31"/>
  <c r="K31" s="1"/>
  <c r="R142"/>
  <c r="K142" s="1"/>
  <c r="R78"/>
  <c r="K78" s="1"/>
  <c r="I64"/>
  <c r="H26"/>
  <c r="AA48"/>
  <c r="J177"/>
  <c r="AA177" s="1"/>
  <c r="J35"/>
  <c r="AA35" s="1"/>
  <c r="J98"/>
  <c r="AA98" s="1"/>
  <c r="J267"/>
  <c r="AA267" s="1"/>
  <c r="J146"/>
  <c r="AA146" s="1"/>
  <c r="J119"/>
  <c r="AA119" s="1"/>
  <c r="H84"/>
  <c r="H6"/>
  <c r="I236"/>
  <c r="I164"/>
  <c r="J161"/>
  <c r="AA161" s="1"/>
  <c r="J159"/>
  <c r="AA159" s="1"/>
  <c r="J237"/>
  <c r="AA237" s="1"/>
  <c r="J256"/>
  <c r="AA256" s="1"/>
  <c r="R79"/>
  <c r="K79" s="1"/>
  <c r="R131"/>
  <c r="K131" s="1"/>
  <c r="R63"/>
  <c r="K63" s="1"/>
  <c r="Q151"/>
  <c r="I151" s="1"/>
  <c r="Q201"/>
  <c r="I201" s="1"/>
  <c r="Q127"/>
  <c r="I127" s="1"/>
  <c r="Q183"/>
  <c r="I183" s="1"/>
  <c r="R162"/>
  <c r="K162" s="1"/>
  <c r="R27"/>
  <c r="K27" s="1"/>
  <c r="Q155"/>
  <c r="I155" s="1"/>
  <c r="R71"/>
  <c r="K71" s="1"/>
  <c r="R145"/>
  <c r="K145" s="1"/>
  <c r="Q72"/>
  <c r="I72" s="1"/>
  <c r="R173"/>
  <c r="K173" s="1"/>
  <c r="R128"/>
  <c r="K128" s="1"/>
  <c r="R52"/>
  <c r="K52" s="1"/>
  <c r="Q154"/>
  <c r="I154" s="1"/>
  <c r="J132"/>
  <c r="R132"/>
  <c r="K132" s="1"/>
  <c r="R241"/>
  <c r="K241" s="1"/>
  <c r="Q49"/>
  <c r="R245"/>
  <c r="K245" s="1"/>
  <c r="R116"/>
  <c r="K116" s="1"/>
  <c r="R2"/>
  <c r="K2" s="1"/>
  <c r="R254"/>
  <c r="K254" s="1"/>
  <c r="R189"/>
  <c r="K189" s="1"/>
  <c r="R203"/>
  <c r="K203" s="1"/>
  <c r="I111"/>
  <c r="R23"/>
  <c r="K23" s="1"/>
  <c r="R251"/>
  <c r="K251" s="1"/>
  <c r="Q186"/>
  <c r="I186" s="1"/>
  <c r="R107"/>
  <c r="K107" s="1"/>
  <c r="R106"/>
  <c r="K106" s="1"/>
  <c r="R68"/>
  <c r="K68" s="1"/>
  <c r="Q139"/>
  <c r="I139" s="1"/>
  <c r="R65"/>
  <c r="K65" s="1"/>
  <c r="Q3"/>
  <c r="I3" s="1"/>
  <c r="R61"/>
  <c r="K61" s="1"/>
  <c r="R280"/>
  <c r="K280" s="1"/>
  <c r="R246"/>
  <c r="K246" s="1"/>
  <c r="Q135"/>
  <c r="I135" s="1"/>
  <c r="R83"/>
  <c r="K83" s="1"/>
  <c r="J269"/>
  <c r="AA269" s="1"/>
  <c r="R269"/>
  <c r="K269" s="1"/>
  <c r="R25"/>
  <c r="K25" s="1"/>
  <c r="R91"/>
  <c r="K91" s="1"/>
  <c r="R144"/>
  <c r="K144" s="1"/>
  <c r="R158"/>
  <c r="K158" s="1"/>
  <c r="R176"/>
  <c r="K176" s="1"/>
  <c r="Q222"/>
  <c r="I222" s="1"/>
  <c r="R272"/>
  <c r="K272" s="1"/>
  <c r="J118"/>
  <c r="AA118" s="1"/>
  <c r="R118"/>
  <c r="K118" s="1"/>
  <c r="Q21"/>
  <c r="I21" s="1"/>
  <c r="I62"/>
  <c r="Q62"/>
  <c r="Q29"/>
  <c r="I29" s="1"/>
  <c r="J36"/>
  <c r="AA36" s="1"/>
  <c r="R36"/>
  <c r="K36" s="1"/>
  <c r="Q265"/>
  <c r="I265" s="1"/>
  <c r="R92"/>
  <c r="K92" s="1"/>
  <c r="R206"/>
  <c r="K206" s="1"/>
  <c r="J275"/>
  <c r="AA275" s="1"/>
  <c r="R275"/>
  <c r="K275" s="1"/>
  <c r="Q239"/>
  <c r="I239" s="1"/>
  <c r="Q257"/>
  <c r="I257" s="1"/>
  <c r="R248"/>
  <c r="K248" s="1"/>
  <c r="R174"/>
  <c r="K174" s="1"/>
  <c r="R103"/>
  <c r="K103" s="1"/>
  <c r="Q43"/>
  <c r="I43" s="1"/>
  <c r="Q182"/>
  <c r="I182" s="1"/>
  <c r="J202"/>
  <c r="AA202" s="1"/>
  <c r="AA41"/>
  <c r="I79"/>
  <c r="J258"/>
  <c r="AA258" s="1"/>
  <c r="H154"/>
  <c r="J46"/>
  <c r="AA46" s="1"/>
  <c r="I132"/>
  <c r="J81"/>
  <c r="AA81" s="1"/>
  <c r="J187"/>
  <c r="AA187" s="1"/>
  <c r="J7"/>
  <c r="AA7" s="1"/>
  <c r="I241"/>
  <c r="H49"/>
  <c r="J266"/>
  <c r="AA266" s="1"/>
  <c r="J104"/>
  <c r="AA104" s="1"/>
  <c r="J191"/>
  <c r="AA191" s="1"/>
  <c r="I245"/>
  <c r="I116"/>
  <c r="I2"/>
  <c r="I254"/>
  <c r="I189"/>
  <c r="I203"/>
  <c r="Q18" i="1"/>
  <c r="I18" s="1"/>
  <c r="L3" i="3"/>
  <c r="L4" s="1"/>
  <c r="H18" i="1"/>
  <c r="J83"/>
  <c r="G202" i="3" s="1"/>
  <c r="J227" i="1"/>
  <c r="G171" i="3" s="1"/>
  <c r="J201" i="1"/>
  <c r="AA218"/>
  <c r="AA277"/>
  <c r="AA185"/>
  <c r="AA267"/>
  <c r="J226"/>
  <c r="G226" i="3" s="1"/>
  <c r="J54" i="1"/>
  <c r="E153" i="3"/>
  <c r="E158"/>
  <c r="E196"/>
  <c r="D78"/>
  <c r="C166"/>
  <c r="E34"/>
  <c r="AA43" i="1"/>
  <c r="P99"/>
  <c r="Q99" s="1"/>
  <c r="H17"/>
  <c r="Q17"/>
  <c r="AA253"/>
  <c r="D16" i="3"/>
  <c r="D97"/>
  <c r="F139"/>
  <c r="AA240" i="1"/>
  <c r="D151" i="3"/>
  <c r="E186"/>
  <c r="F110"/>
  <c r="D73"/>
  <c r="C203"/>
  <c r="D224"/>
  <c r="D218"/>
  <c r="D154"/>
  <c r="E28"/>
  <c r="D191"/>
  <c r="E234"/>
  <c r="J165" i="1"/>
  <c r="AA193"/>
  <c r="D205" i="3"/>
  <c r="C215"/>
  <c r="AA170" i="1"/>
  <c r="D120" i="3"/>
  <c r="D211"/>
  <c r="H236" i="1"/>
  <c r="Q236"/>
  <c r="D74" i="3"/>
  <c r="AA50" i="1"/>
  <c r="C109" i="3"/>
  <c r="E35"/>
  <c r="AA224" i="1"/>
  <c r="AA7"/>
  <c r="AA45"/>
  <c r="D253" i="3"/>
  <c r="D244"/>
  <c r="E143"/>
  <c r="D5"/>
  <c r="D160"/>
  <c r="E33"/>
  <c r="AA266" i="1"/>
  <c r="E11" i="3"/>
  <c r="D23"/>
  <c r="D256"/>
  <c r="AA96" i="1"/>
  <c r="D167" i="3"/>
  <c r="C92"/>
  <c r="AA127" i="1"/>
  <c r="C61" i="3"/>
  <c r="AA63" i="1"/>
  <c r="E25" i="3"/>
  <c r="D245"/>
  <c r="D214"/>
  <c r="C14"/>
  <c r="P121" i="1"/>
  <c r="Q121" s="1"/>
  <c r="G99"/>
  <c r="D99" i="3" s="1"/>
  <c r="G17" i="1"/>
  <c r="J61"/>
  <c r="J257"/>
  <c r="J32"/>
  <c r="J23"/>
  <c r="F118" i="3"/>
  <c r="D242"/>
  <c r="D76"/>
  <c r="E170"/>
  <c r="D32"/>
  <c r="E209"/>
  <c r="F173"/>
  <c r="D63"/>
  <c r="C187"/>
  <c r="D4"/>
  <c r="G179"/>
  <c r="AA112" i="1"/>
  <c r="F44" i="3"/>
  <c r="AA186" i="1"/>
  <c r="D126" i="3"/>
  <c r="D184"/>
  <c r="AA179" i="1"/>
  <c r="D144" i="3"/>
  <c r="I116" i="1"/>
  <c r="F116" i="3" s="1"/>
  <c r="J272" i="1"/>
  <c r="G112" i="3" s="1"/>
  <c r="J116" i="1"/>
  <c r="I155"/>
  <c r="J107"/>
  <c r="G176" i="3" s="1"/>
  <c r="G121" i="1"/>
  <c r="D162" i="3" s="1"/>
  <c r="J271" i="1"/>
  <c r="AA199"/>
  <c r="R120"/>
  <c r="K120" s="1"/>
  <c r="R52"/>
  <c r="K52" s="1"/>
  <c r="R22"/>
  <c r="K22" s="1"/>
  <c r="J278"/>
  <c r="G206"/>
  <c r="I61"/>
  <c r="P230"/>
  <c r="Q230" s="1"/>
  <c r="I33"/>
  <c r="R33"/>
  <c r="K33" s="1"/>
  <c r="Q6"/>
  <c r="I6" s="1"/>
  <c r="G230"/>
  <c r="I142"/>
  <c r="F142" i="3" s="1"/>
  <c r="J176" i="1"/>
  <c r="I104"/>
  <c r="F179" i="3" s="1"/>
  <c r="J10" i="1"/>
  <c r="P190"/>
  <c r="J104"/>
  <c r="J35"/>
  <c r="H4"/>
  <c r="E279" i="3" s="1"/>
  <c r="J95" i="1"/>
  <c r="P191"/>
  <c r="H191" s="1"/>
  <c r="Q89"/>
  <c r="H65"/>
  <c r="E40" i="3" s="1"/>
  <c r="P65" i="1"/>
  <c r="P46"/>
  <c r="H46" s="1"/>
  <c r="H206"/>
  <c r="Q206"/>
  <c r="H22"/>
  <c r="Q26"/>
  <c r="I26" s="1"/>
  <c r="F69" i="3" s="1"/>
  <c r="Q194" i="1"/>
  <c r="I194" s="1"/>
  <c r="F15" i="3" s="1"/>
  <c r="Q181" i="1"/>
  <c r="I181" s="1"/>
  <c r="Q195"/>
  <c r="R148"/>
  <c r="K148" s="1"/>
  <c r="I79"/>
  <c r="F79" i="3" s="1"/>
  <c r="Q79" i="1"/>
  <c r="P124"/>
  <c r="H124" s="1"/>
  <c r="E124" i="3" s="1"/>
  <c r="Q209" i="1"/>
  <c r="Q242"/>
  <c r="I242" s="1"/>
  <c r="F187" i="3" s="1"/>
  <c r="Q189" i="1"/>
  <c r="I189" s="1"/>
  <c r="Q119"/>
  <c r="I119" s="1"/>
  <c r="Q60"/>
  <c r="I223"/>
  <c r="R223"/>
  <c r="K223" s="1"/>
  <c r="Q74"/>
  <c r="I74" s="1"/>
  <c r="P105"/>
  <c r="H105" s="1"/>
  <c r="Q162"/>
  <c r="I162" s="1"/>
  <c r="P77"/>
  <c r="I273"/>
  <c r="F66" i="3" s="1"/>
  <c r="R273" i="1"/>
  <c r="K273" s="1"/>
  <c r="R130"/>
  <c r="K130" s="1"/>
  <c r="H104" i="3" s="1"/>
  <c r="Q132" i="1"/>
  <c r="I132" s="1"/>
  <c r="Q68"/>
  <c r="I68" s="1"/>
  <c r="F68" i="3" s="1"/>
  <c r="R56" i="1"/>
  <c r="K56" s="1"/>
  <c r="P203"/>
  <c r="R238"/>
  <c r="K238" s="1"/>
  <c r="H48" i="3" s="1"/>
  <c r="P182" i="1"/>
  <c r="Q182" s="1"/>
  <c r="R144"/>
  <c r="K144" s="1"/>
  <c r="H83" i="3" s="1"/>
  <c r="Q3" i="1"/>
  <c r="H3"/>
  <c r="E262" i="3" s="1"/>
  <c r="P92" i="1"/>
  <c r="Q184"/>
  <c r="Q275"/>
  <c r="I275" s="1"/>
  <c r="F153" i="3" s="1"/>
  <c r="R75" i="1"/>
  <c r="K75" s="1"/>
  <c r="Q19"/>
  <c r="I19" s="1"/>
  <c r="R11"/>
  <c r="K11" s="1"/>
  <c r="Q42"/>
  <c r="I42" s="1"/>
  <c r="F76" i="3" s="1"/>
  <c r="Q114" i="1"/>
  <c r="R114" s="1"/>
  <c r="K114" s="1"/>
  <c r="P188"/>
  <c r="H188" s="1"/>
  <c r="R157"/>
  <c r="K157" s="1"/>
  <c r="P233"/>
  <c r="H233" s="1"/>
  <c r="E275" i="3" s="1"/>
  <c r="R167" i="1"/>
  <c r="K167" s="1"/>
  <c r="Q220"/>
  <c r="Q2"/>
  <c r="I2" s="1"/>
  <c r="Q213"/>
  <c r="I213" s="1"/>
  <c r="F55" i="3" s="1"/>
  <c r="R128" i="1"/>
  <c r="K128" s="1"/>
  <c r="H128" i="3" s="1"/>
  <c r="R187" i="1"/>
  <c r="K187" s="1"/>
  <c r="J66"/>
  <c r="J212"/>
  <c r="H216"/>
  <c r="H79"/>
  <c r="E79" i="3" s="1"/>
  <c r="I83" i="1"/>
  <c r="F200" i="3" s="1"/>
  <c r="G124" i="1"/>
  <c r="D124" i="3" s="1"/>
  <c r="J5" i="1"/>
  <c r="J141"/>
  <c r="H209"/>
  <c r="H242"/>
  <c r="E187" i="3" s="1"/>
  <c r="H189" i="1"/>
  <c r="E94" i="3" s="1"/>
  <c r="H119" i="1"/>
  <c r="E119" i="3" s="1"/>
  <c r="H60" i="1"/>
  <c r="J235"/>
  <c r="J37"/>
  <c r="G246" i="3" s="1"/>
  <c r="J163" i="1"/>
  <c r="J262"/>
  <c r="H223"/>
  <c r="E60" i="3" s="1"/>
  <c r="J234" i="1"/>
  <c r="H74"/>
  <c r="G105"/>
  <c r="D105" i="3" s="1"/>
  <c r="H162" i="1"/>
  <c r="G77"/>
  <c r="H273"/>
  <c r="E10" i="3" s="1"/>
  <c r="H132" i="1"/>
  <c r="H68"/>
  <c r="E23" i="3" s="1"/>
  <c r="I56" i="1"/>
  <c r="I176"/>
  <c r="F176" i="3" s="1"/>
  <c r="G203" i="1"/>
  <c r="D14" i="3" s="1"/>
  <c r="I238" i="1"/>
  <c r="Q219"/>
  <c r="K115"/>
  <c r="J115"/>
  <c r="G168" i="3" s="1"/>
  <c r="Q64" i="1"/>
  <c r="R221"/>
  <c r="K221" s="1"/>
  <c r="H81" i="3" s="1"/>
  <c r="R15" i="1"/>
  <c r="K15" s="1"/>
  <c r="Q24"/>
  <c r="I24" s="1"/>
  <c r="R31"/>
  <c r="K31" s="1"/>
  <c r="I91"/>
  <c r="R91"/>
  <c r="K91" s="1"/>
  <c r="R59"/>
  <c r="K59" s="1"/>
  <c r="I216"/>
  <c r="J216"/>
  <c r="R216"/>
  <c r="K216" s="1"/>
  <c r="R255"/>
  <c r="K255" s="1"/>
  <c r="Q261"/>
  <c r="R261" s="1"/>
  <c r="K261" s="1"/>
  <c r="Q70"/>
  <c r="I70" s="1"/>
  <c r="Q260"/>
  <c r="Q243"/>
  <c r="Q225"/>
  <c r="Q111"/>
  <c r="I111" s="1"/>
  <c r="Q67"/>
  <c r="Q102"/>
  <c r="I102" s="1"/>
  <c r="F161" i="3" s="1"/>
  <c r="Q41" i="1"/>
  <c r="I41" s="1"/>
  <c r="K268"/>
  <c r="H149" i="3" s="1"/>
  <c r="J268" i="1"/>
  <c r="I13"/>
  <c r="R13"/>
  <c r="K13" s="1"/>
  <c r="R143"/>
  <c r="K143" s="1"/>
  <c r="Q156"/>
  <c r="R136"/>
  <c r="K136" s="1"/>
  <c r="R217"/>
  <c r="K217" s="1"/>
  <c r="Q244"/>
  <c r="I244" s="1"/>
  <c r="Q265"/>
  <c r="I265" s="1"/>
  <c r="F257" i="3" s="1"/>
  <c r="R205" i="1"/>
  <c r="K205" s="1"/>
  <c r="Q258"/>
  <c r="I258" s="1"/>
  <c r="F258" i="3" s="1"/>
  <c r="Q250" i="1"/>
  <c r="Q29"/>
  <c r="Q263"/>
  <c r="I263" s="1"/>
  <c r="F263" i="3" s="1"/>
  <c r="J173" i="1"/>
  <c r="J53"/>
  <c r="I153"/>
  <c r="I148"/>
  <c r="I150"/>
  <c r="F150" i="3" s="1"/>
  <c r="J150" i="1"/>
  <c r="J155"/>
  <c r="Q36"/>
  <c r="Q154"/>
  <c r="I154" s="1"/>
  <c r="F228" i="3" s="1"/>
  <c r="Q254" i="1"/>
  <c r="R169"/>
  <c r="K169" s="1"/>
  <c r="Q117"/>
  <c r="Q152"/>
  <c r="I4"/>
  <c r="R4"/>
  <c r="K4" s="1"/>
  <c r="P259"/>
  <c r="H259" s="1"/>
  <c r="K51"/>
  <c r="H186" i="3" s="1"/>
  <c r="J51" i="1"/>
  <c r="G186" i="3" s="1"/>
  <c r="Q108" i="1"/>
  <c r="I108" s="1"/>
  <c r="F175" i="3" s="1"/>
  <c r="Q28" i="1"/>
  <c r="I28" s="1"/>
  <c r="F255" i="3" s="1"/>
  <c r="Q207" i="1"/>
  <c r="I207" s="1"/>
  <c r="F207" i="3" s="1"/>
  <c r="Q126" i="1"/>
  <c r="I126" s="1"/>
  <c r="F126" i="3" s="1"/>
  <c r="Q27" i="1"/>
  <c r="Q131"/>
  <c r="Q245"/>
  <c r="I245" s="1"/>
  <c r="R172"/>
  <c r="K172" s="1"/>
  <c r="R183"/>
  <c r="K183" s="1"/>
  <c r="I90"/>
  <c r="R90"/>
  <c r="K90" s="1"/>
  <c r="R228"/>
  <c r="K228" s="1"/>
  <c r="Q93"/>
  <c r="I93" s="1"/>
  <c r="F154" i="3" s="1"/>
  <c r="R231" i="1"/>
  <c r="K231" s="1"/>
  <c r="Q12"/>
  <c r="I12" s="1"/>
  <c r="F12" i="3" s="1"/>
  <c r="P71" i="1"/>
  <c r="R158"/>
  <c r="I158"/>
  <c r="F137" i="3" s="1"/>
  <c r="Q276" i="1"/>
  <c r="Q47"/>
  <c r="I47" s="1"/>
  <c r="Q232"/>
  <c r="R178"/>
  <c r="K178" s="1"/>
  <c r="H98"/>
  <c r="E98" i="3" s="1"/>
  <c r="Q98" i="1"/>
  <c r="Q58"/>
  <c r="I58" s="1"/>
  <c r="R140"/>
  <c r="K140" s="1"/>
  <c r="J149"/>
  <c r="H219"/>
  <c r="H181"/>
  <c r="I15"/>
  <c r="F268" i="3" s="1"/>
  <c r="H152" i="1"/>
  <c r="J229"/>
  <c r="H91"/>
  <c r="E192" i="3" s="1"/>
  <c r="J118" i="1"/>
  <c r="H111"/>
  <c r="H67"/>
  <c r="H102"/>
  <c r="E181" i="3" s="1"/>
  <c r="H41" i="1"/>
  <c r="H13"/>
  <c r="E270" i="3" s="1"/>
  <c r="I143" i="1"/>
  <c r="H156"/>
  <c r="E156" i="3" s="1"/>
  <c r="I136" i="1"/>
  <c r="I217"/>
  <c r="F18" i="3" s="1"/>
  <c r="H244" i="1"/>
  <c r="H265"/>
  <c r="E257" i="3" s="1"/>
  <c r="I205" i="1"/>
  <c r="H29"/>
  <c r="J123"/>
  <c r="G123" i="3" s="1"/>
  <c r="R129" i="1"/>
  <c r="K129" s="1"/>
  <c r="H229" i="3" s="1"/>
  <c r="Q252" i="1"/>
  <c r="Q145"/>
  <c r="I145" s="1"/>
  <c r="F214" i="3" s="1"/>
  <c r="Q196" i="1"/>
  <c r="I196" s="1"/>
  <c r="Q180"/>
  <c r="Q34"/>
  <c r="I34" s="1"/>
  <c r="Q274"/>
  <c r="Q146"/>
  <c r="I146" s="1"/>
  <c r="Q62"/>
  <c r="Q197"/>
  <c r="P251"/>
  <c r="Q72"/>
  <c r="I72" s="1"/>
  <c r="F167" i="3" s="1"/>
  <c r="Q40" i="1"/>
  <c r="Q85"/>
  <c r="R84"/>
  <c r="K84" s="1"/>
  <c r="H84" i="3" s="1"/>
  <c r="R100" i="1"/>
  <c r="K100" s="1"/>
  <c r="H35" i="3" s="1"/>
  <c r="Q249" i="1"/>
  <c r="Q113"/>
  <c r="R211"/>
  <c r="K211" s="1"/>
  <c r="H222" i="3" s="1"/>
  <c r="R204" i="1"/>
  <c r="K204" s="1"/>
  <c r="Q101"/>
  <c r="P208"/>
  <c r="H208" s="1"/>
  <c r="Q281"/>
  <c r="R86"/>
  <c r="K86" s="1"/>
  <c r="Q279"/>
  <c r="Q264"/>
  <c r="P49"/>
  <c r="H49" s="1"/>
  <c r="E115" i="3" s="1"/>
  <c r="Q177" i="1"/>
  <c r="I177" s="1"/>
  <c r="P39"/>
  <c r="Q269"/>
  <c r="I269" s="1"/>
  <c r="F205" i="3" s="1"/>
  <c r="I129" i="1"/>
  <c r="H194"/>
  <c r="E15" i="3" s="1"/>
  <c r="H195" i="1"/>
  <c r="H24"/>
  <c r="E259" i="3" s="1"/>
  <c r="I31" i="1"/>
  <c r="H197"/>
  <c r="I59"/>
  <c r="J153"/>
  <c r="G160" i="3" s="1"/>
  <c r="J151" i="1"/>
  <c r="J88"/>
  <c r="H245"/>
  <c r="E38" i="3" s="1"/>
  <c r="I172" i="1"/>
  <c r="F111" i="3" s="1"/>
  <c r="I183" i="1"/>
  <c r="H90"/>
  <c r="J103"/>
  <c r="H154"/>
  <c r="E228" i="3" s="1"/>
  <c r="H26" i="1"/>
  <c r="E26" i="3" s="1"/>
  <c r="H252" i="1"/>
  <c r="E252" i="3" s="1"/>
  <c r="H254" i="1"/>
  <c r="H93"/>
  <c r="E154" i="3" s="1"/>
  <c r="I231" i="1"/>
  <c r="H12"/>
  <c r="G71"/>
  <c r="D71" i="3" s="1"/>
  <c r="I221" i="1"/>
  <c r="J192"/>
  <c r="H276"/>
  <c r="H47"/>
  <c r="E236" i="3" s="1"/>
  <c r="H232" i="1"/>
  <c r="E189" i="3" s="1"/>
  <c r="J164" i="1"/>
  <c r="G98"/>
  <c r="H58"/>
  <c r="E58" i="3" s="1"/>
  <c r="I140" i="1"/>
  <c r="F143" i="3" s="1"/>
  <c r="J21" i="1"/>
  <c r="J55"/>
  <c r="J159"/>
  <c r="J109"/>
  <c r="J202"/>
  <c r="J142"/>
  <c r="J106"/>
  <c r="G200" i="3" s="1"/>
  <c r="J122" i="1"/>
  <c r="J215"/>
  <c r="J237"/>
  <c r="J241"/>
  <c r="J247"/>
  <c r="J270"/>
  <c r="J25"/>
  <c r="J138"/>
  <c r="J161"/>
  <c r="G122" i="3" s="1"/>
  <c r="J210" i="1"/>
  <c r="J38"/>
  <c r="J87"/>
  <c r="J139"/>
  <c r="J14"/>
  <c r="J174"/>
  <c r="J280"/>
  <c r="G44" i="3" s="1"/>
  <c r="A7" i="2"/>
  <c r="B6"/>
  <c r="J292" i="1" l="1"/>
  <c r="AA292" s="1"/>
  <c r="E172" i="3"/>
  <c r="E111"/>
  <c r="D185"/>
  <c r="D98"/>
  <c r="E271"/>
  <c r="E12"/>
  <c r="E64"/>
  <c r="E219"/>
  <c r="D266"/>
  <c r="D17"/>
  <c r="F208"/>
  <c r="E232"/>
  <c r="H26"/>
  <c r="F83"/>
  <c r="F145"/>
  <c r="E242"/>
  <c r="E216"/>
  <c r="F121"/>
  <c r="H238"/>
  <c r="E91"/>
  <c r="F269"/>
  <c r="F177"/>
  <c r="F132"/>
  <c r="D53"/>
  <c r="D230"/>
  <c r="G91"/>
  <c r="E254"/>
  <c r="AA176" i="1"/>
  <c r="D121" i="3"/>
  <c r="E4"/>
  <c r="F104"/>
  <c r="F48"/>
  <c r="F238"/>
  <c r="H192"/>
  <c r="H91"/>
  <c r="E95"/>
  <c r="E188"/>
  <c r="E102"/>
  <c r="H117"/>
  <c r="F62"/>
  <c r="F17"/>
  <c r="AA142" i="1"/>
  <c r="F28" i="3"/>
  <c r="E49"/>
  <c r="E220"/>
  <c r="E46"/>
  <c r="E7"/>
  <c r="E276"/>
  <c r="F120"/>
  <c r="F146"/>
  <c r="E88"/>
  <c r="E195"/>
  <c r="E177"/>
  <c r="E132"/>
  <c r="E24"/>
  <c r="F183"/>
  <c r="H130"/>
  <c r="E233"/>
  <c r="F42"/>
  <c r="H11"/>
  <c r="G173"/>
  <c r="F242"/>
  <c r="D77"/>
  <c r="AA227" i="1"/>
  <c r="E194" i="3"/>
  <c r="E265"/>
  <c r="F72"/>
  <c r="H144"/>
  <c r="E90"/>
  <c r="F218"/>
  <c r="F277"/>
  <c r="H258"/>
  <c r="H116"/>
  <c r="F217"/>
  <c r="F94"/>
  <c r="H201"/>
  <c r="H140"/>
  <c r="F9"/>
  <c r="F172"/>
  <c r="F73"/>
  <c r="F264"/>
  <c r="F164"/>
  <c r="E193"/>
  <c r="E47"/>
  <c r="E164"/>
  <c r="E63"/>
  <c r="E204"/>
  <c r="E126"/>
  <c r="E68"/>
  <c r="F125"/>
  <c r="E162"/>
  <c r="E67"/>
  <c r="E18"/>
  <c r="H162"/>
  <c r="H66"/>
  <c r="H170"/>
  <c r="H143"/>
  <c r="E129"/>
  <c r="H139"/>
  <c r="E41"/>
  <c r="F222"/>
  <c r="F170"/>
  <c r="F135"/>
  <c r="E224"/>
  <c r="E86"/>
  <c r="H79"/>
  <c r="F87"/>
  <c r="F19"/>
  <c r="D203"/>
  <c r="D178"/>
  <c r="F63"/>
  <c r="F204"/>
  <c r="F265"/>
  <c r="G150"/>
  <c r="E256"/>
  <c r="E225"/>
  <c r="D92"/>
  <c r="D212"/>
  <c r="H273"/>
  <c r="H22"/>
  <c r="D109"/>
  <c r="D159"/>
  <c r="F141"/>
  <c r="E13"/>
  <c r="E75"/>
  <c r="D166"/>
  <c r="D206"/>
  <c r="G278"/>
  <c r="H210"/>
  <c r="H155"/>
  <c r="E109"/>
  <c r="E159"/>
  <c r="H89"/>
  <c r="F237"/>
  <c r="AA257" i="1"/>
  <c r="F157" i="3"/>
  <c r="F23"/>
  <c r="F45"/>
  <c r="G82"/>
  <c r="E261"/>
  <c r="D80"/>
  <c r="H270"/>
  <c r="F240"/>
  <c r="F102"/>
  <c r="E211"/>
  <c r="E223"/>
  <c r="E231"/>
  <c r="E136"/>
  <c r="E266"/>
  <c r="H199"/>
  <c r="E191"/>
  <c r="E131"/>
  <c r="E148"/>
  <c r="E185"/>
  <c r="F138"/>
  <c r="F271"/>
  <c r="H168"/>
  <c r="G142"/>
  <c r="H96"/>
  <c r="E203"/>
  <c r="E178"/>
  <c r="E218"/>
  <c r="G192"/>
  <c r="AA133" i="1"/>
  <c r="H169" i="3"/>
  <c r="E215"/>
  <c r="H157"/>
  <c r="G110"/>
  <c r="H125"/>
  <c r="J33" i="1"/>
  <c r="AA33" s="1"/>
  <c r="G130" i="3"/>
  <c r="F209"/>
  <c r="G118"/>
  <c r="F201"/>
  <c r="F140"/>
  <c r="F160"/>
  <c r="F130"/>
  <c r="F113"/>
  <c r="F270"/>
  <c r="G227"/>
  <c r="F129"/>
  <c r="AA201" i="1"/>
  <c r="E51" i="3"/>
  <c r="H279"/>
  <c r="J152" i="5"/>
  <c r="AA152" s="1"/>
  <c r="J232"/>
  <c r="AA232" s="1"/>
  <c r="J196"/>
  <c r="AA196" s="1"/>
  <c r="J106"/>
  <c r="AA106" s="1"/>
  <c r="J203"/>
  <c r="J145"/>
  <c r="AA145" s="1"/>
  <c r="AA164"/>
  <c r="J261"/>
  <c r="AA261" s="1"/>
  <c r="J224"/>
  <c r="AA224" s="1"/>
  <c r="J168"/>
  <c r="I207"/>
  <c r="R207"/>
  <c r="K207" s="1"/>
  <c r="J111"/>
  <c r="J79"/>
  <c r="AA58"/>
  <c r="J68"/>
  <c r="AA68" s="1"/>
  <c r="AA111"/>
  <c r="J254"/>
  <c r="AA254" s="1"/>
  <c r="J228"/>
  <c r="AA228" s="1"/>
  <c r="J259"/>
  <c r="J153"/>
  <c r="J70"/>
  <c r="AA70" s="1"/>
  <c r="J181"/>
  <c r="AA181" s="1"/>
  <c r="AA203"/>
  <c r="J83"/>
  <c r="AA83" s="1"/>
  <c r="J189"/>
  <c r="AA189" s="1"/>
  <c r="J279"/>
  <c r="AA279" s="1"/>
  <c r="J233"/>
  <c r="AA233" s="1"/>
  <c r="R136"/>
  <c r="K136" s="1"/>
  <c r="J107"/>
  <c r="AA107" s="1"/>
  <c r="J63"/>
  <c r="AA63" s="1"/>
  <c r="J133"/>
  <c r="AA133" s="1"/>
  <c r="J184"/>
  <c r="AA184" s="1"/>
  <c r="J122"/>
  <c r="AA122" s="1"/>
  <c r="AA153"/>
  <c r="J15"/>
  <c r="AA15" s="1"/>
  <c r="J253"/>
  <c r="AA253" s="1"/>
  <c r="J12"/>
  <c r="AA160"/>
  <c r="R268"/>
  <c r="K268" s="1"/>
  <c r="AA281"/>
  <c r="J176"/>
  <c r="AA176" s="1"/>
  <c r="AA79"/>
  <c r="J144"/>
  <c r="AA144" s="1"/>
  <c r="J251"/>
  <c r="AA251" s="1"/>
  <c r="J128"/>
  <c r="AA128" s="1"/>
  <c r="J231"/>
  <c r="AA231" s="1"/>
  <c r="J85"/>
  <c r="AA85" s="1"/>
  <c r="AA102"/>
  <c r="I268"/>
  <c r="R75"/>
  <c r="K75" s="1"/>
  <c r="J57"/>
  <c r="AA57" s="1"/>
  <c r="J158"/>
  <c r="AA158" s="1"/>
  <c r="J116"/>
  <c r="AA116" s="1"/>
  <c r="J52"/>
  <c r="AA52" s="1"/>
  <c r="J71"/>
  <c r="AA71" s="1"/>
  <c r="AA259"/>
  <c r="AA12"/>
  <c r="J74"/>
  <c r="AA74" s="1"/>
  <c r="J73"/>
  <c r="AA73" s="1"/>
  <c r="J44"/>
  <c r="AA44" s="1"/>
  <c r="J101"/>
  <c r="AA101" s="1"/>
  <c r="R26"/>
  <c r="K26" s="1"/>
  <c r="R143"/>
  <c r="K143" s="1"/>
  <c r="R242"/>
  <c r="K242" s="1"/>
  <c r="R155"/>
  <c r="K155" s="1"/>
  <c r="R127"/>
  <c r="K127" s="1"/>
  <c r="R19"/>
  <c r="K19" s="1"/>
  <c r="R6"/>
  <c r="K6" s="1"/>
  <c r="R115"/>
  <c r="K115" s="1"/>
  <c r="R163"/>
  <c r="K163" s="1"/>
  <c r="R157"/>
  <c r="K157" s="1"/>
  <c r="R200"/>
  <c r="K200" s="1"/>
  <c r="R114"/>
  <c r="K114" s="1"/>
  <c r="R179"/>
  <c r="K179" s="1"/>
  <c r="R147"/>
  <c r="K147" s="1"/>
  <c r="R167"/>
  <c r="K167" s="1"/>
  <c r="J174"/>
  <c r="AA174" s="1"/>
  <c r="J280"/>
  <c r="AA280" s="1"/>
  <c r="J173"/>
  <c r="AA173" s="1"/>
  <c r="J131"/>
  <c r="AA131" s="1"/>
  <c r="J78"/>
  <c r="AA78" s="1"/>
  <c r="I26"/>
  <c r="J138"/>
  <c r="AA138" s="1"/>
  <c r="I143"/>
  <c r="J218"/>
  <c r="AA218" s="1"/>
  <c r="I242"/>
  <c r="AA132"/>
  <c r="J103"/>
  <c r="AA103" s="1"/>
  <c r="J25"/>
  <c r="AA25" s="1"/>
  <c r="J246"/>
  <c r="AA246" s="1"/>
  <c r="J65"/>
  <c r="AA65" s="1"/>
  <c r="J2"/>
  <c r="AA2" s="1"/>
  <c r="J241"/>
  <c r="AA241" s="1"/>
  <c r="J236"/>
  <c r="AA236" s="1"/>
  <c r="J55"/>
  <c r="AA55" s="1"/>
  <c r="AA168"/>
  <c r="J186"/>
  <c r="AA186" s="1"/>
  <c r="R186"/>
  <c r="K186" s="1"/>
  <c r="R264"/>
  <c r="K264" s="1"/>
  <c r="R265"/>
  <c r="K265" s="1"/>
  <c r="J183"/>
  <c r="AA183" s="1"/>
  <c r="R183"/>
  <c r="K183" s="1"/>
  <c r="R213"/>
  <c r="K213" s="1"/>
  <c r="R105"/>
  <c r="K105" s="1"/>
  <c r="J49"/>
  <c r="AA49" s="1"/>
  <c r="R49"/>
  <c r="K49" s="1"/>
  <c r="J192"/>
  <c r="R192"/>
  <c r="K192" s="1"/>
  <c r="R30"/>
  <c r="K30" s="1"/>
  <c r="J260"/>
  <c r="R260"/>
  <c r="K260" s="1"/>
  <c r="R195"/>
  <c r="K195" s="1"/>
  <c r="R62"/>
  <c r="K62" s="1"/>
  <c r="R222"/>
  <c r="K222" s="1"/>
  <c r="R135"/>
  <c r="K135" s="1"/>
  <c r="R3"/>
  <c r="K3" s="1"/>
  <c r="R151"/>
  <c r="K151" s="1"/>
  <c r="J92"/>
  <c r="AA92" s="1"/>
  <c r="J91"/>
  <c r="AA91" s="1"/>
  <c r="J23"/>
  <c r="AA23" s="1"/>
  <c r="I49"/>
  <c r="J162"/>
  <c r="AA162" s="1"/>
  <c r="AA64"/>
  <c r="J31"/>
  <c r="AA31" s="1"/>
  <c r="I192"/>
  <c r="J34"/>
  <c r="AA34" s="1"/>
  <c r="I30"/>
  <c r="J11"/>
  <c r="AA11" s="1"/>
  <c r="J238"/>
  <c r="AA238" s="1"/>
  <c r="I260"/>
  <c r="J278"/>
  <c r="AA278" s="1"/>
  <c r="J99"/>
  <c r="AA99" s="1"/>
  <c r="J148"/>
  <c r="AA148" s="1"/>
  <c r="I195"/>
  <c r="J139"/>
  <c r="AA139" s="1"/>
  <c r="R139"/>
  <c r="K139" s="1"/>
  <c r="R38"/>
  <c r="K38" s="1"/>
  <c r="R212"/>
  <c r="K212" s="1"/>
  <c r="R169"/>
  <c r="K169" s="1"/>
  <c r="J45"/>
  <c r="AA45" s="1"/>
  <c r="R45"/>
  <c r="K45" s="1"/>
  <c r="R274"/>
  <c r="K274" s="1"/>
  <c r="R257"/>
  <c r="K257" s="1"/>
  <c r="R29"/>
  <c r="K29" s="1"/>
  <c r="R72"/>
  <c r="K72" s="1"/>
  <c r="R84"/>
  <c r="K84" s="1"/>
  <c r="R166"/>
  <c r="K166" s="1"/>
  <c r="R229"/>
  <c r="K229" s="1"/>
  <c r="R230"/>
  <c r="K230" s="1"/>
  <c r="J248"/>
  <c r="AA248" s="1"/>
  <c r="J206"/>
  <c r="AA206" s="1"/>
  <c r="J272"/>
  <c r="AA272" s="1"/>
  <c r="J61"/>
  <c r="AA61" s="1"/>
  <c r="J245"/>
  <c r="AA245" s="1"/>
  <c r="J27"/>
  <c r="AA27" s="1"/>
  <c r="J142"/>
  <c r="AA142" s="1"/>
  <c r="J121"/>
  <c r="AA121" s="1"/>
  <c r="J137"/>
  <c r="AA137" s="1"/>
  <c r="J87"/>
  <c r="AA87" s="1"/>
  <c r="R33"/>
  <c r="K33" s="1"/>
  <c r="R239"/>
  <c r="K239" s="1"/>
  <c r="R21"/>
  <c r="K21" s="1"/>
  <c r="R262"/>
  <c r="K262" s="1"/>
  <c r="R221"/>
  <c r="K221" s="1"/>
  <c r="R43"/>
  <c r="K43" s="1"/>
  <c r="R182"/>
  <c r="K182" s="1"/>
  <c r="J154"/>
  <c r="AA154" s="1"/>
  <c r="R154"/>
  <c r="K154" s="1"/>
  <c r="J201"/>
  <c r="AA201" s="1"/>
  <c r="R201"/>
  <c r="K201" s="1"/>
  <c r="R197"/>
  <c r="K197" s="1"/>
  <c r="M3" i="3"/>
  <c r="M4" s="1"/>
  <c r="H121" i="1"/>
  <c r="J261"/>
  <c r="AA272"/>
  <c r="AA226"/>
  <c r="AA215"/>
  <c r="R18"/>
  <c r="K18" s="1"/>
  <c r="E197" i="3"/>
  <c r="AA192" i="1"/>
  <c r="AA54"/>
  <c r="J22"/>
  <c r="AA165"/>
  <c r="F196" i="3"/>
  <c r="F267"/>
  <c r="F151"/>
  <c r="E61"/>
  <c r="E108"/>
  <c r="F97"/>
  <c r="F213"/>
  <c r="E52"/>
  <c r="E157"/>
  <c r="AA139" i="1"/>
  <c r="AA25"/>
  <c r="F106" i="3"/>
  <c r="F81"/>
  <c r="AA221" i="1"/>
  <c r="G248" i="3"/>
  <c r="AA118" i="1"/>
  <c r="AA173"/>
  <c r="G149" i="3"/>
  <c r="AA268" i="1"/>
  <c r="AA115"/>
  <c r="AA262"/>
  <c r="E43" i="3"/>
  <c r="AA104" i="1"/>
  <c r="AA14"/>
  <c r="AA138"/>
  <c r="G54" i="3"/>
  <c r="AA21" i="1"/>
  <c r="E69" i="3"/>
  <c r="AA151" i="1"/>
  <c r="F229" i="3"/>
  <c r="E9"/>
  <c r="G141"/>
  <c r="AA53" i="1"/>
  <c r="E65" i="3"/>
  <c r="AA10" i="1"/>
  <c r="I121"/>
  <c r="F239" i="3" s="1"/>
  <c r="R121" i="1"/>
  <c r="K121" s="1"/>
  <c r="H239" i="3" s="1"/>
  <c r="AA106" i="1"/>
  <c r="J100"/>
  <c r="J90"/>
  <c r="AA174"/>
  <c r="J86"/>
  <c r="J144"/>
  <c r="G139" i="3" s="1"/>
  <c r="AA270" i="1"/>
  <c r="AA109"/>
  <c r="AA229"/>
  <c r="AA237"/>
  <c r="AA32"/>
  <c r="AA164"/>
  <c r="AA122"/>
  <c r="E6" i="3"/>
  <c r="F90"/>
  <c r="E66"/>
  <c r="AA161" i="1"/>
  <c r="E127" i="3"/>
  <c r="E36"/>
  <c r="E217"/>
  <c r="AA23" i="1"/>
  <c r="AA241"/>
  <c r="E19" i="3"/>
  <c r="E235"/>
  <c r="E161"/>
  <c r="AA271" i="1"/>
  <c r="D56" i="3"/>
  <c r="I99" i="1"/>
  <c r="F56" i="3" s="1"/>
  <c r="R99" i="1"/>
  <c r="K99" s="1"/>
  <c r="H99" i="3" s="1"/>
  <c r="G174"/>
  <c r="AA38" i="1"/>
  <c r="G57" i="3"/>
  <c r="AA247" i="1"/>
  <c r="F20" i="3"/>
  <c r="E237"/>
  <c r="E183"/>
  <c r="F202"/>
  <c r="AA83" i="1"/>
  <c r="AA35"/>
  <c r="D100" i="3"/>
  <c r="G165"/>
  <c r="AA278" i="1"/>
  <c r="D136" i="3"/>
  <c r="AA103" i="1"/>
  <c r="AA234"/>
  <c r="AA141"/>
  <c r="AA280"/>
  <c r="AA90"/>
  <c r="AA210"/>
  <c r="AA61"/>
  <c r="AA216"/>
  <c r="AA5"/>
  <c r="AA235"/>
  <c r="AA163"/>
  <c r="AA212"/>
  <c r="H99"/>
  <c r="E99" i="3" s="1"/>
  <c r="D239"/>
  <c r="E39"/>
  <c r="E280"/>
  <c r="AA159" i="1"/>
  <c r="E272" i="3"/>
  <c r="E17"/>
  <c r="E240"/>
  <c r="F98"/>
  <c r="E45"/>
  <c r="AA87" i="1"/>
  <c r="AA202"/>
  <c r="F7" i="3"/>
  <c r="F181"/>
  <c r="E29"/>
  <c r="E113"/>
  <c r="E50"/>
  <c r="E89"/>
  <c r="D231"/>
  <c r="F192"/>
  <c r="AA155" i="1"/>
  <c r="I236"/>
  <c r="F47" i="3" s="1"/>
  <c r="R236" i="1"/>
  <c r="AA51"/>
  <c r="AA150"/>
  <c r="AA88"/>
  <c r="AA123"/>
  <c r="AA153"/>
  <c r="AA149"/>
  <c r="D148" i="3"/>
  <c r="E138"/>
  <c r="G134"/>
  <c r="AA37" i="1"/>
  <c r="AA95"/>
  <c r="AA107"/>
  <c r="I17"/>
  <c r="R17"/>
  <c r="H182"/>
  <c r="J223"/>
  <c r="AA55"/>
  <c r="AA116"/>
  <c r="AA66"/>
  <c r="Q65"/>
  <c r="I65" s="1"/>
  <c r="F65" i="3" s="1"/>
  <c r="Q191" i="1"/>
  <c r="J217"/>
  <c r="J120"/>
  <c r="J204"/>
  <c r="J172"/>
  <c r="J167"/>
  <c r="G116" i="3" s="1"/>
  <c r="J183" i="1"/>
  <c r="J273"/>
  <c r="AA273" s="1"/>
  <c r="J52"/>
  <c r="I230"/>
  <c r="F230" i="3" s="1"/>
  <c r="R230" i="1"/>
  <c r="K230" s="1"/>
  <c r="H230" i="3" s="1"/>
  <c r="Q46" i="1"/>
  <c r="I46" s="1"/>
  <c r="F46" i="3" s="1"/>
  <c r="I206" i="1"/>
  <c r="R206"/>
  <c r="J56"/>
  <c r="H230"/>
  <c r="E230" i="3" s="1"/>
  <c r="J13" i="1"/>
  <c r="J178"/>
  <c r="J91"/>
  <c r="AA91" s="1"/>
  <c r="R89"/>
  <c r="K89" s="1"/>
  <c r="Q190"/>
  <c r="R6"/>
  <c r="K6" s="1"/>
  <c r="H114" i="3" s="1"/>
  <c r="J128" i="1"/>
  <c r="G155" i="3" s="1"/>
  <c r="J169" i="1"/>
  <c r="J136"/>
  <c r="J157"/>
  <c r="J75"/>
  <c r="I89"/>
  <c r="F194" i="3" s="1"/>
  <c r="H190" i="1"/>
  <c r="E93" i="3" s="1"/>
  <c r="R264" i="1"/>
  <c r="K264" s="1"/>
  <c r="H133" i="3" s="1"/>
  <c r="R85" i="1"/>
  <c r="K85" s="1"/>
  <c r="H85" i="3" s="1"/>
  <c r="R252" i="1"/>
  <c r="K252" s="1"/>
  <c r="H252" i="3" s="1"/>
  <c r="R152" i="1"/>
  <c r="K152" s="1"/>
  <c r="R93"/>
  <c r="K93" s="1"/>
  <c r="H154" i="3" s="1"/>
  <c r="Q92" i="1"/>
  <c r="I92" s="1"/>
  <c r="F78" i="3" s="1"/>
  <c r="R26" i="1"/>
  <c r="K26" s="1"/>
  <c r="H69" i="3" s="1"/>
  <c r="R276" i="1"/>
  <c r="K276" s="1"/>
  <c r="R254"/>
  <c r="K254" s="1"/>
  <c r="H272" i="3" s="1"/>
  <c r="R244" i="1"/>
  <c r="K244" s="1"/>
  <c r="R225"/>
  <c r="K225" s="1"/>
  <c r="R219"/>
  <c r="K219" s="1"/>
  <c r="Q188"/>
  <c r="I188" s="1"/>
  <c r="F188" i="3" s="1"/>
  <c r="R145" i="1"/>
  <c r="K145" s="1"/>
  <c r="R131"/>
  <c r="K131" s="1"/>
  <c r="R29"/>
  <c r="K29" s="1"/>
  <c r="R156"/>
  <c r="K156" s="1"/>
  <c r="R184"/>
  <c r="K184" s="1"/>
  <c r="I182"/>
  <c r="R182"/>
  <c r="K182" s="1"/>
  <c r="R189"/>
  <c r="K189" s="1"/>
  <c r="R79"/>
  <c r="K79" s="1"/>
  <c r="R177"/>
  <c r="K177" s="1"/>
  <c r="R72"/>
  <c r="K72" s="1"/>
  <c r="R196"/>
  <c r="K196" s="1"/>
  <c r="R58"/>
  <c r="K58" s="1"/>
  <c r="R47"/>
  <c r="K47" s="1"/>
  <c r="R28"/>
  <c r="K28" s="1"/>
  <c r="H28" i="3" s="1"/>
  <c r="R265" i="1"/>
  <c r="K265" s="1"/>
  <c r="H257" i="3" s="1"/>
  <c r="R111" i="1"/>
  <c r="K111" s="1"/>
  <c r="H111" i="3" s="1"/>
  <c r="R70" i="1"/>
  <c r="K70" s="1"/>
  <c r="R24"/>
  <c r="K24" s="1"/>
  <c r="R2"/>
  <c r="K2" s="1"/>
  <c r="R74"/>
  <c r="K74" s="1"/>
  <c r="R119"/>
  <c r="K119" s="1"/>
  <c r="H119" i="3" s="1"/>
  <c r="Q124" i="1"/>
  <c r="R181"/>
  <c r="K181" s="1"/>
  <c r="J255"/>
  <c r="J221"/>
  <c r="G81" i="3" s="1"/>
  <c r="H92" i="1"/>
  <c r="I276"/>
  <c r="J231"/>
  <c r="I254"/>
  <c r="F272" i="3" s="1"/>
  <c r="I225" i="1"/>
  <c r="F58" i="3" s="1"/>
  <c r="I261" i="1"/>
  <c r="F22" i="3" s="1"/>
  <c r="J15" i="1"/>
  <c r="I219"/>
  <c r="I131"/>
  <c r="J4"/>
  <c r="I29"/>
  <c r="I156"/>
  <c r="J59"/>
  <c r="J11"/>
  <c r="I184"/>
  <c r="Q208"/>
  <c r="I208" s="1"/>
  <c r="R197"/>
  <c r="K197" s="1"/>
  <c r="K158"/>
  <c r="H137" i="3" s="1"/>
  <c r="J158" i="1"/>
  <c r="AA158" s="1"/>
  <c r="R243"/>
  <c r="K243" s="1"/>
  <c r="H5" i="3" s="1"/>
  <c r="R27" i="1"/>
  <c r="K27" s="1"/>
  <c r="H27" i="3" s="1"/>
  <c r="Q77" i="1"/>
  <c r="I77" s="1"/>
  <c r="R281"/>
  <c r="K281" s="1"/>
  <c r="R274"/>
  <c r="K274" s="1"/>
  <c r="R194"/>
  <c r="K194" s="1"/>
  <c r="H15" i="3" s="1"/>
  <c r="I98" i="1"/>
  <c r="R98"/>
  <c r="K98" s="1"/>
  <c r="R146"/>
  <c r="K146" s="1"/>
  <c r="R12"/>
  <c r="K12" s="1"/>
  <c r="H12" i="3" s="1"/>
  <c r="R245" i="1"/>
  <c r="K245" s="1"/>
  <c r="Q259"/>
  <c r="R213"/>
  <c r="K213" s="1"/>
  <c r="H55" i="3" s="1"/>
  <c r="R42" i="1"/>
  <c r="K42" s="1"/>
  <c r="H42" i="3" s="1"/>
  <c r="I264" i="1"/>
  <c r="I85"/>
  <c r="I197"/>
  <c r="F197" i="3" s="1"/>
  <c r="I252" i="1"/>
  <c r="F127" i="3" s="1"/>
  <c r="J187" i="1"/>
  <c r="G96" i="3" s="1"/>
  <c r="J84" i="1"/>
  <c r="I274"/>
  <c r="F274" i="3" s="1"/>
  <c r="J205" i="1"/>
  <c r="R34"/>
  <c r="K34" s="1"/>
  <c r="R220"/>
  <c r="K220" s="1"/>
  <c r="R132"/>
  <c r="K132" s="1"/>
  <c r="R41"/>
  <c r="K41" s="1"/>
  <c r="H183" i="3" s="1"/>
  <c r="Q39" i="1"/>
  <c r="R101"/>
  <c r="K101" s="1"/>
  <c r="R40"/>
  <c r="K40" s="1"/>
  <c r="R232"/>
  <c r="K232" s="1"/>
  <c r="R207"/>
  <c r="K207" s="1"/>
  <c r="H207" i="3" s="1"/>
  <c r="R117" i="1"/>
  <c r="K117" s="1"/>
  <c r="R36"/>
  <c r="K36" s="1"/>
  <c r="R263"/>
  <c r="K263" s="1"/>
  <c r="R67"/>
  <c r="K67" s="1"/>
  <c r="H67" i="3" s="1"/>
  <c r="R260" i="1"/>
  <c r="K260" s="1"/>
  <c r="R64"/>
  <c r="K64" s="1"/>
  <c r="H64" i="3" s="1"/>
  <c r="Q233" i="1"/>
  <c r="R275"/>
  <c r="K275" s="1"/>
  <c r="H153" i="3" s="1"/>
  <c r="R3" i="1"/>
  <c r="K3" s="1"/>
  <c r="H262" i="3" s="1"/>
  <c r="Q203" i="1"/>
  <c r="I203" s="1"/>
  <c r="Q105"/>
  <c r="R60"/>
  <c r="K60" s="1"/>
  <c r="R209"/>
  <c r="K209" s="1"/>
  <c r="H43" i="3" s="1"/>
  <c r="R195" i="1"/>
  <c r="K195" s="1"/>
  <c r="I152"/>
  <c r="J148"/>
  <c r="G135" i="3" s="1"/>
  <c r="I220" i="1"/>
  <c r="H77"/>
  <c r="E77" i="3" s="1"/>
  <c r="J211" i="1"/>
  <c r="R269"/>
  <c r="K269" s="1"/>
  <c r="R113"/>
  <c r="K113" s="1"/>
  <c r="R154"/>
  <c r="K154" s="1"/>
  <c r="R102"/>
  <c r="K102" s="1"/>
  <c r="H161" i="3" s="1"/>
  <c r="R242" i="1"/>
  <c r="K242" s="1"/>
  <c r="H187" i="3" s="1"/>
  <c r="R108" i="1"/>
  <c r="K108" s="1"/>
  <c r="R250"/>
  <c r="K250" s="1"/>
  <c r="H245" i="3" s="1"/>
  <c r="R19" i="1"/>
  <c r="K19" s="1"/>
  <c r="Q49"/>
  <c r="I49" s="1"/>
  <c r="Q251"/>
  <c r="R68"/>
  <c r="K68" s="1"/>
  <c r="H68" i="3" s="1"/>
  <c r="R279" i="1"/>
  <c r="K279" s="1"/>
  <c r="R249"/>
  <c r="K249" s="1"/>
  <c r="H158" i="3" s="1"/>
  <c r="R62" i="1"/>
  <c r="K62" s="1"/>
  <c r="H62" i="3" s="1"/>
  <c r="R180" i="1"/>
  <c r="K180" s="1"/>
  <c r="Q71"/>
  <c r="I71" s="1"/>
  <c r="F71" i="3" s="1"/>
  <c r="R126" i="1"/>
  <c r="K126" s="1"/>
  <c r="H267" i="3" s="1"/>
  <c r="R258" i="1"/>
  <c r="K258" s="1"/>
  <c r="H213" i="3" s="1"/>
  <c r="R162" i="1"/>
  <c r="K162" s="1"/>
  <c r="I113"/>
  <c r="I243"/>
  <c r="J238"/>
  <c r="G238" i="3" s="1"/>
  <c r="I27" i="1"/>
  <c r="I250"/>
  <c r="F250" i="3" s="1"/>
  <c r="J143" i="1"/>
  <c r="G140" i="3" s="1"/>
  <c r="J114" i="1"/>
  <c r="I281"/>
  <c r="F2" i="3" s="1"/>
  <c r="H251" i="1"/>
  <c r="H39"/>
  <c r="E244" i="3" s="1"/>
  <c r="I279" i="1"/>
  <c r="F279" i="3" s="1"/>
  <c r="I101" i="1"/>
  <c r="F182" i="3" s="1"/>
  <c r="I249" i="1"/>
  <c r="I40"/>
  <c r="F243" i="3" s="1"/>
  <c r="I62" i="1"/>
  <c r="F221" i="3" s="1"/>
  <c r="I180" i="1"/>
  <c r="J129"/>
  <c r="G229" i="3" s="1"/>
  <c r="J140" i="1"/>
  <c r="I232"/>
  <c r="F232" i="3" s="1"/>
  <c r="H71" i="1"/>
  <c r="E71" i="3" s="1"/>
  <c r="J228" i="1"/>
  <c r="I117"/>
  <c r="F117" i="3" s="1"/>
  <c r="I36" i="1"/>
  <c r="F247" i="3" s="1"/>
  <c r="I67" i="1"/>
  <c r="F67" i="3" s="1"/>
  <c r="I260" i="1"/>
  <c r="F260" i="3" s="1"/>
  <c r="J31" i="1"/>
  <c r="I64"/>
  <c r="F219" i="3" s="1"/>
  <c r="I114" i="1"/>
  <c r="F169" i="3" s="1"/>
  <c r="I3" i="1"/>
  <c r="F3" i="3" s="1"/>
  <c r="H203" i="1"/>
  <c r="J130"/>
  <c r="I60"/>
  <c r="F223" i="3" s="1"/>
  <c r="I209" i="1"/>
  <c r="F43" i="3" s="1"/>
  <c r="I195" i="1"/>
  <c r="F195" i="3" s="1"/>
  <c r="A8" i="2"/>
  <c r="B7"/>
  <c r="H120" i="3" l="1"/>
  <c r="H146"/>
  <c r="H10"/>
  <c r="H260"/>
  <c r="G199"/>
  <c r="G84"/>
  <c r="H235"/>
  <c r="H195"/>
  <c r="H37"/>
  <c r="H274"/>
  <c r="F36"/>
  <c r="H60"/>
  <c r="H250"/>
  <c r="H126"/>
  <c r="F114"/>
  <c r="H177"/>
  <c r="H132"/>
  <c r="H90"/>
  <c r="H263"/>
  <c r="E101"/>
  <c r="E182"/>
  <c r="H214"/>
  <c r="H145"/>
  <c r="E32"/>
  <c r="E251"/>
  <c r="H189"/>
  <c r="H232"/>
  <c r="H167"/>
  <c r="H72"/>
  <c r="H276"/>
  <c r="H41"/>
  <c r="F152"/>
  <c r="G128"/>
  <c r="F256"/>
  <c r="F27"/>
  <c r="F34"/>
  <c r="F249"/>
  <c r="H205"/>
  <c r="H269"/>
  <c r="F276"/>
  <c r="H6"/>
  <c r="H156"/>
  <c r="H17"/>
  <c r="G250"/>
  <c r="G143"/>
  <c r="F60"/>
  <c r="E190"/>
  <c r="F236"/>
  <c r="G144"/>
  <c r="F89"/>
  <c r="F281"/>
  <c r="F252"/>
  <c r="F6"/>
  <c r="F156"/>
  <c r="E239"/>
  <c r="E121"/>
  <c r="F234"/>
  <c r="F49"/>
  <c r="F198"/>
  <c r="F85"/>
  <c r="H36"/>
  <c r="F99"/>
  <c r="H113"/>
  <c r="F225"/>
  <c r="H240"/>
  <c r="H102"/>
  <c r="F61"/>
  <c r="F95"/>
  <c r="H73"/>
  <c r="H264"/>
  <c r="H182"/>
  <c r="H8"/>
  <c r="H2"/>
  <c r="H9"/>
  <c r="H172"/>
  <c r="H63"/>
  <c r="H204"/>
  <c r="H100"/>
  <c r="H53"/>
  <c r="E14"/>
  <c r="E80"/>
  <c r="H228"/>
  <c r="H129"/>
  <c r="H253"/>
  <c r="H219"/>
  <c r="H163"/>
  <c r="H243"/>
  <c r="F13"/>
  <c r="F75"/>
  <c r="H261"/>
  <c r="H152"/>
  <c r="H7"/>
  <c r="H51"/>
  <c r="F184"/>
  <c r="H151"/>
  <c r="H215"/>
  <c r="H88"/>
  <c r="H38"/>
  <c r="H34"/>
  <c r="H217"/>
  <c r="H94"/>
  <c r="H224"/>
  <c r="H86"/>
  <c r="H29"/>
  <c r="H254"/>
  <c r="F231"/>
  <c r="F77"/>
  <c r="H197"/>
  <c r="H265"/>
  <c r="F280"/>
  <c r="F216"/>
  <c r="H97"/>
  <c r="H249"/>
  <c r="H277"/>
  <c r="H281"/>
  <c r="H148"/>
  <c r="H185"/>
  <c r="F29"/>
  <c r="F254"/>
  <c r="H45"/>
  <c r="H209"/>
  <c r="H256"/>
  <c r="H225"/>
  <c r="H31"/>
  <c r="H198"/>
  <c r="F136"/>
  <c r="F266"/>
  <c r="H56"/>
  <c r="H184"/>
  <c r="J18" i="1"/>
  <c r="AA18" s="1"/>
  <c r="H74" i="3"/>
  <c r="J242" i="1"/>
  <c r="G187" i="3" s="1"/>
  <c r="H33"/>
  <c r="H4"/>
  <c r="H25"/>
  <c r="G242"/>
  <c r="H181"/>
  <c r="H121"/>
  <c r="E92"/>
  <c r="E212"/>
  <c r="H211"/>
  <c r="H223"/>
  <c r="F166"/>
  <c r="F206"/>
  <c r="F100"/>
  <c r="F53"/>
  <c r="H3"/>
  <c r="H87"/>
  <c r="E56"/>
  <c r="E184"/>
  <c r="H98"/>
  <c r="H175"/>
  <c r="E166"/>
  <c r="E206"/>
  <c r="F14"/>
  <c r="F80"/>
  <c r="H16"/>
  <c r="H247"/>
  <c r="F224"/>
  <c r="F86"/>
  <c r="H71"/>
  <c r="H164"/>
  <c r="H19"/>
  <c r="F107"/>
  <c r="F101"/>
  <c r="H103"/>
  <c r="H58"/>
  <c r="E100"/>
  <c r="E53"/>
  <c r="G273"/>
  <c r="G22"/>
  <c r="H23"/>
  <c r="H127"/>
  <c r="G66"/>
  <c r="AA22" i="1"/>
  <c r="G279" i="3"/>
  <c r="G268"/>
  <c r="F162"/>
  <c r="H106"/>
  <c r="H280"/>
  <c r="H216"/>
  <c r="F191"/>
  <c r="F131"/>
  <c r="H76"/>
  <c r="H241"/>
  <c r="F148"/>
  <c r="F185"/>
  <c r="F235"/>
  <c r="F88"/>
  <c r="F189"/>
  <c r="F51"/>
  <c r="H21"/>
  <c r="H221"/>
  <c r="H138"/>
  <c r="H271"/>
  <c r="H196"/>
  <c r="H255"/>
  <c r="H107"/>
  <c r="H101"/>
  <c r="H131"/>
  <c r="G113"/>
  <c r="G270"/>
  <c r="H18"/>
  <c r="J250" i="1"/>
  <c r="H70" i="3"/>
  <c r="G194"/>
  <c r="F212"/>
  <c r="G169"/>
  <c r="H194"/>
  <c r="H20"/>
  <c r="H242"/>
  <c r="J222" i="5"/>
  <c r="AA222" s="1"/>
  <c r="J166"/>
  <c r="AA166" s="1"/>
  <c r="J115"/>
  <c r="AA115" s="1"/>
  <c r="J197"/>
  <c r="AA197" s="1"/>
  <c r="J43"/>
  <c r="AA43" s="1"/>
  <c r="J207"/>
  <c r="AA207" s="1"/>
  <c r="J212"/>
  <c r="AA212" s="1"/>
  <c r="J3"/>
  <c r="AA3" s="1"/>
  <c r="J157"/>
  <c r="AA157" s="1"/>
  <c r="J155"/>
  <c r="AA155" s="1"/>
  <c r="J169"/>
  <c r="AA169" s="1"/>
  <c r="J105"/>
  <c r="AA105" s="1"/>
  <c r="AA192"/>
  <c r="J75"/>
  <c r="AA75" s="1"/>
  <c r="J136"/>
  <c r="AA136" s="1"/>
  <c r="J84"/>
  <c r="AA84" s="1"/>
  <c r="J213"/>
  <c r="AA213" s="1"/>
  <c r="J114"/>
  <c r="AA114" s="1"/>
  <c r="J21"/>
  <c r="AA21" s="1"/>
  <c r="J182"/>
  <c r="AA182" s="1"/>
  <c r="J239"/>
  <c r="AA239" s="1"/>
  <c r="J274"/>
  <c r="AA274" s="1"/>
  <c r="J38"/>
  <c r="AA38" s="1"/>
  <c r="J151"/>
  <c r="AA151" s="1"/>
  <c r="J195"/>
  <c r="AA195" s="1"/>
  <c r="J264"/>
  <c r="AA264" s="1"/>
  <c r="J268"/>
  <c r="AA268" s="1"/>
  <c r="J229"/>
  <c r="AA229" s="1"/>
  <c r="J29"/>
  <c r="AA29" s="1"/>
  <c r="J265"/>
  <c r="AA265" s="1"/>
  <c r="J143"/>
  <c r="AA143" s="1"/>
  <c r="J221"/>
  <c r="AA221" s="1"/>
  <c r="J33"/>
  <c r="AA33" s="1"/>
  <c r="J257"/>
  <c r="AA257" s="1"/>
  <c r="J163"/>
  <c r="AA163" s="1"/>
  <c r="J26"/>
  <c r="AA26" s="1"/>
  <c r="J147"/>
  <c r="AA147" s="1"/>
  <c r="J19"/>
  <c r="AA19" s="1"/>
  <c r="J230"/>
  <c r="AA230" s="1"/>
  <c r="J72"/>
  <c r="AA72" s="1"/>
  <c r="J62"/>
  <c r="AA62" s="1"/>
  <c r="J167"/>
  <c r="AA167" s="1"/>
  <c r="J200"/>
  <c r="AA200" s="1"/>
  <c r="J6"/>
  <c r="AA6" s="1"/>
  <c r="J242"/>
  <c r="AA242" s="1"/>
  <c r="J135"/>
  <c r="AA135" s="1"/>
  <c r="J179"/>
  <c r="AA179" s="1"/>
  <c r="J127"/>
  <c r="AA127" s="1"/>
  <c r="J262"/>
  <c r="AA262" s="1"/>
  <c r="AA260"/>
  <c r="J30"/>
  <c r="AA30" s="1"/>
  <c r="N3" i="3"/>
  <c r="N4" s="1"/>
  <c r="J121" i="1"/>
  <c r="J263"/>
  <c r="J213"/>
  <c r="AA213" s="1"/>
  <c r="J197"/>
  <c r="AA223"/>
  <c r="AA15"/>
  <c r="J154"/>
  <c r="J195"/>
  <c r="F220" i="3"/>
  <c r="F10"/>
  <c r="K17" i="1"/>
  <c r="J17"/>
  <c r="E59" i="3"/>
  <c r="F5"/>
  <c r="AA178" i="1"/>
  <c r="AA120"/>
  <c r="E107" i="3"/>
  <c r="F253"/>
  <c r="F74"/>
  <c r="G48"/>
  <c r="AA238" i="1"/>
  <c r="F133" i="3"/>
  <c r="G88"/>
  <c r="AA157" i="1"/>
  <c r="AA204"/>
  <c r="AA4"/>
  <c r="AA31"/>
  <c r="AA140"/>
  <c r="J93"/>
  <c r="AA136"/>
  <c r="F41" i="3"/>
  <c r="G222"/>
  <c r="AA211" i="1"/>
  <c r="F37" i="3"/>
  <c r="F64"/>
  <c r="AA114" i="1"/>
  <c r="F103" i="3"/>
  <c r="G11"/>
  <c r="AA86" i="1"/>
  <c r="AA228"/>
  <c r="F245" i="3"/>
  <c r="AA250" i="1"/>
  <c r="G83" i="3"/>
  <c r="AA144" i="1"/>
  <c r="F33" i="3"/>
  <c r="G201"/>
  <c r="AA143" i="1"/>
  <c r="F115" i="3"/>
  <c r="AA148" i="1"/>
  <c r="F25" i="3"/>
  <c r="AA255" i="1"/>
  <c r="E180" i="3"/>
  <c r="F40"/>
  <c r="AA217" i="1"/>
  <c r="AA59"/>
  <c r="AA13"/>
  <c r="AA231"/>
  <c r="J99"/>
  <c r="G99" i="3" s="1"/>
  <c r="AA129" i="1"/>
  <c r="F31" i="3"/>
  <c r="F262"/>
  <c r="AA167" i="1"/>
  <c r="F163" i="3"/>
  <c r="G104"/>
  <c r="AA130" i="1"/>
  <c r="F16" i="3"/>
  <c r="F21"/>
  <c r="F4"/>
  <c r="AA187" i="1"/>
  <c r="G125" i="3"/>
  <c r="AA56" i="1"/>
  <c r="F193" i="3"/>
  <c r="AA172" i="1"/>
  <c r="J19"/>
  <c r="AA195"/>
  <c r="J6"/>
  <c r="E147" i="3"/>
  <c r="AA169" i="1"/>
  <c r="F70" i="3"/>
  <c r="G26"/>
  <c r="AA75" i="1"/>
  <c r="F158" i="3"/>
  <c r="AA11" i="1"/>
  <c r="F273" i="3"/>
  <c r="AA261" i="1"/>
  <c r="F215" i="3"/>
  <c r="G35"/>
  <c r="AA100" i="1"/>
  <c r="F211" i="3"/>
  <c r="F32"/>
  <c r="F8"/>
  <c r="AA84" i="1"/>
  <c r="F261" i="3"/>
  <c r="E78"/>
  <c r="G210"/>
  <c r="AA128" i="1"/>
  <c r="AA52"/>
  <c r="K236"/>
  <c r="H236" i="3" s="1"/>
  <c r="J236" i="1"/>
  <c r="J60"/>
  <c r="J24"/>
  <c r="AA183"/>
  <c r="AA121"/>
  <c r="AA205"/>
  <c r="R46"/>
  <c r="K46" s="1"/>
  <c r="R65"/>
  <c r="K65" s="1"/>
  <c r="J146"/>
  <c r="J189"/>
  <c r="G94" i="3" s="1"/>
  <c r="J131" i="1"/>
  <c r="J252"/>
  <c r="G252" i="3" s="1"/>
  <c r="J40" i="1"/>
  <c r="J74"/>
  <c r="J89"/>
  <c r="G215" i="3" s="1"/>
  <c r="J41" i="1"/>
  <c r="J72"/>
  <c r="G72" i="3" s="1"/>
  <c r="K206" i="1"/>
  <c r="J206"/>
  <c r="J132"/>
  <c r="G132" i="3" s="1"/>
  <c r="R190" i="1"/>
  <c r="K190" s="1"/>
  <c r="H190" i="3" s="1"/>
  <c r="R191" i="1"/>
  <c r="K191" s="1"/>
  <c r="H52" i="3" s="1"/>
  <c r="J102" i="1"/>
  <c r="J265"/>
  <c r="I190"/>
  <c r="F190" i="3" s="1"/>
  <c r="I191" i="1"/>
  <c r="F92" i="3" s="1"/>
  <c r="J126" i="1"/>
  <c r="G157" i="3" s="1"/>
  <c r="J269" i="1"/>
  <c r="G269" i="3" s="1"/>
  <c r="J3" i="1"/>
  <c r="G262" i="3" s="1"/>
  <c r="J36" i="1"/>
  <c r="J42"/>
  <c r="G241" i="3" s="1"/>
  <c r="J98" i="1"/>
  <c r="J181"/>
  <c r="G102" i="3" s="1"/>
  <c r="J196" i="1"/>
  <c r="G87" i="3" s="1"/>
  <c r="J182" i="1"/>
  <c r="J26"/>
  <c r="J230"/>
  <c r="G230" i="3" s="1"/>
  <c r="R39" i="1"/>
  <c r="K39" s="1"/>
  <c r="H59" i="3" s="1"/>
  <c r="R71" i="1"/>
  <c r="K71" s="1"/>
  <c r="R77"/>
  <c r="K77" s="1"/>
  <c r="J258"/>
  <c r="G258" i="3" s="1"/>
  <c r="J156" i="1"/>
  <c r="G156" i="3" s="1"/>
  <c r="J264" i="1"/>
  <c r="G133" i="3" s="1"/>
  <c r="J12" i="1"/>
  <c r="J162"/>
  <c r="G121" i="3" s="1"/>
  <c r="J180" i="1"/>
  <c r="J68"/>
  <c r="G68" i="3" s="1"/>
  <c r="J194" i="1"/>
  <c r="J27"/>
  <c r="J184"/>
  <c r="J145"/>
  <c r="G145" i="3" s="1"/>
  <c r="J244" i="1"/>
  <c r="J85"/>
  <c r="G85" i="3" s="1"/>
  <c r="J279" i="1"/>
  <c r="G74" i="3" s="1"/>
  <c r="J275" i="1"/>
  <c r="J67"/>
  <c r="G216" i="3" s="1"/>
  <c r="J207" i="1"/>
  <c r="G207" i="3" s="1"/>
  <c r="I39" i="1"/>
  <c r="F39" i="3" s="1"/>
  <c r="J34" i="1"/>
  <c r="G249" i="3" s="1"/>
  <c r="J245" i="1"/>
  <c r="G38" i="3" s="1"/>
  <c r="J119" i="1"/>
  <c r="J70"/>
  <c r="J47"/>
  <c r="J177"/>
  <c r="G106" i="3" s="1"/>
  <c r="J225" i="1"/>
  <c r="R233"/>
  <c r="K233" s="1"/>
  <c r="R188"/>
  <c r="K188" s="1"/>
  <c r="H188" i="3" s="1"/>
  <c r="R92" i="1"/>
  <c r="K92" s="1"/>
  <c r="H78" i="3" s="1"/>
  <c r="R259" i="1"/>
  <c r="K259" s="1"/>
  <c r="H259" i="3" s="1"/>
  <c r="R124" i="1"/>
  <c r="K124" s="1"/>
  <c r="H124" i="3" s="1"/>
  <c r="J62" i="1"/>
  <c r="G62" i="3" s="1"/>
  <c r="J113" i="1"/>
  <c r="G41" i="3" s="1"/>
  <c r="J274" i="1"/>
  <c r="J111"/>
  <c r="J58"/>
  <c r="J79"/>
  <c r="G204" i="3" s="1"/>
  <c r="J28" i="1"/>
  <c r="G255" i="3" s="1"/>
  <c r="R251" i="1"/>
  <c r="K251" s="1"/>
  <c r="R105"/>
  <c r="K105" s="1"/>
  <c r="H105" i="3" s="1"/>
  <c r="R49" i="1"/>
  <c r="K49" s="1"/>
  <c r="H49" i="3" s="1"/>
  <c r="I251" i="1"/>
  <c r="J243"/>
  <c r="G5" i="3" s="1"/>
  <c r="J254" i="1"/>
  <c r="I233"/>
  <c r="J232"/>
  <c r="J249"/>
  <c r="G158" i="3" s="1"/>
  <c r="J209" i="1"/>
  <c r="G43" i="3" s="1"/>
  <c r="J260" i="1"/>
  <c r="J117"/>
  <c r="G33" i="3" s="1"/>
  <c r="J101" i="1"/>
  <c r="J220"/>
  <c r="I259"/>
  <c r="I124"/>
  <c r="R208"/>
  <c r="K208" s="1"/>
  <c r="H208" i="3" s="1"/>
  <c r="R203" i="1"/>
  <c r="K203" s="1"/>
  <c r="J108"/>
  <c r="G175" i="3" s="1"/>
  <c r="I105" i="1"/>
  <c r="F178" i="3" s="1"/>
  <c r="J64" i="1"/>
  <c r="J281"/>
  <c r="J2"/>
  <c r="J29"/>
  <c r="J219"/>
  <c r="G36" i="3" s="1"/>
  <c r="J276" i="1"/>
  <c r="J152"/>
  <c r="A9" i="2"/>
  <c r="B8"/>
  <c r="G70" i="3" l="1"/>
  <c r="G27"/>
  <c r="G137"/>
  <c r="G146"/>
  <c r="H275"/>
  <c r="H233"/>
  <c r="F24"/>
  <c r="F259"/>
  <c r="F159"/>
  <c r="F124"/>
  <c r="G189"/>
  <c r="G232"/>
  <c r="G164"/>
  <c r="G119"/>
  <c r="G235"/>
  <c r="G195"/>
  <c r="G264"/>
  <c r="G190"/>
  <c r="G254"/>
  <c r="AA264" i="1"/>
  <c r="G117" i="3"/>
  <c r="G37"/>
  <c r="G274"/>
  <c r="H147"/>
  <c r="H251"/>
  <c r="G90"/>
  <c r="G263"/>
  <c r="G181"/>
  <c r="G281"/>
  <c r="G209"/>
  <c r="G67"/>
  <c r="G34"/>
  <c r="G79"/>
  <c r="F147"/>
  <c r="F251"/>
  <c r="G172"/>
  <c r="G111"/>
  <c r="F50"/>
  <c r="F233"/>
  <c r="G39"/>
  <c r="G276"/>
  <c r="H220"/>
  <c r="H46"/>
  <c r="F105"/>
  <c r="G126"/>
  <c r="G236"/>
  <c r="G271"/>
  <c r="G12"/>
  <c r="G10"/>
  <c r="G260"/>
  <c r="H40"/>
  <c r="H65"/>
  <c r="G225"/>
  <c r="G131"/>
  <c r="G89"/>
  <c r="G18"/>
  <c r="G42"/>
  <c r="G28"/>
  <c r="G245"/>
  <c r="H39"/>
  <c r="G31"/>
  <c r="G198"/>
  <c r="G100"/>
  <c r="G53"/>
  <c r="H13"/>
  <c r="H75"/>
  <c r="H109"/>
  <c r="H159"/>
  <c r="G16"/>
  <c r="G247"/>
  <c r="H14"/>
  <c r="H80"/>
  <c r="H203"/>
  <c r="H178"/>
  <c r="G21"/>
  <c r="G221"/>
  <c r="H92"/>
  <c r="H212"/>
  <c r="H193"/>
  <c r="H47"/>
  <c r="G56"/>
  <c r="G184"/>
  <c r="H136"/>
  <c r="H266"/>
  <c r="G32"/>
  <c r="J191" i="1"/>
  <c r="G52" i="3" s="1"/>
  <c r="H32"/>
  <c r="AA263" i="1"/>
  <c r="H108" i="3"/>
  <c r="H24"/>
  <c r="H166"/>
  <c r="H206"/>
  <c r="G224"/>
  <c r="G86"/>
  <c r="G103"/>
  <c r="G58"/>
  <c r="F180"/>
  <c r="F93"/>
  <c r="G211"/>
  <c r="G223"/>
  <c r="G261"/>
  <c r="G152"/>
  <c r="G64"/>
  <c r="G51"/>
  <c r="AA197" i="1"/>
  <c r="H191" i="3"/>
  <c r="G7"/>
  <c r="H50"/>
  <c r="H115"/>
  <c r="H234"/>
  <c r="G148"/>
  <c r="G185"/>
  <c r="G193"/>
  <c r="G47"/>
  <c r="G136"/>
  <c r="G266"/>
  <c r="H231"/>
  <c r="H77"/>
  <c r="G107"/>
  <c r="G101"/>
  <c r="G228"/>
  <c r="G129"/>
  <c r="G197"/>
  <c r="G265"/>
  <c r="H237"/>
  <c r="G20"/>
  <c r="G25"/>
  <c r="G4"/>
  <c r="AA85" i="1"/>
  <c r="AA242"/>
  <c r="G253" i="3"/>
  <c r="G219"/>
  <c r="G182"/>
  <c r="F59"/>
  <c r="F244"/>
  <c r="G8"/>
  <c r="G2"/>
  <c r="H61"/>
  <c r="H95"/>
  <c r="H180"/>
  <c r="H93"/>
  <c r="G163"/>
  <c r="G243"/>
  <c r="G239"/>
  <c r="G162"/>
  <c r="G170"/>
  <c r="H244"/>
  <c r="H218"/>
  <c r="O3"/>
  <c r="O4" s="1"/>
  <c r="AA236" i="1"/>
  <c r="AA230"/>
  <c r="AA182"/>
  <c r="AA64"/>
  <c r="AA260"/>
  <c r="AA98"/>
  <c r="AA154"/>
  <c r="G55" i="3"/>
  <c r="AA243" i="1"/>
  <c r="AA113"/>
  <c r="G161" i="3"/>
  <c r="AA102" i="1"/>
  <c r="AA24"/>
  <c r="G114" i="3"/>
  <c r="AA6" i="1"/>
  <c r="G19" i="3"/>
  <c r="AA47" i="1"/>
  <c r="G153" i="3"/>
  <c r="AA275" i="1"/>
  <c r="G23" i="3"/>
  <c r="AA68" i="1"/>
  <c r="G76" i="3"/>
  <c r="AA42" i="1"/>
  <c r="G257" i="3"/>
  <c r="AA265" i="1"/>
  <c r="G167" i="3"/>
  <c r="AA72" i="1"/>
  <c r="G120" i="3"/>
  <c r="AA146" i="1"/>
  <c r="G191" i="3"/>
  <c r="AA152" i="1"/>
  <c r="G98" i="3"/>
  <c r="AA108" i="1"/>
  <c r="G151" i="3"/>
  <c r="AA177" i="1"/>
  <c r="G280" i="3"/>
  <c r="AA67" i="1"/>
  <c r="G15" i="3"/>
  <c r="AA194" i="1"/>
  <c r="G217" i="3"/>
  <c r="AA189" i="1"/>
  <c r="AA180"/>
  <c r="AA27"/>
  <c r="AA274"/>
  <c r="AA219"/>
  <c r="AA232"/>
  <c r="AA281"/>
  <c r="AA89"/>
  <c r="AA36"/>
  <c r="AA3"/>
  <c r="AA17"/>
  <c r="AA276"/>
  <c r="G240" i="3"/>
  <c r="AA181" i="1"/>
  <c r="G231" i="3"/>
  <c r="AA206" i="1"/>
  <c r="G6" i="3"/>
  <c r="AA156" i="1"/>
  <c r="G177" i="3"/>
  <c r="AA132" i="1"/>
  <c r="G272" i="3"/>
  <c r="AA254" i="1"/>
  <c r="G256" i="3"/>
  <c r="AA58" i="1"/>
  <c r="G97" i="3"/>
  <c r="AA34" i="1"/>
  <c r="G214" i="3"/>
  <c r="AA145" i="1"/>
  <c r="G267" i="3"/>
  <c r="AA126" i="1"/>
  <c r="G154" i="3"/>
  <c r="AA93" i="1"/>
  <c r="AA209"/>
  <c r="AA279"/>
  <c r="G9" i="3"/>
  <c r="AA111" i="1"/>
  <c r="G3" i="3"/>
  <c r="AA196" i="1"/>
  <c r="G127" i="3"/>
  <c r="AA252" i="1"/>
  <c r="G277" i="3"/>
  <c r="AA2" i="1"/>
  <c r="F108" i="3"/>
  <c r="F275"/>
  <c r="G63"/>
  <c r="AA79" i="1"/>
  <c r="G17" i="3"/>
  <c r="AA245" i="1"/>
  <c r="AA244"/>
  <c r="G138" i="3"/>
  <c r="AA12" i="1"/>
  <c r="G69" i="3"/>
  <c r="AA26" i="1"/>
  <c r="G205" i="3"/>
  <c r="AA269" i="1"/>
  <c r="G45" i="3"/>
  <c r="AA74" i="1"/>
  <c r="G73" i="3"/>
  <c r="AA19" i="1"/>
  <c r="AA225"/>
  <c r="AA131"/>
  <c r="AA60"/>
  <c r="AA220"/>
  <c r="AA40"/>
  <c r="AA101"/>
  <c r="AA184"/>
  <c r="AA117"/>
  <c r="G60" i="3"/>
  <c r="AA70" i="1"/>
  <c r="G183" i="3"/>
  <c r="AA41" i="1"/>
  <c r="F203" i="3"/>
  <c r="AA207" i="1"/>
  <c r="G213" i="3"/>
  <c r="AA258" i="1"/>
  <c r="F52" i="3"/>
  <c r="AA191" i="1"/>
  <c r="G29" i="3"/>
  <c r="AA29" i="1"/>
  <c r="F109" i="3"/>
  <c r="G196"/>
  <c r="AA28" i="1"/>
  <c r="AA119"/>
  <c r="G50" i="3"/>
  <c r="AA162" i="1"/>
  <c r="AA249"/>
  <c r="AA62"/>
  <c r="AA99"/>
  <c r="J233"/>
  <c r="J65"/>
  <c r="J77"/>
  <c r="G206" i="3" s="1"/>
  <c r="J190" i="1"/>
  <c r="J46"/>
  <c r="J39"/>
  <c r="G59" i="3" s="1"/>
  <c r="J188" i="1"/>
  <c r="J105"/>
  <c r="G105" i="3" s="1"/>
  <c r="J71" i="1"/>
  <c r="G212" i="3" s="1"/>
  <c r="J208" i="1"/>
  <c r="J49"/>
  <c r="J92"/>
  <c r="J259"/>
  <c r="G259" i="3" s="1"/>
  <c r="J251" i="1"/>
  <c r="J203"/>
  <c r="G80" i="3" s="1"/>
  <c r="J124" i="1"/>
  <c r="G124" i="3" s="1"/>
  <c r="A10" i="2"/>
  <c r="B9"/>
  <c r="G75" i="3" l="1"/>
  <c r="G208"/>
  <c r="G218"/>
  <c r="G65"/>
  <c r="G71"/>
  <c r="R3"/>
  <c r="R4" s="1"/>
  <c r="G234"/>
  <c r="G49"/>
  <c r="G237"/>
  <c r="G46"/>
  <c r="P3"/>
  <c r="P4" s="1"/>
  <c r="G275"/>
  <c r="G233"/>
  <c r="G77"/>
  <c r="G147"/>
  <c r="G251"/>
  <c r="G95"/>
  <c r="G188"/>
  <c r="G180"/>
  <c r="G93"/>
  <c r="G203"/>
  <c r="G178"/>
  <c r="G244"/>
  <c r="G108"/>
  <c r="G24"/>
  <c r="G109"/>
  <c r="G159"/>
  <c r="AA190" i="1"/>
  <c r="AA259"/>
  <c r="G92" i="3"/>
  <c r="AA71" i="1"/>
  <c r="G166" i="3"/>
  <c r="AA77" i="1"/>
  <c r="G78" i="3"/>
  <c r="AA92" i="1"/>
  <c r="G220" i="3"/>
  <c r="AA46" i="1"/>
  <c r="AA105"/>
  <c r="AA39"/>
  <c r="AA233"/>
  <c r="G14" i="3"/>
  <c r="AA203" i="1"/>
  <c r="G61" i="3"/>
  <c r="AA188" i="1"/>
  <c r="G13" i="3"/>
  <c r="AA208" i="1"/>
  <c r="G40" i="3"/>
  <c r="AA65" i="1"/>
  <c r="G115" i="3"/>
  <c r="AA49" i="1"/>
  <c r="AA124"/>
  <c r="AA251"/>
  <c r="A11" i="2"/>
  <c r="B10"/>
  <c r="Q3" i="3" l="1"/>
  <c r="Q4" s="1"/>
  <c r="A12" i="2"/>
  <c r="B11"/>
  <c r="A13" l="1"/>
  <c r="B12"/>
  <c r="A14" l="1"/>
  <c r="B13"/>
  <c r="A15" l="1"/>
  <c r="B14"/>
  <c r="A16" l="1"/>
  <c r="B15"/>
  <c r="A17" l="1"/>
  <c r="B16"/>
  <c r="A18" l="1"/>
  <c r="B17"/>
  <c r="A19" l="1"/>
  <c r="B18"/>
  <c r="A20" l="1"/>
  <c r="B19"/>
  <c r="A21" l="1"/>
  <c r="B20"/>
  <c r="A22" l="1"/>
  <c r="B21"/>
  <c r="A23" l="1"/>
  <c r="B22"/>
  <c r="A24" l="1"/>
  <c r="B23"/>
  <c r="A25" l="1"/>
  <c r="B24"/>
  <c r="A26" l="1"/>
  <c r="B25"/>
  <c r="A27" l="1"/>
  <c r="B26"/>
  <c r="A28" l="1"/>
  <c r="B27"/>
  <c r="A29" l="1"/>
  <c r="B28"/>
  <c r="A30" l="1"/>
  <c r="B29"/>
  <c r="A31" l="1"/>
  <c r="B30"/>
  <c r="A32" l="1"/>
  <c r="A33" s="1"/>
  <c r="A34" s="1"/>
  <c r="A35" s="1"/>
  <c r="A36" s="1"/>
  <c r="A37" s="1"/>
  <c r="A38" s="1"/>
  <c r="A39" s="1"/>
  <c r="A40" s="1"/>
  <c r="A41" s="1"/>
  <c r="B31"/>
  <c r="B32" l="1"/>
  <c r="E9" s="1"/>
</calcChain>
</file>

<file path=xl/sharedStrings.xml><?xml version="1.0" encoding="utf-8"?>
<sst xmlns="http://schemas.openxmlformats.org/spreadsheetml/2006/main" count="928" uniqueCount="888">
  <si>
    <t>min score</t>
  </si>
  <si>
    <t>max score</t>
  </si>
  <si>
    <t>number of score intervals from 0</t>
  </si>
  <si>
    <t>number of games</t>
  </si>
  <si>
    <t>score interval</t>
  </si>
  <si>
    <t>total games counted here</t>
  </si>
  <si>
    <t>total games on other sheet</t>
  </si>
  <si>
    <t>Score: 397 ** -3, -8, 43, 4, 14, 31, 47, 45</t>
  </si>
  <si>
    <t>Score: 1709 ** -3, -8, 43, 4, 14, 31, 47, 45</t>
  </si>
  <si>
    <t>Score: 8351 ** -3, -8, 43, 4, 14, 31, 47, 45</t>
  </si>
  <si>
    <t>Score: 5697 ** -3, -8, 43, 4, 14, 31, 47, 45</t>
  </si>
  <si>
    <t>Score: 3977 ** -3, -8, 43, 4, 14, 31, 47, 45</t>
  </si>
  <si>
    <t>Score: 1890 ** -3, -8, 43, 4, 14, 31, 47, 45</t>
  </si>
  <si>
    <t>Score: 14556 ** -3, -8, 43, 4, 14, 31, 47, 45</t>
  </si>
  <si>
    <t>Score: 4493 ** -3, -8, 43, 4, 14, 31, 47, 45</t>
  </si>
  <si>
    <t>Score: 22762 ** -3, -8, 43, 4, 14, 31, 47, 45</t>
  </si>
  <si>
    <t>Score: 12927 ** -3, -8, 43, 4, 14, 31, 47, 45</t>
  </si>
  <si>
    <t>Score: 10760 ** -3, -8, 43, 4, 14, 31, 47, 45</t>
  </si>
  <si>
    <t>Score: 12730 ** -3, -8, 43, 4, 14, 31, 47, 45</t>
  </si>
  <si>
    <t>Score: 8822 ** -3, -8, 43, 4, 14, 31, 47, 45</t>
  </si>
  <si>
    <t>Score: 15678 ** -3, -8, 43, 4, 14, 31, 47, 45</t>
  </si>
  <si>
    <t>Score: 14126 ** -3, -8, 43, 4, 14, 31, 47, 45</t>
  </si>
  <si>
    <t>Score: 19874 ** -3, -8, 43, 4, 14, 31, 47, 45</t>
  </si>
  <si>
    <t>Score: 19748 ** -3, -8, 43, 4, 14, 31, 47, 45</t>
  </si>
  <si>
    <t>Score: 56810 ** -3, -8, 43, 4, 14, 31, 47, 45</t>
  </si>
  <si>
    <t>Score: 30313 ** -3, -8, 43, 4, 14, 31, 47, 45</t>
  </si>
  <si>
    <t>Score: 28304 ** -3, -8, 43, 4, 14, 31, 47, 45</t>
  </si>
  <si>
    <t>Score: 34821 ** -3, -8, 43, 4, 14, 31, 47, 45</t>
  </si>
  <si>
    <t>Score: 34247 ** -3, -8, 43, 4, 14, 31, 47, 45</t>
  </si>
  <si>
    <t>Score: 39169 ** -3, -8, 43, 4, 14, 31, 47, 45</t>
  </si>
  <si>
    <t>Score: 40416 ** -3, -8, 43, 4, 14, 31, 47, 45</t>
  </si>
  <si>
    <t>Score: 94564 ** -3, -8, 43, 4, 14, 31, 47, 45</t>
  </si>
  <si>
    <t>Score: 95447 ** -3, -8, 43, 4, 14, 31, 47, 45</t>
  </si>
  <si>
    <t>Score: 50525 ** -3, -8, 43, 4, 14, 31, 47, 45</t>
  </si>
  <si>
    <t>Score: 101616 ** -3, -8, 43, 4, 14, 31, 47, 45</t>
  </si>
  <si>
    <t>Score: 60295 ** -3, -8, 43, 4, 14, 31, 47, 45</t>
  </si>
  <si>
    <t>Score: 107488 ** -3, -8, 43, 4, 14, 31, 47, 45</t>
  </si>
  <si>
    <t>Score: 55353 ** -3, -8, 43, 4, 14, 31, 47, 45</t>
  </si>
  <si>
    <t>Score: 62164 ** -3, -8, 43, 4, 14, 31, 47, 45</t>
  </si>
  <si>
    <t>Score: 117644 ** -3, -8, 43, 4, 14, 31, 47, 45</t>
  </si>
  <si>
    <t>Score: 56876 ** -3, -8, 43, 4, 14, 31, 47, 45</t>
  </si>
  <si>
    <t>Score: 62503 ** -3, -8, 43, 4, 14, 31, 47, 45</t>
  </si>
  <si>
    <t>Score: 72535 ** -3, -8, 43, 4, 14, 31, 47, 45</t>
  </si>
  <si>
    <t>Score: 127713 ** -3, -8, 43, 4, 14, 31, 47, 45</t>
  </si>
  <si>
    <t>Score: 64601 ** -3, -8, 43, 4, 14, 31, 47, 45</t>
  </si>
  <si>
    <t>Score: 72247 ** -3, -8, 43, 4, 14, 31, 47, 45</t>
  </si>
  <si>
    <t>Score: 65256 ** -3, -8, 43, 4, 14, 31, 47, 45</t>
  </si>
  <si>
    <t>Score: 70749 ** -3, -8, 43, 4, 14, 31, 47, 45</t>
  </si>
  <si>
    <t>Score: 70872 ** -3, -8, 43, 4, 14, 31, 47, 45</t>
  </si>
  <si>
    <t>Score: 77245 ** -3, -8, 43, 4, 14, 31, 47, 45</t>
  </si>
  <si>
    <t>Score: 74564 ** -3, -8, 43, 4, 14, 31, 47, 45</t>
  </si>
  <si>
    <t>Score: 68976 ** -3, -8, 43, 4, 14, 31, 47, 45</t>
  </si>
  <si>
    <t>Score: 81386 ** -3, -8, 43, 4, 14, 31, 47, 45</t>
  </si>
  <si>
    <t>Score: 73297 ** -3, -8, 43, 4, 14, 31, 47, 45</t>
  </si>
  <si>
    <t>Score: 82268 ** -3, -8, 43, 4, 14, 31, 47, 45</t>
  </si>
  <si>
    <t>Score: 82393 ** -3, -8, 43, 4, 14, 31, 47, 45</t>
  </si>
  <si>
    <t>Score: 93367 ** -3, -8, 43, 4, 14, 31, 47, 45</t>
  </si>
  <si>
    <t>Score: 93429 ** -3, -8, 43, 4, 14, 31, 47, 45</t>
  </si>
  <si>
    <t>Score: 97854 ** -3, -8, 43, 4, 14, 31, 47, 45</t>
  </si>
  <si>
    <t>Score: 215238 ** -3, -8, 43, 4, 14, 31, 47, 45</t>
  </si>
  <si>
    <t>Score: 124158 ** -3, -8, 43, 4, 14, 31, 47, 45</t>
  </si>
  <si>
    <t>Score: 125327 ** -3, -8, 43, 4, 14, 31, 47, 45</t>
  </si>
  <si>
    <t>Score: 252456 ** -3, -8, 43, 4, 14, 31, 47, 45</t>
  </si>
  <si>
    <t>Score: 125614 ** -3, -8, 43, 4, 14, 31, 47, 45</t>
  </si>
  <si>
    <t>Score: 113097 ** -3, -8, 43, 4, 14, 31, 47, 45</t>
  </si>
  <si>
    <t>Score: 118500 ** -3, -8, 43, 4, 14, 31, 47, 45</t>
  </si>
  <si>
    <t>Score: 132039 ** -3, -8, 43, 4, 14, 31, 47, 45</t>
  </si>
  <si>
    <t>Score: 124346 ** -3, -8, 43, 4, 14, 31, 47, 45</t>
  </si>
  <si>
    <t>Score: 258415 ** -3, -8, 43, 4, 14, 31, 47, 45</t>
  </si>
  <si>
    <t>Score: 156670 ** -3, -8, 43, 4, 14, 31, 47, 45</t>
  </si>
  <si>
    <t>Score: 144287 ** -3, -8, 43, 4, 14, 31, 47, 45</t>
  </si>
  <si>
    <t>Score: 138631 ** -3, -8, 43, 4, 14, 31, 47, 45</t>
  </si>
  <si>
    <t>Score: 150316 ** -3, -8, 43, 4, 14, 31, 47, 45</t>
  </si>
  <si>
    <t>Score: 155793 ** -3, -8, 43, 4, 14, 31, 47, 45</t>
  </si>
  <si>
    <t>Score: 143593 ** -3, -8, 43, 4, 14, 31, 47, 45</t>
  </si>
  <si>
    <t>Score: 303727 ** -3, -8, 43, 4, 14, 31, 47, 45</t>
  </si>
  <si>
    <t>Score: 159094 ** -3, -8, 43, 4, 14, 31, 47, 45</t>
  </si>
  <si>
    <t>Score: 146143 ** -3, -8, 43, 4, 14, 31, 47, 45</t>
  </si>
  <si>
    <t>Score: 160462 ** -3, -8, 43, 4, 14, 31, 47, 45</t>
  </si>
  <si>
    <t>Score: 145075 ** -3, -8, 43, 4, 14, 31, 47, 45</t>
  </si>
  <si>
    <t>Score: 158367 ** -3, -8, 43, 4, 14, 31, 47, 45</t>
  </si>
  <si>
    <t>Score: 163048 ** -3, -8, 43, 4, 14, 31, 47, 45</t>
  </si>
  <si>
    <t>Score: 144794 ** -3, -8, 43, 4, 14, 31, 47, 45</t>
  </si>
  <si>
    <t>Score: 160544 ** -3, -8, 43, 4, 14, 31, 47, 45</t>
  </si>
  <si>
    <t>Score: 147412 ** -3, -8, 43, 4, 14, 31, 47, 45</t>
  </si>
  <si>
    <t>Score: 160810 ** -3, -8, 43, 4, 14, 31, 47, 45</t>
  </si>
  <si>
    <t>Score: 396782 ** -3, -8, 43, 4, 14, 31, 47, 45</t>
  </si>
  <si>
    <t>Score: 157127 ** -3, -8, 43, 4, 14, 31, 47, 45</t>
  </si>
  <si>
    <t>Score: 384245 ** -3, -8, 43, 4, 14, 31, 47, 45</t>
  </si>
  <si>
    <t>Score: 387606 ** -3, -8, 43, 4, 14, 31, 47, 45</t>
  </si>
  <si>
    <t>Score: 161647 ** -3, -8, 43, 4, 14, 31, 47, 45</t>
  </si>
  <si>
    <t>Score: 428263 ** -3, -8, 43, 4, 14, 31, 47, 45</t>
  </si>
  <si>
    <t>Score: 200056 ** -3, -8, 43, 4, 14, 31, 47, 45</t>
  </si>
  <si>
    <t>Score: 189014 ** -3, -8, 43, 4, 14, 31, 47, 45</t>
  </si>
  <si>
    <t>Score: 298021 ** -3, -8, 43, 4, 14, 31, 47, 45</t>
  </si>
  <si>
    <t>Score: 180083 ** -3, -8, 43, 4, 14, 31, 47, 45</t>
  </si>
  <si>
    <t>Score: 192904 ** -3, -8, 43, 4, 14, 31, 47, 45</t>
  </si>
  <si>
    <t>Score: 201301 ** -3, -8, 43, 4, 14, 31, 47, 45</t>
  </si>
  <si>
    <t>Score: 481381 ** -3, -8, 43, 4, 14, 31, 47, 45</t>
  </si>
  <si>
    <t>Score: 219206 ** -3, -8, 43, 4, 14, 31, 47, 45</t>
  </si>
  <si>
    <t>Score: 228439 ** -3, -8, 43, 4, 14, 31, 47, 45</t>
  </si>
  <si>
    <t>Score: 206366 ** -3, -8, 43, 4, 14, 31, 47, 45</t>
  </si>
  <si>
    <t>Score: 210279 ** -3, -8, 43, 4, 14, 31, 47, 45</t>
  </si>
  <si>
    <t>Score: 255192 ** -3, -8, 43, 4, 14, 31, 47, 45</t>
  </si>
  <si>
    <t>Score: 347603 ** -3, -8, 43, 4, 14, 31, 47, 45</t>
  </si>
  <si>
    <t>Score: 195935 ** -3, -8, 43, 4, 14, 31, 47, 45</t>
  </si>
  <si>
    <t>Score: 202428 ** -3, -8, 43, 4, 14, 31, 47, 45</t>
  </si>
  <si>
    <t>Score: 230283 ** -3, -8, 43, 4, 14, 31, 47, 45</t>
  </si>
  <si>
    <t>Score: 474118 ** -3, -8, 43, 4, 14, 31, 47, 45</t>
  </si>
  <si>
    <t>Score: 228131 ** -3, -8, 43, 4, 14, 31, 47, 45</t>
  </si>
  <si>
    <t>Score: 620183 ** -3, -8, 43, 4, 14, 31, 47, 45</t>
  </si>
  <si>
    <t>Score: 256888 ** -3, -8, 43, 4, 14, 31, 47, 45</t>
  </si>
  <si>
    <t>Score: 227307 ** -3, -8, 43, 4, 14, 31, 47, 45</t>
  </si>
  <si>
    <t>Score: 264585 ** -3, -8, 43, 4, 14, 31, 47, 45</t>
  </si>
  <si>
    <t>Score: 428906 ** -3, -8, 43, 4, 14, 31, 47, 45</t>
  </si>
  <si>
    <t>Score: 261247 ** -3, -8, 43, 4, 14, 31, 47, 45</t>
  </si>
  <si>
    <t>Score: 238603 ** -3, -8, 43, 4, 14, 31, 47, 45</t>
  </si>
  <si>
    <t>Score: 264060 ** -3, -8, 43, 4, 14, 31, 47, 45</t>
  </si>
  <si>
    <t>Score: 262835 ** -3, -8, 43, 4, 14, 31, 47, 45</t>
  </si>
  <si>
    <t>Score: 250988 ** -3, -8, 43, 4, 14, 31, 47, 45</t>
  </si>
  <si>
    <t>Score: 278727 ** -3, -8, 43, 4, 14, 31, 47, 45</t>
  </si>
  <si>
    <t>Score: 270404 ** -3, -8, 43, 4, 14, 31, 47, 45</t>
  </si>
  <si>
    <t>Score: 295490 ** -3, -8, 43, 4, 14, 31, 47, 45</t>
  </si>
  <si>
    <t>Score: 650894 ** -3, -8, 43, 4, 14, 31, 47, 45</t>
  </si>
  <si>
    <t>Score: 275075 ** -3, -8, 43, 4, 14, 31, 47, 45</t>
  </si>
  <si>
    <t>Score: 965919 ** -3, -8, 43, 4, 14, 31, 47, 45</t>
  </si>
  <si>
    <t>Score: 622668 ** -3, -8, 43, 4, 14, 31, 47, 45</t>
  </si>
  <si>
    <t>Score: 281862 ** -3, -8, 43, 4, 14, 31, 47, 45</t>
  </si>
  <si>
    <t>Score: 790120 ** -3, -8, 43, 4, 14, 31, 47, 45</t>
  </si>
  <si>
    <t>Score: 286766 ** -3, -8, 43, 4, 14, 31, 47, 45</t>
  </si>
  <si>
    <t>Score: 296274 ** -3, -8, 43, 4, 14, 31, 47, 45</t>
  </si>
  <si>
    <t>Score: 315651 ** -3, -8, 43, 4, 14, 31, 47, 45</t>
  </si>
  <si>
    <t>Score: 322280 ** -3, -8, 43, 4, 14, 31, 47, 45</t>
  </si>
  <si>
    <t>Score: 752418 ** -3, -8, 43, 4, 14, 31, 47, 45</t>
  </si>
  <si>
    <t>Score: 303889 ** -3, -8, 43, 4, 14, 31, 47, 45</t>
  </si>
  <si>
    <t>Score: 326375 ** -3, -8, 43, 4, 14, 31, 47, 45</t>
  </si>
  <si>
    <t>Score: 318919 ** -3, -8, 43, 4, 14, 31, 47, 45</t>
  </si>
  <si>
    <t>Score: 299036 ** -3, -8, 43, 4, 14, 31, 47, 45</t>
  </si>
  <si>
    <t>Score: 305724 ** -3, -8, 43, 4, 14, 31, 47, 45</t>
  </si>
  <si>
    <t>Score: 624573 ** -3, -8, 43, 4, 14, 31, 47, 45</t>
  </si>
  <si>
    <t>Score: 392773 ** -3, -8, 43, 4, 14, 31, 47, 45</t>
  </si>
  <si>
    <t>Score: 402404 ** -3, -8, 43, 4, 14, 31, 47, 45</t>
  </si>
  <si>
    <t>Score: 336422 ** -3, -8, 43, 4, 14, 31, 47, 45</t>
  </si>
  <si>
    <t>Score: 312843 ** -3, -8, 43, 4, 14, 31, 47, 45</t>
  </si>
  <si>
    <t>Score: 368103 ** -3, -8, 43, 4, 14, 31, 47, 45</t>
  </si>
  <si>
    <t>Score: 358525 ** -3, -8, 43, 4, 14, 31, 47, 45</t>
  </si>
  <si>
    <t>Score: 321719 ** -3, -8, 43, 4, 14, 31, 47, 45</t>
  </si>
  <si>
    <t>Score: 363681 ** -3, -8, 43, 4, 14, 31, 47, 45</t>
  </si>
  <si>
    <t>Score: 822906 ** -3, -8, 43, 4, 14, 31, 47, 45</t>
  </si>
  <si>
    <t>Score: 405124 ** -3, -8, 43, 4, 14, 31, 47, 45</t>
  </si>
  <si>
    <t>Score: 327699 ** -3, -8, 43, 4, 14, 31, 47, 45</t>
  </si>
  <si>
    <t>Score: 415305 ** -3, -8, 43, 4, 14, 31, 47, 45</t>
  </si>
  <si>
    <t>Score: 378750 ** -3, -8, 43, 4, 14, 31, 47, 45</t>
  </si>
  <si>
    <t>Score: 448733 ** -3, -8, 43, 4, 14, 31, 47, 45</t>
  </si>
  <si>
    <t>Score: 418898 ** -3, -8, 43, 4, 14, 31, 47, 45</t>
  </si>
  <si>
    <t>Score: 439638 ** -3, -8, 43, 4, 14, 31, 47, 45</t>
  </si>
  <si>
    <t>Score: 1374307 ** -3, -8, 43, 4, 14, 31, 47, 45</t>
  </si>
  <si>
    <t>Score: 433239 ** -3, -8, 43, 4, 14, 31, 47, 45</t>
  </si>
  <si>
    <t>Score: 829244 ** -3, -8, 43, 4, 14, 31, 47, 45</t>
  </si>
  <si>
    <t>Score: 487072 ** -3, -8, 43, 4, 14, 31, 47, 45</t>
  </si>
  <si>
    <t>Score: 1103019 ** -3, -8, 43, 4, 14, 31, 47, 45</t>
  </si>
  <si>
    <t>Score: 876358 ** -3, -8, 43, 4, 14, 31, 47, 45</t>
  </si>
  <si>
    <t>Score: 884444 ** -3, -8, 43, 4, 14, 31, 47, 45</t>
  </si>
  <si>
    <t>Score: 498171 ** -3, -8, 43, 4, 14, 31, 47, 45</t>
  </si>
  <si>
    <t>Score: 863654 ** -3, -8, 43, 4, 14, 31, 47, 45</t>
  </si>
  <si>
    <t>Score: 1077734 ** -3, -8, 43, 4, 14, 31, 47, 45</t>
  </si>
  <si>
    <t>Score: 459085 ** -3, -8, 43, 4, 14, 31, 47, 45</t>
  </si>
  <si>
    <t>Score: 1188070 ** -3, -8, 43, 4, 14, 31, 47, 45</t>
  </si>
  <si>
    <t>Score: 403474 ** -3, -8, 43, 4, 14, 31, 47, 45</t>
  </si>
  <si>
    <t>Score: 1278343 ** -3, -8, 43, 4, 14, 31, 47, 45</t>
  </si>
  <si>
    <t>Score: 1289573 ** -3, -8, 43, 4, 14, 31, 47, 45</t>
  </si>
  <si>
    <t>Score: 1247767 ** -3, -8, 43, 4, 14, 31, 47, 45</t>
  </si>
  <si>
    <t>Score: 1200470 ** -3, -8, 43, 4, 14, 31, 47, 45</t>
  </si>
  <si>
    <t>Score: 535376 ** -3, -8, 43, 4, 14, 31, 47, 45</t>
  </si>
  <si>
    <t>Score: 1293865 ** -3, -8, 43, 4, 14, 31, 47, 45</t>
  </si>
  <si>
    <t>Score: 530595 ** -3, -8, 43, 4, 14, 31, 47, 45</t>
  </si>
  <si>
    <t>Score: 1104673 ** -3, -8, 43, 4, 14, 31, 47, 45</t>
  </si>
  <si>
    <t>Score: 491197 ** -3, -8, 43, 4, 14, 31, 47, 45</t>
  </si>
  <si>
    <t>Score: 483562 ** -3, -8, 43, 4, 14, 31, 47, 45</t>
  </si>
  <si>
    <t>Score: 520810 ** -3, -8, 43, 4, 14, 31, 47, 45</t>
  </si>
  <si>
    <t>Score: 1877589 ** -3, -8, 43, 4, 14, 31, 47, 45</t>
  </si>
  <si>
    <t>Score: 442917 ** -3, -8, 43, 4, 14, 31, 47, 45</t>
  </si>
  <si>
    <t>Score: 587987 ** -3, -8, 43, 4, 14, 31, 47, 45</t>
  </si>
  <si>
    <t>Score: 506634 ** -3, -8, 43, 4, 14, 31, 47, 45</t>
  </si>
  <si>
    <t>Score: 489091 ** -3, -8, 43, 4, 14, 31, 47, 45</t>
  </si>
  <si>
    <t>Score: 552557 ** -3, -8, 43, 4, 14, 31, 47, 45</t>
  </si>
  <si>
    <t>Score: 645082 ** -3, -8, 43, 4, 14, 31, 47, 45</t>
  </si>
  <si>
    <t>Score: 546196 ** -3, -8, 43, 4, 14, 31, 47, 45</t>
  </si>
  <si>
    <t>Score: 528943 ** -3, -8, 43, 4, 14, 31, 47, 45</t>
  </si>
  <si>
    <t>Score: 2356982 ** -3, -8, 43, 4, 14, 31, 47, 45</t>
  </si>
  <si>
    <t>Score: 714583 ** -3, -8, 43, 4, 14, 31, 47, 45</t>
  </si>
  <si>
    <t>Score: 698410 ** -3, -8, 43, 4, 14, 31, 47, 45</t>
  </si>
  <si>
    <t>Score: 594647 ** -3, -8, 43, 4, 14, 31, 47, 45</t>
  </si>
  <si>
    <t>Score: 685921 ** -3, -8, 43, 4, 14, 31, 47, 45</t>
  </si>
  <si>
    <t>Score: 672376 ** -3, -8, 43, 4, 14, 31, 47, 45</t>
  </si>
  <si>
    <t>Score: 695153 ** -3, -8, 43, 4, 14, 31, 47, 45</t>
  </si>
  <si>
    <t>Score: 765636 ** -3, -8, 43, 4, 14, 31, 47, 45</t>
  </si>
  <si>
    <t>Score: 701100 ** -3, -8, 43, 4, 14, 31, 47, 45</t>
  </si>
  <si>
    <t>Score: 661441 ** -3, -8, 43, 4, 14, 31, 47, 45</t>
  </si>
  <si>
    <t>Score: 773613 ** -3, -8, 43, 4, 14, 31, 47, 45</t>
  </si>
  <si>
    <t>Score: 542937 ** -3, -8, 43, 4, 14, 31, 47, 45</t>
  </si>
  <si>
    <t>Score: 3379046 ** -3, -8, 43, 4, 14, 31, 47, 45</t>
  </si>
  <si>
    <t>Score: 3072513 ** -3, -8, 43, 4, 14, 31, 47, 45</t>
  </si>
  <si>
    <t>Score: 820173 ** -3, -8, 43, 4, 14, 31, 47, 45</t>
  </si>
  <si>
    <t>Score: 569247 ** -3, -8, 43, 4, 14, 31, 47, 45</t>
  </si>
  <si>
    <t>Score: 581370 ** -3, -8, 43, 4, 14, 31, 47, 45</t>
  </si>
  <si>
    <t>Score: 872435 ** -3, -8, 43, 4, 14, 31, 47, 45</t>
  </si>
  <si>
    <t>Score: 859395 ** -3, -8, 43, 4, 14, 31, 47, 45</t>
  </si>
  <si>
    <t>Score: 932791 ** -3, -8, 43, 4, 14, 31, 47, 45</t>
  </si>
  <si>
    <t>Score: 690038 ** -3, -8, 43, 4, 14, 31, 47, 45</t>
  </si>
  <si>
    <t>Score: 681198 ** -3, -8, 43, 4, 14, 31, 47, 45</t>
  </si>
  <si>
    <t>Score: 900055 ** -3, -8, 43, 4, 14, 31, 47, 45</t>
  </si>
  <si>
    <t>Score: 1036714 ** -3, -8, 43, 4, 14, 31, 47, 45</t>
  </si>
  <si>
    <t>Score: 726081 ** -3, -8, 43, 4, 14, 31, 47, 45</t>
  </si>
  <si>
    <t>Score: 938540 ** -3, -8, 43, 4, 14, 31, 47, 45</t>
  </si>
  <si>
    <t>Score: 699379 ** -3, -8, 43, 4, 14, 31, 47, 45</t>
  </si>
  <si>
    <t>Score: 962734 ** -3, -8, 43, 4, 14, 31, 47, 45</t>
  </si>
  <si>
    <t>Score: 759349 ** -3, -8, 43, 4, 14, 31, 47, 45</t>
  </si>
  <si>
    <t>Score: 1331759 ** -3, -8, 43, 4, 14, 31, 47, 45</t>
  </si>
  <si>
    <t>Score: 1019932 ** -3, -8, 43, 4, 14, 31, 47, 45</t>
  </si>
  <si>
    <t>Score: 1008422 ** -3, -8, 43, 4, 14, 31, 47, 45</t>
  </si>
  <si>
    <t>Score: 763606 ** -3, -8, 43, 4, 14, 31, 47, 45</t>
  </si>
  <si>
    <t>Score: 1012582 ** -3, -8, 43, 4, 14, 31, 47, 45</t>
  </si>
  <si>
    <t>Score: 1295503 ** -3, -8, 43, 4, 14, 31, 47, 45</t>
  </si>
  <si>
    <t>Score: 1048369 ** -3, -8, 43, 4, 14, 31, 47, 45</t>
  </si>
  <si>
    <t>Score: 1049203 ** -3, -8, 43, 4, 14, 31, 47, 45</t>
  </si>
  <si>
    <t>Score: 1650468 ** -3, -8, 43, 4, 14, 31, 47, 45</t>
  </si>
  <si>
    <t>Score: 796498 ** -3, -8, 43, 4, 14, 31, 47, 45</t>
  </si>
  <si>
    <t>Score: 1157423 ** -3, -8, 43, 4, 14, 31, 47, 45</t>
  </si>
  <si>
    <t>Score: 893718 ** -3, -8, 43, 4, 14, 31, 47, 45</t>
  </si>
  <si>
    <t>Score: 892205 ** -3, -8, 43, 4, 14, 31, 47, 45</t>
  </si>
  <si>
    <t>Score: 934017 ** -3, -8, 43, 4, 14, 31, 47, 45</t>
  </si>
  <si>
    <t>Score: 939670 ** -3, -8, 43, 4, 14, 31, 47, 45</t>
  </si>
  <si>
    <t>Score: 988709 ** -3, -8, 43, 4, 14, 31, 47, 45</t>
  </si>
  <si>
    <t>Score: 2014843 ** -3, -8, 43, 4, 14, 31, 47, 45</t>
  </si>
  <si>
    <t>Score: 1504029 ** -3, -8, 43, 4, 14, 31, 47, 45</t>
  </si>
  <si>
    <t>Score: 992071 ** -3, -8, 43, 4, 14, 31, 47, 45</t>
  </si>
  <si>
    <t>Score: 1572084 ** -3, -8, 43, 4, 14, 31, 47, 45</t>
  </si>
  <si>
    <t>Score: 1129306 ** -3, -8, 43, 4, 14, 31, 47, 45</t>
  </si>
  <si>
    <t>Score: 1082507 ** -3, -8, 43, 4, 14, 31, 47, 45</t>
  </si>
  <si>
    <t>Score: 1771262 ** -3, -8, 43, 4, 14, 31, 47, 45</t>
  </si>
  <si>
    <t>Score: 1145067 ** -3, -8, 43, 4, 14, 31, 47, 45</t>
  </si>
  <si>
    <t>Score: 1219083 ** -3, -8, 43, 4, 14, 31, 47, 45</t>
  </si>
  <si>
    <t>Score: 1158288 ** -3, -8, 43, 4, 14, 31, 47, 45</t>
  </si>
  <si>
    <t>Score: 1891906 ** -3, -8, 43, 4, 14, 31, 47, 45</t>
  </si>
  <si>
    <t>Score: 1219911 ** -3, -8, 43, 4, 14, 31, 47, 45</t>
  </si>
  <si>
    <t>Score: 1228566 ** -3, -8, 43, 4, 14, 31, 47, 45</t>
  </si>
  <si>
    <t>Score: 2026124 ** -3, -8, 43, 4, 14, 31, 47, 45</t>
  </si>
  <si>
    <t>Score: 2030751 ** -3, -8, 43, 4, 14, 31, 47, 45</t>
  </si>
  <si>
    <t>Score: 1259551 ** -3, -8, 43, 4, 14, 31, 47, 45</t>
  </si>
  <si>
    <t>Score: 1352997 ** -3, -8, 43, 4, 14, 31, 47, 45</t>
  </si>
  <si>
    <t>Score: 1552712 ** -3, -8, 43, 4, 14, 31, 47, 45</t>
  </si>
  <si>
    <t>Score: 1545780 ** -3, -8, 43, 4, 14, 31, 47, 45</t>
  </si>
  <si>
    <t>Score: 1666046 ** -3, -8, 43, 4, 14, 31, 47, 45</t>
  </si>
  <si>
    <t>Score: 1753149 ** -3, -8, 43, 4, 14, 31, 47, 45</t>
  </si>
  <si>
    <t>Score: 1798477 ** -3, -8, 43, 4, 14, 31, 47, 45</t>
  </si>
  <si>
    <t>Score: 1772092 ** -3, -8, 43, 4, 14, 31, 47, 45</t>
  </si>
  <si>
    <t>Score: 1877375 ** -3, -8, 43, 4, 14, 31, 47, 45</t>
  </si>
  <si>
    <t>Score: 3322905 ** -3, -8, 43, 4, 14, 31, 47, 45</t>
  </si>
  <si>
    <t>Score: 2384970 ** -3, -8, 43, 4, 14, 31, 47, 45</t>
  </si>
  <si>
    <t>Score: 2774915 ** -3, -8, 43, 4, 14, 31, 47, 45</t>
  </si>
  <si>
    <t>Score: 2953765 ** -3, -8, 43, 4, 14, 31, 47, 45</t>
  </si>
  <si>
    <t>score</t>
  </si>
  <si>
    <t>Approx Lines Cleared</t>
  </si>
  <si>
    <t>Approx % World Record</t>
  </si>
  <si>
    <t>w1</t>
  </si>
  <si>
    <t>w2</t>
  </si>
  <si>
    <t>w3</t>
  </si>
  <si>
    <t>w4</t>
  </si>
  <si>
    <t>w5</t>
  </si>
  <si>
    <t>w6</t>
  </si>
  <si>
    <t>w7</t>
  </si>
  <si>
    <t>w8</t>
  </si>
  <si>
    <t>:</t>
  </si>
  <si>
    <t>*</t>
  </si>
  <si>
    <t>text score</t>
  </si>
  <si>
    <t>trimmed</t>
  </si>
  <si>
    <t>cut1</t>
  </si>
  <si>
    <t>pastey column</t>
  </si>
  <si>
    <t>,1</t>
  </si>
  <si>
    <t>,2</t>
  </si>
  <si>
    <t>,3</t>
  </si>
  <si>
    <t>,4</t>
  </si>
  <si>
    <t>,5</t>
  </si>
  <si>
    <t>,6</t>
  </si>
  <si>
    <t>,7</t>
  </si>
  <si>
    <t>total lines cleared from all sum</t>
  </si>
  <si>
    <t>top 10</t>
  </si>
  <si>
    <t>Score: 146421 ** -320, -778, 4403, 324, 1316, 3170, 4743, 4495</t>
  </si>
  <si>
    <t>Score: 308193 ** -320, -778, 4403, 324, 1316, 3170, 4743, 4495</t>
  </si>
  <si>
    <t>Score: 217144 ** -320, -778, 4403, 324, 1316, 3170, 4743, 4495</t>
  </si>
  <si>
    <t>Score: 165615 ** -320, -778, 4403, 324, 1316, 3170, 4743, 4495</t>
  </si>
  <si>
    <t>Score: 467019 ** -320, -778, 4403, 324, 1316, 3170, 4743, 4495</t>
  </si>
  <si>
    <t>Score: 196352 ** -320, -778, 4403, 324, 1316, 3170, 4743, 4495</t>
  </si>
  <si>
    <t>Score: 1331 ** -320, -778, 4403, 324, 1316, 3170, 4743, 4495</t>
  </si>
  <si>
    <t>Score: 693345 ** -320, -778, 4403, 324, 1316, 3170, 4743, 4495</t>
  </si>
  <si>
    <t>Score: 89801 ** -320, -778, 4403, 324, 1316, 3170, 4743, 4495</t>
  </si>
  <si>
    <t>Score: 913923 ** -320, -778, 4403, 324, 1316, 3170, 4743, 4495</t>
  </si>
  <si>
    <t>Score: 545894 ** -320, -778, 4403, 324, 1316, 3170, 4743, 4495</t>
  </si>
  <si>
    <t>Score: 278236 ** -320, -778, 4403, 324, 1316, 3170, 4743, 4495</t>
  </si>
  <si>
    <t>Score: 286798 ** -320, -778, 4403, 324, 1316, 3170, 4743, 4495</t>
  </si>
  <si>
    <t>Score: 310010 ** -320, -778, 4403, 324, 1316, 3170, 4743, 4495</t>
  </si>
  <si>
    <t>Score: 1445200 ** -320, -778, 4403, 324, 1316, 3170, 4743, 4495</t>
  </si>
  <si>
    <t>Score: 146681 ** -320, -778, 4403, 324, 1316, 3170, 4743, 4495</t>
  </si>
  <si>
    <t>Score: 235709 ** -320, -778, 4403, 324, 1316, 3170, 4743, 4495</t>
  </si>
  <si>
    <t>Score: 1312242 ** -320, -778, 4403, 324, 1316, 3170, 4743, 4495</t>
  </si>
  <si>
    <t>Score: 392517 ** -320, -778, 4403, 324, 1316, 3170, 4743, 4495</t>
  </si>
  <si>
    <t>Score: 1096769 ** -320, -778, 4403, 324, 1316, 3170, 4743, 4495</t>
  </si>
  <si>
    <t>Score: 297201 ** -320, -778, 4403, 324, 1316, 3170, 4743, 4495</t>
  </si>
  <si>
    <t>Score: 1074120 ** -320, -778, 4403, 324, 1316, 3170, 4743, 4495</t>
  </si>
  <si>
    <t>Score: 1503914 ** -320, -778, 4403, 324, 1316, 3170, 4743, 4495</t>
  </si>
  <si>
    <t>Score: 329577 ** -320, -778, 4403, 324, 1316, 3170, 4743, 4495</t>
  </si>
  <si>
    <t>Score: 994066 ** -320, -778, 4403, 324, 1316, 3170, 4743, 4495</t>
  </si>
  <si>
    <t>Score: 255403 ** -320, -778, 4403, 324, 1316, 3170, 4743, 4495</t>
  </si>
  <si>
    <t>Score: 398634 ** -320, -778, 4403, 324, 1316, 3170, 4743, 4495</t>
  </si>
  <si>
    <t>Score: 1546190 ** -320, -778, 4403, 324, 1316, 3170, 4743, 4495</t>
  </si>
  <si>
    <t>Score: 974726 ** -320, -778, 4403, 324, 1316, 3170, 4743, 4495</t>
  </si>
  <si>
    <t>Score: 938642 ** -320, -778, 4403, 324, 1316, 3170, 4743, 4495</t>
  </si>
  <si>
    <t>Score: 352440 ** -320, -778, 4403, 324, 1316, 3170, 4743, 4495</t>
  </si>
  <si>
    <t>Score: 654796 ** -320, -778, 4403, 324, 1316, 3170, 4743, 4495</t>
  </si>
  <si>
    <t>Score: 324211 ** -320, -778, 4403, 324, 1316, 3170, 4743, 4495</t>
  </si>
  <si>
    <t>Score: 796186 ** -320, -778, 4403, 324, 1316, 3170, 4743, 4495</t>
  </si>
  <si>
    <t>Score: 217497 ** -320, -778, 4403, 324, 1316, 3170, 4743, 4495</t>
  </si>
  <si>
    <t>Score: 31879 ** -320, -778, 4403, 324, 1316, 3170, 4743, 4495</t>
  </si>
  <si>
    <t>Score: 107963 ** -320, -778, 4403, 324, 1316, 3170, 4743, 4495</t>
  </si>
  <si>
    <t>Score: 27907 ** -320, -778, 4403, 324, 1316, 3170, 4743, 4495</t>
  </si>
  <si>
    <t>Score: 1089867 ** -320, -778, 4403, 324, 1316, 3170, 4743, 4495</t>
  </si>
  <si>
    <t>Score: 676625 ** -320, -778, 4403, 324, 1316, 3170, 4743, 4495</t>
  </si>
  <si>
    <t>Score: 948475 ** -320, -778, 4403, 324, 1316, 3170, 4743, 4495</t>
  </si>
  <si>
    <t>Score: 270804 ** -320, -778, 4403, 324, 1316, 3170, 4743, 4495</t>
  </si>
  <si>
    <t>Score: 10337 ** -320, -778, 4403, 324, 1316, 3170, 4743, 4495</t>
  </si>
  <si>
    <t>Score: 997282 ** -320, -778, 4403, 324, 1316, 3170, 4743, 4495</t>
  </si>
  <si>
    <t>Score: 399764 ** -320, -778, 4403, 324, 1316, 3170, 4743, 4495</t>
  </si>
  <si>
    <t>Score: 311840 ** -320, -778, 4403, 324, 1316, 3170, 4743, 4495</t>
  </si>
  <si>
    <t>Score: 187516 ** -320, -778, 4403, 324, 1316, 3170, 4743, 4495</t>
  </si>
  <si>
    <t>Score: 381830 ** -320, -778, 4403, 324, 1316, 3170, 4743, 4495</t>
  </si>
  <si>
    <t>Score: 409792 ** -320, -778, 4403, 324, 1316, 3170, 4743, 4495</t>
  </si>
  <si>
    <t>Score: 199686 ** -320, -778, 4403, 324, 1316, 3170, 4743, 4495</t>
  </si>
  <si>
    <t>Score: 312953 ** -320, -778, 4403, 324, 1316, 3170, 4743, 4495</t>
  </si>
  <si>
    <t>Score: 140369 ** -320, -778, 4403, 324, 1316, 3170, 4743, 4495</t>
  </si>
  <si>
    <t>Score: 1794757 ** -320, -778, 4403, 324, 1316, 3170, 4743, 4495</t>
  </si>
  <si>
    <t>Score: 260189 ** -320, -778, 4403, 324, 1316, 3170, 4743, 4495</t>
  </si>
  <si>
    <t>Score: 799329 ** -320, -778, 4403, 324, 1316, 3170, 4743, 4495</t>
  </si>
  <si>
    <t>Score: 142955 ** -320, -778, 4403, 324, 1316, 3170, 4743, 4495</t>
  </si>
  <si>
    <t>Score: 1484312 ** -320, -778, 4403, 324, 1316, 3170, 4743, 4495</t>
  </si>
  <si>
    <t>Score: 1424281 ** -320, -778, 4403, 324, 1316, 3170, 4743, 4495</t>
  </si>
  <si>
    <t>Score: 1039533 ** -320, -778, 4403, 324, 1316, 3170, 4743, 4495</t>
  </si>
  <si>
    <t>Score: 322732 ** -320, -778, 4403, 324, 1316, 3170, 4743, 4495</t>
  </si>
  <si>
    <t>Score: 887813 ** -320, -778, 4403, 324, 1316, 3170, 4743, 4495</t>
  </si>
  <si>
    <t>Score: 974552 ** -320, -778, 4403, 324, 1316, 3170, 4743, 4495</t>
  </si>
  <si>
    <t>Score: 662519 ** -320, -778, 4403, 324, 1316, 3170, 4743, 4495</t>
  </si>
  <si>
    <t>Score: 208742 ** -320, -778, 4403, 324, 1316, 3170, 4743, 4495</t>
  </si>
  <si>
    <t>Score: 40436 ** -320, -778, 4403, 324, 1316, 3170, 4743, 4495</t>
  </si>
  <si>
    <t>Score: 2483312 ** -320, -778, 4403, 324, 1316, 3170, 4743, 4495</t>
  </si>
  <si>
    <t>Score: 403585 ** -320, -778, 4403, 324, 1316, 3170, 4743, 4495</t>
  </si>
  <si>
    <t>Score: 1664408 ** -320, -778, 4403, 324, 1316, 3170, 4743, 4495</t>
  </si>
  <si>
    <t>Score: 1656522 ** -320, -778, 4403, 324, 1316, 3170, 4743, 4495</t>
  </si>
  <si>
    <t>Score: 631689 ** -320, -778, 4403, 324, 1316, 3170, 4743, 4495</t>
  </si>
  <si>
    <t>Score: 289127 ** -320, -778, 4403, 324, 1316, 3170, 4743, 4495</t>
  </si>
  <si>
    <t>Score: 1931824 ** -320, -778, 4403, 324, 1316, 3170, 4743, 4495</t>
  </si>
  <si>
    <t>Score: 19299 ** -320, -778, 4403, 324, 1316, 3170, 4743, 4495</t>
  </si>
  <si>
    <t>Score: 3977537 ** -320, -778, 4403, 324, 1316, 3170, 4743, 4495</t>
  </si>
  <si>
    <t>Score: 1356717 ** -320, -778, 4403, 324, 1316, 3170, 4743, 4495</t>
  </si>
  <si>
    <t>Score: 305008 ** -320, -778, 4403, 324, 1316, 3170, 4743, 4495</t>
  </si>
  <si>
    <t>Score: 847060 ** -320, -778, 4403, 324, 1316, 3170, 4743, 4495</t>
  </si>
  <si>
    <t>Score: 233267 ** -320, -778, 4403, 324, 1316, 3170, 4743, 4495</t>
  </si>
  <si>
    <t>Score: 285582 ** -320, -778, 4403, 324, 1316, 3170, 4743, 4495</t>
  </si>
  <si>
    <t>Score: 216581 ** -320, -778, 4403, 324, 1316, 3170, 4743, 4495</t>
  </si>
  <si>
    <t>Score: 509143 ** -320, -778, 4403, 324, 1316, 3170, 4743, 4495</t>
  </si>
  <si>
    <t>Score: 518870 ** -320, -778, 4403, 324, 1316, 3170, 4743, 4495</t>
  </si>
  <si>
    <t>Score: 1317557 ** -320, -778, 4403, 324, 1316, 3170, 4743, 4495</t>
  </si>
  <si>
    <t>Score: 983627 ** -320, -778, 4403, 324, 1316, 3170, 4743, 4495</t>
  </si>
  <si>
    <t>Score: 438144 ** -320, -778, 4403, 324, 1316, 3170, 4743, 4495</t>
  </si>
  <si>
    <t>Score: 168443 ** -320, -778, 4403, 324, 1316, 3170, 4743, 4495</t>
  </si>
  <si>
    <t>Score: 457339 ** -320, -778, 4403, 324, 1316, 3170, 4743, 4495</t>
  </si>
  <si>
    <t>Score: 4132081 ** -320, -778, 4403, 324, 1316, 3170, 4743, 4495</t>
  </si>
  <si>
    <t>Score: 81086 ** -320, -778, 4403, 324, 1316, 3170, 4743, 4495</t>
  </si>
  <si>
    <t>Score: 1273912 ** -320, -778, 4403, 324, 1316, 3170, 4743, 4495</t>
  </si>
  <si>
    <t>Score: 1039277 ** -320, -778, 4403, 324, 1316, 3170, 4743, 4495</t>
  </si>
  <si>
    <t>Score: 2568809 ** -320, -778, 4403, 324, 1316, 3170, 4743, 4495</t>
  </si>
  <si>
    <t>Score: 538362 ** -320, -778, 4403, 324, 1316, 3170, 4743, 4495</t>
  </si>
  <si>
    <t>Score: 430618 ** -320, -778, 4403, 324, 1316, 3170, 4743, 4495</t>
  </si>
  <si>
    <t>Score: 397678 ** -320, -778, 4403, 324, 1316, 3170, 4743, 4495</t>
  </si>
  <si>
    <t>Score: 1463404 ** -320, -778, 4403, 324, 1316, 3170, 4743, 4495</t>
  </si>
  <si>
    <t>Score: 742463 ** -320, -778, 4403, 324, 1316, 3170, 4743, 4495</t>
  </si>
  <si>
    <t>Score: 538701 ** -320, -778, 4403, 324, 1316, 3170, 4743, 4495</t>
  </si>
  <si>
    <t>Score: 197208 ** -320, -778, 4403, 324, 1316, 3170, 4743, 4495</t>
  </si>
  <si>
    <t>Score: 103597 ** -320, -778, 4403, 324, 1316, 3170, 4743, 4495</t>
  </si>
  <si>
    <t>Score: 42885 ** -320, -778, 4403, 324, 1316, 3170, 4743, 4495</t>
  </si>
  <si>
    <t>Score: 206450 ** -320, -778, 4403, 324, 1316, 3170, 4743, 4495</t>
  </si>
  <si>
    <t>Score: 590194 ** -320, -778, 4403, 324, 1316, 3170, 4743, 4495</t>
  </si>
  <si>
    <t>Score: 790971 ** -320, -778, 4403, 324, 1316, 3170, 4743, 4495</t>
  </si>
  <si>
    <t>Score: 530627 ** -320, -778, 4403, 324, 1316, 3170, 4743, 4495</t>
  </si>
  <si>
    <t>Score: 335226 ** -320, -778, 4403, 324, 1316, 3170, 4743, 4495</t>
  </si>
  <si>
    <t>Score: 98318 ** -320, -778, 4403, 324, 1316, 3170, 4743, 4495</t>
  </si>
  <si>
    <t>Score: 613916 ** -320, -778, 4403, 324, 1316, 3170, 4743, 4495</t>
  </si>
  <si>
    <t>Score: 409776 ** -320, -778, 4403, 324, 1316, 3170, 4743, 4495</t>
  </si>
  <si>
    <t>Score: 445861 ** -320, -778, 4403, 324, 1316, 3170, 4743, 4495</t>
  </si>
  <si>
    <t>Score: 42616 ** -320, -778, 4403, 324, 1316, 3170, 4743, 4495</t>
  </si>
  <si>
    <t>Score: 2426914 ** -320, -778, 4403, 324, 1316, 3170, 4743, 4495</t>
  </si>
  <si>
    <t>Score: 3188096 ** -320, -778, 4403, 324, 1316, 3170, 4743, 4495</t>
  </si>
  <si>
    <t>Score: 1294370 ** -320, -778, 4403, 324, 1316, 3170, 4743, 4495</t>
  </si>
  <si>
    <t>Score: 178904 ** -320, -778, 4403, 324, 1316, 3170, 4743, 4495</t>
  </si>
  <si>
    <t>Score: 625118 ** -320, -778, 4403, 324, 1316, 3170, 4743, 4495</t>
  </si>
  <si>
    <t>Score: 188118 ** -320, -778, 4403, 324, 1316, 3170, 4743, 4495</t>
  </si>
  <si>
    <t>Score: 1093763 ** -320, -778, 4403, 324, 1316, 3170, 4743, 4495</t>
  </si>
  <si>
    <t>Score: 511424 ** -320, -778, 4403, 324, 1316, 3170, 4743, 4495</t>
  </si>
  <si>
    <t>Score: 1471425 ** -320, -778, 4403, 324, 1316, 3170, 4743, 4495</t>
  </si>
  <si>
    <t>Score: 961342 ** -320, -778, 4403, 324, 1316, 3170, 4743, 4495</t>
  </si>
  <si>
    <t>Score: 374639 ** -320, -778, 4403, 324, 1316, 3170, 4743, 4495</t>
  </si>
  <si>
    <t>Score: 527732 ** -320, -778, 4403, 324, 1316, 3170, 4743, 4495</t>
  </si>
  <si>
    <t>Score: 1169776 ** -320, -778, 4403, 324, 1316, 3170, 4743, 4495</t>
  </si>
  <si>
    <t>Score: 252635 ** -320, -778, 4403, 324, 1316, 3170, 4743, 4495</t>
  </si>
  <si>
    <t>Score: 128825 ** -320, -778, 4403, 324, 1316, 3170, 4743, 4495</t>
  </si>
  <si>
    <t>Score: 2334051 ** -320, -778, 4403, 324, 1316, 3170, 4743, 4495</t>
  </si>
  <si>
    <t>Score: 657141 ** -320, -778, 4403, 324, 1316, 3170, 4743, 4495</t>
  </si>
  <si>
    <t>Score: 324784 ** -320, -778, 4403, 324, 1316, 3170, 4743, 4495</t>
  </si>
  <si>
    <t>Score: 1543205 ** -320, -778, 4403, 324, 1316, 3170, 4743, 4495</t>
  </si>
  <si>
    <t>Score: 1346916 ** -320, -778, 4403, 324, 1316, 3170, 4743, 4495</t>
  </si>
  <si>
    <t>Score: 80031 ** -320, -778, 4403, 324, 1316, 3170, 4743, 4495</t>
  </si>
  <si>
    <t>Score: 1440187 ** -320, -778, 4403, 324, 1316, 3170, 4743, 4495</t>
  </si>
  <si>
    <t>Score: 2074491 ** -320, -778, 4403, 324, 1316, 3170, 4743, 4495</t>
  </si>
  <si>
    <t>Score: 2024271 ** -320, -778, 4403, 324, 1316, 3170, 4743, 4495</t>
  </si>
  <si>
    <t>Score: 447840 ** -320, -778, 4403, 324, 1316, 3170, 4743, 4495</t>
  </si>
  <si>
    <t>Score: 2475768 ** -320, -778, 4403, 324, 1316, 3170, 4743, 4495</t>
  </si>
  <si>
    <t>Score: 260822 ** -320, -778, 4403, 324, 1316, 3170, 4743, 4495</t>
  </si>
  <si>
    <t>Score: 392865 ** -320, -778, 4403, 324, 1316, 3170, 4743, 4495</t>
  </si>
  <si>
    <t>Score: 1208587 ** -320, -778, 4403, 324, 1316, 3170, 4743, 4495</t>
  </si>
  <si>
    <t>Score: 1342194 ** -320, -778, 4403, 324, 1316, 3170, 4743, 4495</t>
  </si>
  <si>
    <t>Score: 103489 ** -320, -778, 4403, 324, 1316, 3170, 4743, 4495</t>
  </si>
  <si>
    <t>Score: 710384 ** -320, -778, 4403, 324, 1316, 3170, 4743, 4495</t>
  </si>
  <si>
    <t>Score: 970660 ** -320, -778, 4403, 324, 1316, 3170, 4743, 4495</t>
  </si>
  <si>
    <t>Score: 212055 ** -320, -778, 4403, 324, 1316, 3170, 4743, 4495</t>
  </si>
  <si>
    <t>Score: 133261 ** -320, -778, 4403, 324, 1316, 3170, 4743, 4495</t>
  </si>
  <si>
    <t>Score: 803072 ** -320, -778, 4403, 324, 1316, 3170, 4743, 4495</t>
  </si>
  <si>
    <t>Score: 52010 ** -320, -778, 4403, 324, 1316, 3170, 4743, 4495</t>
  </si>
  <si>
    <t>Score: 827196 ** -320, -778, 4403, 324, 1316, 3170, 4743, 4495</t>
  </si>
  <si>
    <t>Score: 372318 ** -320, -778, 4403, 324, 1316, 3170, 4743, 4495</t>
  </si>
  <si>
    <t>Score: 525557 ** -320, -778, 4403, 324, 1316, 3170, 4743, 4495</t>
  </si>
  <si>
    <t>Score: 30739 ** -320, -778, 4403, 324, 1316, 3170, 4743, 4495</t>
  </si>
  <si>
    <t>Score: 842968 ** -320, -778, 4403, 324, 1316, 3170, 4743, 4495</t>
  </si>
  <si>
    <t>Score: 542862 ** -320, -778, 4403, 324, 1316, 3170, 4743, 4495</t>
  </si>
  <si>
    <t>Score: 811093 ** -320, -778, 4403, 324, 1316, 3170, 4743, 4495</t>
  </si>
  <si>
    <t>Score: 875296 ** -320, -778, 4403, 324, 1316, 3170, 4743, 4495</t>
  </si>
  <si>
    <t>Score: 140106 ** -320, -778, 4403, 324, 1316, 3170, 4743, 4495</t>
  </si>
  <si>
    <t>Score: 1193972 ** -320, -778, 4403, 324, 1316, 3170, 4743, 4495</t>
  </si>
  <si>
    <t>Score: 477877 ** -320, -778, 4403, 324, 1316, 3170, 4743, 4495</t>
  </si>
  <si>
    <t>Score: 777270 ** -320, -778, 4403, 324, 1316, 3170, 4743, 4495</t>
  </si>
  <si>
    <t>Score: 248157 ** -320, -778, 4403, 324, 1316, 3170, 4743, 4495</t>
  </si>
  <si>
    <t>Score: 1411643 ** -320, -778, 4403, 324, 1316, 3170, 4743, 4495</t>
  </si>
  <si>
    <t>Score: 173477 ** -320, -778, 4403, 324, 1316, 3170, 4743, 4495</t>
  </si>
  <si>
    <t>Score: 20358 ** -320, -778, 4403, 324, 1316, 3170, 4743, 4495</t>
  </si>
  <si>
    <t>Score: 979112 ** -320, -778, 4403, 324, 1316, 3170, 4743, 4495</t>
  </si>
  <si>
    <t>Score: 1038081 ** -320, -778, 4403, 324, 1316, 3170, 4743, 4495</t>
  </si>
  <si>
    <t>Score: 1153745 ** -320, -778, 4403, 324, 1316, 3170, 4743, 4495</t>
  </si>
  <si>
    <t>Score: 1672262 ** -320, -778, 4403, 324, 1316, 3170, 4743, 4495</t>
  </si>
  <si>
    <t>Score: 506451 ** -320, -778, 4403, 324, 1316, 3170, 4743, 4495</t>
  </si>
  <si>
    <t>Score: 204745 ** -320, -778, 4403, 324, 1316, 3170, 4743, 4495</t>
  </si>
  <si>
    <t>Score: 1049014 ** -320, -778, 4403, 324, 1316, 3170, 4743, 4495</t>
  </si>
  <si>
    <t>Score: 198261 ** -320, -778, 4403, 324, 1316, 3170, 4743, 4495</t>
  </si>
  <si>
    <t>Score: 1435771 ** -320, -778, 4403, 324, 1316, 3170, 4743, 4495</t>
  </si>
  <si>
    <t>Score: 1088405 ** -320, -778, 4403, 324, 1316, 3170, 4743, 4495</t>
  </si>
  <si>
    <t>Score: 23676 ** -320, -778, 4403, 324, 1316, 3170, 4743, 4495</t>
  </si>
  <si>
    <t>Score: 553684 ** -320, -778, 4403, 324, 1316, 3170, 4743, 4495</t>
  </si>
  <si>
    <t>Score: 1450826 ** -320, -778, 4403, 324, 1316, 3170, 4743, 4495</t>
  </si>
  <si>
    <t>Score: 684784 ** -320, -778, 4403, 324, 1316, 3170, 4743, 4495</t>
  </si>
  <si>
    <t>Score: 316429 ** -320, -778, 4403, 324, 1316, 3170, 4743, 4495</t>
  </si>
  <si>
    <t>Score: 334039 ** -320, -778, 4403, 324, 1316, 3170, 4743, 4495</t>
  </si>
  <si>
    <t>Score: 616048 ** -320, -778, 4403, 324, 1316, 3170, 4743, 4495</t>
  </si>
  <si>
    <t>Score: 1368571 ** -320, -778, 4403, 324, 1316, 3170, 4743, 4495</t>
  </si>
  <si>
    <t>Score: 502751 ** -320, -778, 4403, 324, 1316, 3170, 4743, 4495</t>
  </si>
  <si>
    <t>Score: 364359 ** -320, -778, 4403, 324, 1316, 3170, 4743, 4495</t>
  </si>
  <si>
    <t>Score: 1224773 ** -320, -778, 4403, 324, 1316, 3170, 4743, 4495</t>
  </si>
  <si>
    <t>Score: 166798 ** -320, -778, 4403, 324, 1316, 3170, 4743, 4495</t>
  </si>
  <si>
    <t>Score: 750161 ** -320, -778, 4403, 324, 1316, 3170, 4743, 4495</t>
  </si>
  <si>
    <t>Score: 195119 ** -320, -778, 4403, 324, 1316, 3170, 4743, 4495</t>
  </si>
  <si>
    <t>Score: 1767827 ** -320, -778, 4403, 324, 1316, 3170, 4743, 4495</t>
  </si>
  <si>
    <t>Score: 499666 ** -320, -778, 4403, 324, 1316, 3170, 4743, 4495</t>
  </si>
  <si>
    <t>Score: 469223 ** -320, -778, 4403, 324, 1316, 3170, 4743, 4495</t>
  </si>
  <si>
    <t>Score: 188574 ** -320, -778, 4403, 324, 1316, 3170, 4743, 4495</t>
  </si>
  <si>
    <t>Score: 1147061 ** -320, -778, 4403, 324, 1316, 3170, 4743, 4495</t>
  </si>
  <si>
    <t>Score: 408473 ** -320, -778, 4403, 324, 1316, 3170, 4743, 4495</t>
  </si>
  <si>
    <t>Score: 1612830 ** -320, -778, 4403, 324, 1316, 3170, 4743, 4495</t>
  </si>
  <si>
    <t>Score: 1950553 ** -320, -778, 4403, 324, 1316, 3170, 4743, 4495</t>
  </si>
  <si>
    <t>Score: 537645 ** -320, -778, 4403, 324, 1316, 3170, 4743, 4495</t>
  </si>
  <si>
    <t>Score: 206685 ** -320, -778, 4403, 324, 1316, 3170, 4743, 4495</t>
  </si>
  <si>
    <t>Score: 753941 ** -320, -778, 4403, 324, 1316, 3170, 4743, 4495</t>
  </si>
  <si>
    <t>Score: 520988 ** -320, -778, 4403, 324, 1316, 3170, 4743, 4495</t>
  </si>
  <si>
    <t>Score: 959953 ** -320, -778, 4403, 324, 1316, 3170, 4743, 4495</t>
  </si>
  <si>
    <t>Score: 764839 ** -320, -778, 4403, 324, 1316, 3170, 4743, 4495</t>
  </si>
  <si>
    <t>Score: 3127720 ** -320, -778, 4403, 324, 1316, 3170, 4743, 4495</t>
  </si>
  <si>
    <t>Score: 49669 ** -320, -778, 4403, 324, 1316, 3170, 4743, 4495</t>
  </si>
  <si>
    <t>Score: 705223 ** -320, -778, 4403, 324, 1316, 3170, 4743, 4495</t>
  </si>
  <si>
    <t>Score: 328377 ** -320, -778, 4403, 324, 1316, 3170, 4743, 4495</t>
  </si>
  <si>
    <t>Score: 1121071 ** -320, -778, 4403, 324, 1316, 3170, 4743, 4495</t>
  </si>
  <si>
    <t>Score: 312429 ** -320, -778, 4403, 324, 1316, 3170, 4743, 4495</t>
  </si>
  <si>
    <t>Score: 601151 ** -320, -778, 4403, 324, 1316, 3170, 4743, 4495</t>
  </si>
  <si>
    <t>Score: 1127678 ** -320, -778, 4403, 324, 1316, 3170, 4743, 4495</t>
  </si>
  <si>
    <t>Score: 775996 ** -320, -778, 4403, 324, 1316, 3170, 4743, 4495</t>
  </si>
  <si>
    <t>Score: 98786 ** -320, -778, 4403, 324, 1316, 3170, 4743, 4495</t>
  </si>
  <si>
    <t>Score: 513095 ** -320, -778, 4403, 324, 1316, 3170, 4743, 4495</t>
  </si>
  <si>
    <t>Score: 884645 ** -320, -778, 4403, 324, 1316, 3170, 4743, 4495</t>
  </si>
  <si>
    <t>Score: 82155 ** -320, -778, 4403, 324, 1316, 3170, 4743, 4495</t>
  </si>
  <si>
    <t>Score: 317338 ** -320, -778, 4403, 324, 1316, 3170, 4743, 4495</t>
  </si>
  <si>
    <t>Score: 150691 ** -320, -778, 4403, 324, 1316, 3170, 4743, 4495</t>
  </si>
  <si>
    <t>Score: 552665 ** -320, -778, 4403, 324, 1316, 3170, 4743, 4495</t>
  </si>
  <si>
    <t>Score: 1315256 ** -320, -778, 4403, 324, 1316, 3170, 4743, 4495</t>
  </si>
  <si>
    <t>Score: 1724703 ** -320, -778, 4403, 324, 1316, 3170, 4743, 4495</t>
  </si>
  <si>
    <t>Score: 260967 ** -320, -778, 4403, 324, 1316, 3170, 4743, 4495</t>
  </si>
  <si>
    <t>Score: 299533 ** -320, -778, 4403, 324, 1316, 3170, 4743, 4495</t>
  </si>
  <si>
    <t>Score: 306444 ** -320, -778, 4403, 324, 1316, 3170, 4743, 4495</t>
  </si>
  <si>
    <t>Score: 296157 ** -320, -778, 4403, 324, 1316, 3170, 4743, 4495</t>
  </si>
  <si>
    <t>Score: 401592 ** -320, -778, 4403, 324, 1316, 3170, 4743, 4495</t>
  </si>
  <si>
    <t>Score: 614344 ** -320, -778, 4403, 324, 1316, 3170, 4743, 4495</t>
  </si>
  <si>
    <t>Score: 470010 ** -320, -778, 4403, 324, 1316, 3170, 4743, 4495</t>
  </si>
  <si>
    <t>Score: 599660 ** -320, -778, 4403, 324, 1316, 3170, 4743, 4495</t>
  </si>
  <si>
    <t>Score: 822645 ** -320, -778, 4403, 324, 1316, 3170, 4743, 4495</t>
  </si>
  <si>
    <t>Score: 279671 ** -320, -778, 4403, 324, 1316, 3170, 4743, 4495</t>
  </si>
  <si>
    <t>Score: 191635 ** -320, -778, 4403, 324, 1316, 3170, 4743, 4495</t>
  </si>
  <si>
    <t>Score: 1212750 ** -320, -778, 4403, 324, 1316, 3170, 4743, 4495</t>
  </si>
  <si>
    <t>Score: 366979 ** -320, -778, 4403, 324, 1316, 3170, 4743, 4495</t>
  </si>
  <si>
    <t>Score: 309195 ** -320, -778, 4403, 324, 1316, 3170, 4743, 4495</t>
  </si>
  <si>
    <t>Score: 124481 ** -320, -778, 4403, 324, 1316, 3170, 4743, 4495</t>
  </si>
  <si>
    <t>Score: 1712113 ** -320, -778, 4403, 324, 1316, 3170, 4743, 4495</t>
  </si>
  <si>
    <t>Score: 43439 ** -320, -778, 4403, 324, 1316, 3170, 4743, 4495</t>
  </si>
  <si>
    <t>Score: 619584 ** -320, -778, 4403, 324, 1316, 3170, 4743, 4495</t>
  </si>
  <si>
    <t>Score: 336746 ** -320, -778, 4403, 324, 1316, 3170, 4743, 4495</t>
  </si>
  <si>
    <t>Score: 1176929 ** -320, -778, 4403, 324, 1316, 3170, 4743, 4495</t>
  </si>
  <si>
    <t>Score: 884066 ** -320, -778, 4403, 324, 1316, 3170, 4743, 4495</t>
  </si>
  <si>
    <t>Score: 776128 ** -320, -778, 4403, 324, 1316, 3170, 4743, 4495</t>
  </si>
  <si>
    <t>Score: 278429 ** -320, -778, 4403, 324, 1316, 3170, 4743, 4495</t>
  </si>
  <si>
    <t>Score: 136674 ** -320, -778, 4403, 324, 1316, 3170, 4743, 4495</t>
  </si>
  <si>
    <t>Score: 607006 ** -320, -778, 4403, 324, 1316, 3170, 4743, 4495</t>
  </si>
  <si>
    <t>Score: 372873 ** -320, -778, 4403, 324, 1316, 3170, 4743, 4495</t>
  </si>
  <si>
    <t>Score: 642979 ** -320, -778, 4403, 324, 1316, 3170, 4743, 4495</t>
  </si>
  <si>
    <t>Score: 188689 ** -320, -778, 4403, 324, 1316, 3170, 4743, 4495</t>
  </si>
  <si>
    <t>Score: 2194060 ** -320, -778, 4403, 324, 1316, 3170, 4743, 4495</t>
  </si>
  <si>
    <t>Score: 282278 ** -320, -778, 4403, 324, 1316, 3170, 4743, 4495</t>
  </si>
  <si>
    <t>Score: 825244 ** -320, -778, 4403, 324, 1316, 3170, 4743, 4495</t>
  </si>
  <si>
    <t>Score: 1089968 ** -320, -778, 4403, 324, 1316, 3170, 4743, 4495</t>
  </si>
  <si>
    <t>Score: 2596670 ** -320, -778, 4403, 324, 1316, 3170, 4743, 4495</t>
  </si>
  <si>
    <t>Score: 206135 ** -320, -778, 4403, 324, 1316, 3170, 4743, 4495</t>
  </si>
  <si>
    <t>Score: 1147073 ** -320, -778, 4403, 324, 1316, 3170, 4743, 4495</t>
  </si>
  <si>
    <t>Score: 70607 ** -320, -778, 4403, 324, 1316, 3170, 4743, 4495</t>
  </si>
  <si>
    <t>Score: 401229 ** -320, -778, 4403, 324, 1316, 3170, 4743, 4495</t>
  </si>
  <si>
    <t>Score: 660326 ** -320, -778, 4403, 324, 1316, 3170, 4743, 4495</t>
  </si>
  <si>
    <t>Score: 601363 ** -320, -778, 4403, 324, 1316, 3170, 4743, 4495</t>
  </si>
  <si>
    <t>Score: 577366 ** -320, -778, 4403, 324, 1316, 3170, 4743, 4495</t>
  </si>
  <si>
    <t>Score: 4134995 ** -320, -778, 4403, 324, 1316, 3170, 4743, 4495</t>
  </si>
  <si>
    <t>Score: 499707 ** -320, -778, 4403, 324, 1316, 3170, 4743, 4495</t>
  </si>
  <si>
    <t>Score: 2903777 ** -320, -778, 4403, 324, 1316, 3170, 4743, 4495</t>
  </si>
  <si>
    <t>Score: 535121 ** -320, -778, 4403, 324, 1316, 3170, 4743, 4495</t>
  </si>
  <si>
    <t>Score: 1909649 ** -320, -778, 4403, 324, 1316, 3170, 4743, 4495</t>
  </si>
  <si>
    <t>Score: 604360 ** -320, -778, 4403, 324, 1316, 3170, 4743, 4495</t>
  </si>
  <si>
    <t>Score: 261135 ** -320, -778, 4403, 324, 1316, 3170, 4743, 4495</t>
  </si>
  <si>
    <t>Score: 63196 ** -320, -778, 4403, 324, 1316, 3170, 4743, 4495</t>
  </si>
  <si>
    <t>Score: 967558 ** -320, -778, 4403, 324, 1316, 3170, 4743, 4495</t>
  </si>
  <si>
    <t>Score: 59396 ** -320, -778, 4403, 324, 1316, 3170, 4743, 4495</t>
  </si>
  <si>
    <t>Score: 121413 ** -320, -778, 4403, 324, 1316, 3170, 4743, 4495</t>
  </si>
  <si>
    <t>Score: 87329 ** -320, -778, 4403, 324, 1316, 3170, 4743, 4495</t>
  </si>
  <si>
    <t>Score: 1297138 ** -320, -778, 4403, 324, 1316, 3170, 4743, 4495</t>
  </si>
  <si>
    <t>Score: 193009 ** -320, -778, 4403, 324, 1316, 3170, 4743, 4495</t>
  </si>
  <si>
    <t>Score: 506423 ** -320, -778, 4403, 324, 1316, 3170, 4743, 4495</t>
  </si>
  <si>
    <t>Score: 4505154 ** -320, -778, 4403, 324, 1316, 3170, 4743, 4495</t>
  </si>
  <si>
    <t>Score: 1014248 ** -320, -778, 4403, 324, 1316, 3170, 4743, 4495</t>
  </si>
  <si>
    <t>Score: 387076 ** -320, -778, 4403, 324, 1316, 3170, 4743, 4495</t>
  </si>
  <si>
    <t>Score: 1079616 ** -320, -778, 4403, 324, 1316, 3170, 4743, 4495</t>
  </si>
  <si>
    <t>Score: 900587 ** -320, -778, 4403, 324, 1316, 3170, 4743, 4495</t>
  </si>
  <si>
    <t>Score: 544914 ** -320, -778, 4403, 324, 1316, 3170, 4743, 4495</t>
  </si>
  <si>
    <t>Score: 345045 ** -320, -778, 4403, 324, 1316, 3170, 4743, 4495</t>
  </si>
  <si>
    <t>Score: 1610341 ** -320, -778, 4403, 324, 1316, 3170, 4743, 4495</t>
  </si>
  <si>
    <t>Score: 2178794 ** -320, -778, 4403, 324, 1316, 3170, 4743, 4495</t>
  </si>
  <si>
    <t>Score: 369827 ** -320, -778, 4403, 324, 1316, 3170, 4743, 4495</t>
  </si>
  <si>
    <t>Score: 525176 ** -320, -778, 4403, 324, 1316, 3170, 4743, 4495</t>
  </si>
  <si>
    <t>Score: 278612 ** -320, -778, 4403, 324, 1316, 3170, 4743, 4495</t>
  </si>
  <si>
    <t>Score: 637194 ** -320, -778, 4403, 324, 1316, 3170, 4743, 4495</t>
  </si>
  <si>
    <t>Score: 1063865 ** -320, -778, 4403, 324, 1316, 3170, 4743, 4495</t>
  </si>
  <si>
    <t>Score: 825566 ** -320, -778, 4403, 324, 1316, 3170, 4743, 4495</t>
  </si>
  <si>
    <t>Score: 810955 ** -320, -778, 4403, 324, 1316, 3170, 4743, 4495</t>
  </si>
  <si>
    <t>Score: 1203593 ** -320, -778, 4403, 324, 1316, 3170, 4743, 4495</t>
  </si>
  <si>
    <t>Score: 111572 ** -320, -778, 4403, 324, 1316, 3170, 4743, 4495</t>
  </si>
  <si>
    <t>Score: 161570 ** -320, -778, 4403, 324, 1316, 3170, 4743, 4495</t>
  </si>
  <si>
    <t>Score: 543117 ** -320, -778, 4403, 324, 1316, 3170, 4743, 4495</t>
  </si>
  <si>
    <t>Score: 1251134 ** -320, -778, 4403, 324, 1316, 3170, 4743, 4495</t>
  </si>
  <si>
    <t>Score: 2852676 ** -320, -778, 4403, 324, 1316, 3170, 4743, 4495</t>
  </si>
  <si>
    <t>Score: 629157 ** -320, -778, 4403, 324, 1316, 3170, 4743, 4495</t>
  </si>
  <si>
    <t>Score: 904727 ** -320, -778, 4403, 324, 1316, 3170, 4743, 4495</t>
  </si>
  <si>
    <t>Score: 173833 ** -320, -778, 4403, 324, 1316, 3170, 4743, 4495</t>
  </si>
  <si>
    <t>Score: 55252 ** -319, -778, 4404, 321, 1318, 3167, 4748, 4497</t>
  </si>
  <si>
    <t>Score: 226175 ** -322, -778, 4404, 325, 1317, 3170, 4748, 4498</t>
  </si>
  <si>
    <t>Score: 468227 ** -317, -775, 4401, 321, 1315, 3173, 4747, 4495</t>
  </si>
  <si>
    <t>Score: 404010 ** -320, -778, 4401, 321, 1321, 3175, 4744, 4496</t>
  </si>
  <si>
    <t>Score: 914197 ** -322, -778, 4403, 322, 1313, 3166, 4747, 4498</t>
  </si>
  <si>
    <t>Score: 615723 ** -324, -782, 4404, 325, 1312, 3166, 4745, 4495</t>
  </si>
  <si>
    <t>Score: 110586 ** -320, -778, 4402, 326, 1316, 3170, 4739, 4498</t>
  </si>
  <si>
    <t>Score: 542588 ** -321, -779, 4403, 327, 1314, 3173, 4742, 4497</t>
  </si>
  <si>
    <t>Score: 492608 ** -318, -773, 4399, 328, 1313, 3170, 4740, 4499</t>
  </si>
  <si>
    <t>Score: 524017 ** -324, -773, 4408, 323, 1319, 3175, 4741, 4493</t>
  </si>
  <si>
    <t>Score: 687662 ** -323, -778, 4400, 324, 1321, 3174, 4744, 4500</t>
  </si>
  <si>
    <t>Score: 925754 ** -321, -778, 4399, 325, 1312, 3174, 4744, 4498</t>
  </si>
  <si>
    <t>Score: 89251 ** -322, -774, 4401, 324, 1313, 3172, 4743, 4494</t>
  </si>
  <si>
    <t>Score: 282353 ** -320, -778, 4407, 329, 1316, 3168, 4743, 4498</t>
  </si>
  <si>
    <t>Score: 2179208 ** -315, -773, 4400, 320, 1315, 3170, 4741, 4495</t>
  </si>
  <si>
    <t>Score: 1009676 ** -318, -777, 4405, 320, 1312, 3168, 4743, 4496</t>
  </si>
  <si>
    <t>Score: 723933 ** -318, -781, 4407, 325, 1315, 3172, 4740, 4493</t>
  </si>
  <si>
    <t>Score: 507206 ** -316, -776, 4408, 321, 1316, 3166, 4748, 4492</t>
  </si>
  <si>
    <t>Score: 487209 ** -323, -778, 4406, 329, 1314, 3170, 4739, 4496</t>
  </si>
  <si>
    <t>Score: 539600 ** -322, -777, 4404, 329, 1320, 3174, 4739, 4500</t>
  </si>
  <si>
    <t>Score: 1695597 ** -320, -777, 4402, 321, 1313, 3168, 4744, 4493</t>
  </si>
  <si>
    <t>Score: 295482 ** -315, -782, 4406, 324, 1312, 3173, 4747, 4493</t>
  </si>
  <si>
    <t>Score: 1208436 ** -317, -777, 4403, 327, 1314, 3168, 4740, 4498</t>
  </si>
  <si>
    <t>Score: 35456 ** -320, -780, 4401, 323, 1317, 3168, 4744, 4491</t>
  </si>
  <si>
    <t>Score: 700246 ** -316, -773, 4399, 327, 1315, 3169, 4739, 4492</t>
  </si>
  <si>
    <t>Score: 173848 ** -315, -776, 4408, 323, 1321, 3169, 4745, 4493</t>
  </si>
  <si>
    <t>Score: 507193 ** -315, -778, 4399, 324, 1320, 3166, 4742, 4495</t>
  </si>
  <si>
    <t>Score: 560359 ** -315, -778, 4408, 320, 1316, 3169, 4740, 4492</t>
  </si>
  <si>
    <t>Score: 810527 ** -315, -780, 4400, 320, 1321, 3169, 4748, 4492</t>
  </si>
  <si>
    <t>Score: 1299175 ** -322, -781, 4406, 327, 1318, 3170, 4740, 4496</t>
  </si>
  <si>
    <t>Score: 690552 ** -320, -775, 4401, 324, 1312, 3166, 4743, 4495</t>
  </si>
  <si>
    <t>Score: 3137540 ** -323, -782, 4401, 329, 1316, 3170, 4743, 4492</t>
  </si>
  <si>
    <t>Score: 308761 ** -323, -777, 4405, 326, 1312, 3175, 4744, 4495</t>
  </si>
  <si>
    <t>Score: 511822 ** -315, -779, 4404, 322, 1312, 3172, 4747, 4496</t>
  </si>
  <si>
    <t>Score: 539681 ** -319, -774, 4406, 321, 1314, 3172, 4743, 4491</t>
  </si>
  <si>
    <t>Score: 1458629 ** -321, -778, 4403, 324, 1318, 3174, 4739, 4491</t>
  </si>
  <si>
    <t>Score: 534930 ** -322, -782, 4403, 329, 1319, 3167, 4743, 4495</t>
  </si>
  <si>
    <t>Score: 420604 ** -321, -778, 4399, 325, 1320, 3173, 4743, 4494</t>
  </si>
  <si>
    <t>Score: 2732658 ** -317, -777, 4402, 326, 1314, 3174, 4739, 4493</t>
  </si>
  <si>
    <t>Score: 679252 ** -317, -776, 4406, 325, 1315, 3167, 4742, 4495</t>
  </si>
  <si>
    <t>Score: 603971 ** -319, -777, 4407, 325, 1314, 3172, 4747, 4493</t>
  </si>
  <si>
    <t>Score: 392947 ** -320, -782, 4404, 320, 1314, 3170, 4743, 4499</t>
  </si>
  <si>
    <t>Score: 76226 ** -315, -775, 4404, 324, 1319, 3171, 4743, 4495</t>
  </si>
  <si>
    <t>Score: 1620693 ** -315, -780, 4404, 324, 1318, 3169, 4745, 4491</t>
  </si>
  <si>
    <t>Score: 456878 ** -316, -777, 4402, 324, 1315, 3173, 4741, 4499</t>
  </si>
  <si>
    <t>Score: 451578 ** -317, -778, 4402, 325, 1315, 3167, 4743, 4498</t>
  </si>
  <si>
    <t>Score: 830102 ** -320, -781, 4405, 323, 1320, 3170, 4746, 4495</t>
  </si>
  <si>
    <t>Score: 509010 ** -322, -778, 4400, 329, 1316, 3172, 4739, 4491</t>
  </si>
  <si>
    <t>Score: 204951 ** -319, -775, 4408, 328, 1319, 3172, 4740, 4492</t>
  </si>
  <si>
    <t>Score: 891064 ** -322, -774, 4401, 325, 1312, 3170, 4742, 4496</t>
  </si>
  <si>
    <t>Score: 633717 ** -323, -781, 4402, 328, 1316, 3174, 4742, 4496</t>
  </si>
  <si>
    <t>Score: 107274 ** -322, -781, 4399, 322, 1320, 3168, 4741, 4496</t>
  </si>
  <si>
    <t>Score: 510323 ** -316, -778, 4403, 327, 1316, 3169, 4740, 4499</t>
  </si>
  <si>
    <t>Score: 816723 ** -323, -781, 4399, 328, 1321, 3173, 4741, 4497</t>
  </si>
  <si>
    <t>Score: 391016 ** -317, -774, 4401, 326, 1321, 3166, 4747, 4493</t>
  </si>
  <si>
    <t>Score: 66584 ** -317, -774, 4403, 328, 1318, 3173, 4743, 4496</t>
  </si>
  <si>
    <t>Score: 216529 ** -317, -778, 4407, 329, 1316, 3170, 4745, 4493</t>
  </si>
  <si>
    <t>Score: 1375067 ** -316, -782, 4403, 323, 1320, 3173, 4742, 4497</t>
  </si>
  <si>
    <t>Score: 727182 ** -321, -778, 4400, 323, 1315, 3169, 4743, 4491</t>
  </si>
  <si>
    <t>Score: 682925 ** -320, -775, 4405, 326, 1315, 3167, 4743, 4492</t>
  </si>
  <si>
    <t>Score: 55745 ** -316, -779, 4399, 326, 1316, 3172, 4743, 4498</t>
  </si>
  <si>
    <t>Score: 241506 ** -318, -773, 4407, 325, 1318, 3174, 4742, 4495</t>
  </si>
  <si>
    <t>Score: 819484 ** -316, -778, 4407, 326, 1316, 3172, 4743, 4493</t>
  </si>
  <si>
    <t>Score: 1136121 ** -321, -781, 4401, 320, 1318, 3171, 4739, 4497</t>
  </si>
  <si>
    <t>Score: 61564 ** -322, -776, 4404, 323, 1313, 3173, 4742, 4500</t>
  </si>
  <si>
    <t>Score: 3511977 ** -322, -781, 4404, 320, 1318, 3172, 4742, 4495</t>
  </si>
  <si>
    <t>Score: 764958 ** -322, -777, 4406, 329, 1316, 3170, 4742, 4495</t>
  </si>
  <si>
    <t>Score: 486621 ** -318, -775, 4406, 325, 1312, 3170, 4746, 4491</t>
  </si>
  <si>
    <t>Score: 909400 ** -320, -775, 4406, 324, 1317, 3171, 4741, 4491</t>
  </si>
  <si>
    <t>Score: 444539 ** -320, -780, 4399, 324, 1321, 3167, 4747, 4495</t>
  </si>
  <si>
    <t>Score: 41409 ** -320, -781, 4403, 329, 1320, 3175, 4741, 4494</t>
  </si>
  <si>
    <t>Score: 540569 ** -321, -777, 4403, 329, 1317, 3166, 4745, 4491</t>
  </si>
  <si>
    <t>Score: 1342312 ** -317, -781, 4401, 329, 1314, 3167, 4740, 4498</t>
  </si>
  <si>
    <t>Score: 255039 ** -323, -775, 4407, 321, 1312, 3169, 4740, 4500</t>
  </si>
  <si>
    <t>Score: 2443446 ** -323, -780, 4399, 326, 1321, 3174, 4740, 4500</t>
  </si>
  <si>
    <t>Score: 331375 ** -317, -777, 4406, 324, 1321, 3169, 4741, 4495</t>
  </si>
  <si>
    <t>Score: 1299277 ** -317, -774, 4402, 327, 1319, 3170, 4747, 4496</t>
  </si>
  <si>
    <t>Score: 583568 ** -323, -775, 4405, 328, 1316, 3170, 4739, 4495</t>
  </si>
  <si>
    <t>Score: 1158178 ** -320, -774, 4403, 322, 1321, 3175, 4743, 4496</t>
  </si>
  <si>
    <t>Score: 324212 ** -315, -774, 4405, 320, 1320, 3172, 4739, 4498</t>
  </si>
  <si>
    <t>Score: 940438 ** -321, -782, 4401, 320, 1314, 3170, 4741, 4495</t>
  </si>
  <si>
    <t>Score: 318611 ** -316, -776, 4404, 324, 1314, 3168, 4739, 4497</t>
  </si>
  <si>
    <t>Score: 1507458 ** -322, -778, 4399, 327, 1314, 3174, 4748, 4492</t>
  </si>
  <si>
    <t>Score: 88935 ** -324, -775, 4401, 321, 1317, 3170, 4747, 4498</t>
  </si>
  <si>
    <t>Score: 427526 ** -318, -774, 4407, 329, 1315, 3172, 4743, 4491</t>
  </si>
  <si>
    <t>Score: 2034921 ** -319, -776, 4403, 328, 1316, 3173, 4739, 4495</t>
  </si>
  <si>
    <t>Score: 758804 ** -324, -776, 4400, 324, 1314, 3172, 4746, 4497</t>
  </si>
  <si>
    <t>Score: 9895 ** -319, -778, 4407, 321, 1312, 3170, 4739, 4500</t>
  </si>
  <si>
    <t>Score: 2418074 ** -318, -780, 4404, 329, 1319, 3167, 4747, 4498</t>
  </si>
  <si>
    <t>Score: 267742 ** -324, -779, 4402, 322, 1316, 3167, 4748, 4495</t>
  </si>
  <si>
    <t>Score: 185845 ** -318, -777, 4403, 324, 1316, 3167, 4743, 4495</t>
  </si>
  <si>
    <t>Score: 917832 ** -317, -778, 4408, 328, 1319, 3172, 4748, 4499</t>
  </si>
  <si>
    <t>Score: 1014366 ** -320, -773, 4406, 327, 1319, 3169, 4745, 4497</t>
  </si>
  <si>
    <t>Score: 490812 ** -320, -778, 4401, 329, 1312, 3173, 4743, 4496</t>
  </si>
  <si>
    <t>Score: 1200930 ** -316, -782, 4404, 324, 1313, 3171, 4740, 4493</t>
  </si>
  <si>
    <t>Score: 963189 ** -324, -779, 4407, 329, 1318, 3172, 4743, 4492</t>
  </si>
  <si>
    <t>Score: 100162 ** -320, -779, 4407, 326, 1314, 3169, 4744, 4492</t>
  </si>
  <si>
    <t>Score: 1101875 ** -315, -778, 4401, 322, 1320, 3169, 4743, 4495</t>
  </si>
  <si>
    <t>Score: 161858 ** -315, -776, 4403, 322, 1317, 3171, 4745, 4494</t>
  </si>
  <si>
    <t>Score: 2228141 ** -317, -773, 4402, 328, 1316, 3166, 4742, 4496</t>
  </si>
  <si>
    <t>Score: 560282 ** -316, -775, 4401, 326, 1312, 3167, 4744, 4497</t>
  </si>
  <si>
    <t>Score: 530655 ** -315, -778, 4405, 327, 1313, 3170, 4742, 4498</t>
  </si>
  <si>
    <t>Score: 396706 ** -320, -782, 4399, 322, 1312, 3175, 4743, 4492</t>
  </si>
  <si>
    <t>Score: 72388 ** -315, -778, 4405, 329, 1317, 3168, 4741, 4495</t>
  </si>
  <si>
    <t>Score: 525808 ** -322, -779, 4402, 329, 1315, 3172, 4744, 4495</t>
  </si>
  <si>
    <t>Score: 763429 ** -324, -778, 4401, 328, 1319, 3175, 4743, 4497</t>
  </si>
  <si>
    <t>Score: 2040141 ** -315, -773, 4405, 324, 1315, 3169, 4739, 4498</t>
  </si>
  <si>
    <t>Score: 582097 ** -318, -776, 4402, 325, 1318, 3170, 4743, 4500</t>
  </si>
  <si>
    <t>Score: 55410 ** -321, -774, 4408, 324, 1321, 3174, 4739, 4495</t>
  </si>
  <si>
    <t>Score: 150904 ** -315, -780, 4399, 326, 1314, 3175, 4743, 4498</t>
  </si>
  <si>
    <t>Score: 506929 ** -318, -777, 4401, 327, 1315, 3171, 4747, 4500</t>
  </si>
  <si>
    <t>Score: 2540729 ** -318, -778, 4401, 326, 1312, 3167, 4743, 4495</t>
  </si>
  <si>
    <t>Score: 498886 ** -316, -779, 4407, 321, 1318, 3173, 4741, 4491</t>
  </si>
  <si>
    <t>Score: 976755 ** -323, -778, 4407, 327, 1316, 3170, 4742, 4496</t>
  </si>
  <si>
    <t>Score: 128396 ** -323, -775, 4407, 321, 1321, 3169, 4744, 4493</t>
  </si>
  <si>
    <t>Score: 847430 ** -318, -776, 4405, 329, 1316, 3175, 4742, 4494</t>
  </si>
  <si>
    <t>Score: 871702 ** -318, -774, 4400, 327, 1313, 3167, 4747, 4495</t>
  </si>
  <si>
    <t>Score: 1837063 ** -319, -781, 4407, 323, 1316, 3174, 4746, 4495</t>
  </si>
  <si>
    <t>Score: 433128 ** -315, -777, 4406, 326, 1318, 3167, 4741, 4491</t>
  </si>
  <si>
    <t>Score: 940635 ** -315, -774, 4403, 328, 1319, 3170, 4746, 4494</t>
  </si>
  <si>
    <t>Score: 389551 ** -317, -781, 4408, 321, 1321, 3167, 4744, 4491</t>
  </si>
  <si>
    <t>Score: 161564 ** -323, -779, 4402, 320, 1313, 3172, 4744, 4493</t>
  </si>
  <si>
    <t>Score: 148875 ** -323, -774, 4403, 323, 1316, 3175, 4746, 4499</t>
  </si>
  <si>
    <t>Score: 382035 ** -320, -780, 4403, 321, 1316, 3171, 4743, 4494</t>
  </si>
  <si>
    <t>Score: 1532079 ** -324, -779, 4406, 327, 1314, 3175, 4739, 4500</t>
  </si>
  <si>
    <t>Score: 1275794 ** -317, -782, 4406, 327, 1314, 3170, 4745, 4496</t>
  </si>
  <si>
    <t>Score: 52100 ** -323, -780, 4399, 326, 1316, 3170, 4746, 4493</t>
  </si>
  <si>
    <t>Score: 846756 ** -317, -778, 4401, 325, 1318, 3170, 4748, 4495</t>
  </si>
  <si>
    <t>Score: 458011 ** -319, -778, 4406, 323, 1316, 3170, 4746, 4496</t>
  </si>
  <si>
    <t>Score: 1869389 ** -322, -781, 4404, 326, 1316, 3174, 4740, 4496</t>
  </si>
  <si>
    <t>Score: 307952 ** -315, -777, 4408, 321, 1320, 3167, 4748, 4491</t>
  </si>
  <si>
    <t>Score: 1733261 ** -317, -773, 4401, 324, 1316, 3168, 4743, 4493</t>
  </si>
  <si>
    <t>Score: 407127 ** -319, -780, 4402, 327, 1312, 3171, 4747, 4491</t>
  </si>
  <si>
    <t>Score: 142370 ** -317, -779, 4403, 327, 1313, 3173, 4748, 4496</t>
  </si>
  <si>
    <t>Score: 488281 ** -319, -775, 4407, 323, 1316, 3167, 4739, 4499</t>
  </si>
  <si>
    <t>Score: 629608 ** -320, -779, 4406, 323, 1319, 3171, 4745, 4493</t>
  </si>
  <si>
    <t>Score: 238379 ** -318, -777, 4404, 328, 1312, 3174, 4739, 4491</t>
  </si>
  <si>
    <t>Score: 1478295 ** -322, -780, 4408, 324, 1319, 3169, 4745, 4492</t>
  </si>
  <si>
    <t>Score: 1858090 ** -317, -778, 4399, 321, 1314, 3172, 4741, 4495</t>
  </si>
  <si>
    <t>Score: 413182 ** -317, -778, 4401, 320, 1318, 3172, 4747, 4500</t>
  </si>
  <si>
    <t>Score: 441672 ** -322, -779, 4406, 321, 1314, 3167, 4739, 4496</t>
  </si>
  <si>
    <t>Score: 899198 ** -323, -778, 4402, 326, 1315, 3169, 4748, 4493</t>
  </si>
  <si>
    <t>Score: 387350 ** -318, -773, 4407, 327, 1313, 3175, 4741, 4499</t>
  </si>
  <si>
    <t>Score: 270467 ** -316, -778, 4402, 327, 1312, 3174, 4742, 4495</t>
  </si>
  <si>
    <t>Score: 409920 ** -320, -782, 4399, 321, 1312, 3172, 4743, 4498</t>
  </si>
  <si>
    <t>Score: 1007602 ** -320, -779, 4403, 325, 1315, 3170, 4744, 4495</t>
  </si>
  <si>
    <t>Score: 477334 ** -320, -774, 4408, 324, 1315, 3169, 4741, 4495</t>
  </si>
  <si>
    <t>Score: 617318 ** -318, -781, 4406, 324, 1315, 3172, 4739, 4500</t>
  </si>
  <si>
    <t>Score: 1164 ** -320, -775, 4404, 322, 1321, 3175, 4743, 4494</t>
  </si>
  <si>
    <t>Score: 129268 ** -318, -773, 4402, 321, 1318, 3174, 4740, 4492</t>
  </si>
  <si>
    <t>Score: 276378 ** -316, -781, 4407, 322, 1314, 3172, 4739, 4493</t>
  </si>
  <si>
    <t>Score: 2266911 ** -319, -780, 4406, 328, 1313, 3166, 4739, 4495</t>
  </si>
  <si>
    <t>Score: 81277 ** -318, -773, 4400, 329, 1313, 3174, 4741, 4492</t>
  </si>
  <si>
    <t>Score: 93083 ** -320, -777, 4403, 329, 1316, 3174, 4747, 4497</t>
  </si>
  <si>
    <t>Score: 2758913 ** -320, -773, 4407, 327, 1316, 3168, 4741, 4500</t>
  </si>
  <si>
    <t>Score: 22211 ** -321, -782, 4402, 325, 1318, 3174, 4740, 4495</t>
  </si>
  <si>
    <t>Score: 869374 ** -315, -776, 4401, 327, 1312, 3166, 4743, 4495</t>
  </si>
  <si>
    <t>Score: 226952 ** -324, -774, 4401, 325, 1312, 3166, 4744, 4494</t>
  </si>
  <si>
    <t>Score: 595498 ** -321, -774, 4406, 326, 1314, 3174, 4743, 4497</t>
  </si>
  <si>
    <t>Score: 92463 ** -318, -782, 4405, 323, 1316, 3170, 4741, 4495</t>
  </si>
  <si>
    <t>Score: 311117 ** -315, -782, 4400, 320, 1316, 3171, 4741, 4499</t>
  </si>
  <si>
    <t>Score: 1418773 ** -315, -778, 4406, 327, 1320, 3175, 4740, 4495</t>
  </si>
  <si>
    <t>Score: 121601 ** -316, -781, 4402, 328, 1312, 3175, 4747, 4497</t>
  </si>
  <si>
    <t>Score: 607532 ** -320, -780, 4399, 325, 1316, 3168, 4743, 4495</t>
  </si>
  <si>
    <t>Score: 1532627 ** -322, -777, 4406, 326, 1318, 3172, 4740, 4499</t>
  </si>
  <si>
    <t>Score: 461037 ** -320, -778, 4402, 324, 1312, 3167, 4746, 4498</t>
  </si>
  <si>
    <t>Score: 505643 ** -324, -782, 4401, 327, 1315, 3174, 4745, 4499</t>
  </si>
  <si>
    <t>Score: 495715 ** -318, -778, 4408, 324, 1313, 3175, 4744, 4500</t>
  </si>
  <si>
    <t>Score: 1206304 ** -319, -778, 4405, 325, 1316, 3166, 4746, 4496</t>
  </si>
  <si>
    <t>Score: 1175221 ** -318, -779, 4403, 320, 1316, 3169, 4745, 4493</t>
  </si>
  <si>
    <t>Score: 492396 ** -320, -781, 4405, 324, 1312, 3173, 4746, 4499</t>
  </si>
  <si>
    <t>Score: 827900 ** -324, -780, 4405, 322, 1316, 3175, 4740, 4500</t>
  </si>
  <si>
    <t>Score: 2431002 ** -323, -778, 4401, 325, 1316, 3169, 4744, 4491</t>
  </si>
  <si>
    <t>Score: 281165 ** -316, -775, 4406, 320, 1317, 3170, 4743, 4492</t>
  </si>
  <si>
    <t>Score: 474563 ** -323, -781, 4401, 325, 1320, 3166, 4746, 4496</t>
  </si>
  <si>
    <t>Score: 175818 ** -320, -780, 4406, 328, 1315, 3174, 4745, 4496</t>
  </si>
  <si>
    <t>Score: 433026 ** -316, -782, 4403, 324, 1314, 3170, 4748, 4493</t>
  </si>
  <si>
    <t>Score: 434896 ** -317, -779, 4400, 326, 1318, 3166, 4740, 4495</t>
  </si>
  <si>
    <t>Score: 2662206 ** -315, -778, 4408, 323, 1316, 3170, 4740, 4494</t>
  </si>
  <si>
    <t>Score: 1495113 ** -318, -773, 4406, 328, 1317, 3167, 4742, 4491</t>
  </si>
  <si>
    <t>Score: 882603 ** -324, -774, 4399, 326, 1313, 3170, 4743, 4493</t>
  </si>
  <si>
    <t>Score: 194617 ** -317, -773, 4399, 322, 1317, 3174, 4746, 4496</t>
  </si>
  <si>
    <t>Score: 221579 ** -321, -773, 4403, 320, 1312, 3175, 4741, 4500</t>
  </si>
  <si>
    <t>Score: 130181 ** -315, -781, 4407, 329, 1319, 3174, 4744, 4500</t>
  </si>
  <si>
    <t>Score: 695624 ** -324, -780, 4403, 327, 1316, 3172, 4740, 4491</t>
  </si>
  <si>
    <t>Score: 380107 ** -320, -777, 4408, 323, 1316, 3171, 4742, 4492</t>
  </si>
  <si>
    <t>Score: 288988 ** -319, -778, 4406, 324, 1315, 3169, 4743, 4492</t>
  </si>
  <si>
    <t>Score: 2107569 ** -323, -780, 4408, 327, 1316, 3166, 4742, 4491</t>
  </si>
  <si>
    <t>Score: 1454266 ** -319, -780, 4403, 324, 1318, 3172, 4743, 4493</t>
  </si>
  <si>
    <t>Score: 491273 ** -315, -774, 4402, 325, 1314, 3168, 4743, 4496</t>
  </si>
  <si>
    <t>Score: 100628 ** -315, -782, 4403, 324, 1316, 3173, 4744, 4495</t>
  </si>
  <si>
    <t>Score: 77249 ** -321, -773, 4399, 325, 1316, 3172, 4741, 4497</t>
  </si>
  <si>
    <t>Score: 3969487 ** -320, -776, 4408, 323, 1315, 3175, 4745, 4493</t>
  </si>
  <si>
    <t>Score: 209153 ** -315, -780, 4406, 328, 1313, 3168, 4741, 4498</t>
  </si>
  <si>
    <t>Score: 53609 ** -324, -777, 4401, 324, 1319, 3170, 4743, 4491</t>
  </si>
  <si>
    <t>Score: 164341 ** -320, -781, 4403, 325, 1312, 3170, 4741, 4500</t>
  </si>
  <si>
    <t>Score: 934199 ** -324, -780, 4403, 322, 1316, 3167, 4743, 4491</t>
  </si>
  <si>
    <t>Score: 987721 ** -316, -774, 4404, 327, 1316, 3170, 4739, 4497</t>
  </si>
  <si>
    <t>Score: 629712 ** -320, -779, 4406, 324, 1313, 3166, 4740, 4491</t>
  </si>
  <si>
    <t>Score: 250406 ** -316, -777, 4403, 327, 1318, 3170, 4746, 4491</t>
  </si>
  <si>
    <t>Score: 35650 ** -318, -775, 4401, 327, 1316, 3175, 4748, 4494</t>
  </si>
  <si>
    <t>Score: 1373355 ** -318, -780, 4400, 326, 1316, 3173, 4739, 4497</t>
  </si>
  <si>
    <t>Score: 519315 ** -316, -775, 4403, 327, 1316, 3170, 4742, 4499</t>
  </si>
  <si>
    <t>Score: 198619 ** -324, -773, 4399, 328, 1321, 3172, 4745, 4493</t>
  </si>
  <si>
    <t>Score: 737014 ** -318, -775, 4406, 323, 1316, 3170, 4746, 4496</t>
  </si>
  <si>
    <t>Score: 837152 ** -319, -775, 4403, 321, 1319, 3167, 4746, 4491</t>
  </si>
  <si>
    <t>Score: 1955650 ** -317, -780, 4407, 323, 1312, 3171, 4743, 4496</t>
  </si>
  <si>
    <t>Score: 595367 ** -317, -782, 4403, 321, 1312, 3172, 4740, 4498</t>
  </si>
  <si>
    <t>Score: 1888890 ** -320, -780, 4405, 328, 1317, 3173, 4746, 4491</t>
  </si>
  <si>
    <t>Score: 469423 ** -321, -781, 4403, 324, 1316, 3175, 4741, 4498</t>
  </si>
  <si>
    <t>Score: 115322 ** -318, -779, 4402, 325, 1318, 3169, 4739, 4497</t>
  </si>
  <si>
    <t>Score: 26811 ** -320, -777, 4404, 329, 1314, 3175, 4742, 4495</t>
  </si>
  <si>
    <t>Score: 791426 ** -323, -780, 4399, 325, 1318, 3170, 4740, 4495</t>
  </si>
  <si>
    <t>Score: 1522709 ** -318, -779, 4405, 323, 1314, 3166, 4740, 4491</t>
  </si>
  <si>
    <t>Score: 1299290 ** -319, -773, 4400, 329, 1321, 3172, 4742, 4496</t>
  </si>
  <si>
    <t>Score: 316472 ** -317, -774, 4408, 329, 1316, 3171, 4742, 4498</t>
  </si>
  <si>
    <t>Score: 307693 ** -323, -780, 4405, 328, 1319, 3171, 4746, 4495</t>
  </si>
  <si>
    <t>Score: 909489 ** -324, -777, 4402, 325, 1321, 3172, 4743, 4495</t>
  </si>
  <si>
    <t>Score: 274709 ** -315, -778, 4405, 327, 1312, 3166, 4740, 4494</t>
  </si>
  <si>
    <t>Score: 18437 ** -317, -776, 4401, 325, 1313, 3173, 4740, 4498</t>
  </si>
  <si>
    <t>Score: 272820 ** -322, -776, 4401, 320, 1316, 3172, 4742, 4500</t>
  </si>
  <si>
    <t>Score: 801175 ** -318, -782, 4406, 325, 1321, 3168, 4742, 4491</t>
  </si>
  <si>
    <t>Score: 446372 ** -317, -773, 4403, 327, 1315, 3172, 4742, 4500</t>
  </si>
  <si>
    <t>Score: 939994 ** -316, -779, 4403, 327, 1321, 3173, 4744, 4497</t>
  </si>
  <si>
    <t>Score: 1578465 ** -323, -773, 4405, 327, 1315, 3170, 4748, 4499</t>
  </si>
  <si>
    <t>Score: 1191466 ** -318, -778, 4400, 323, 1313, 3169, 4743, 4500</t>
  </si>
  <si>
    <t>Score: 1383228 ** -324, -781, 4401, 325, 1313, 3166, 4739, 4499</t>
  </si>
  <si>
    <t>Score: 893758 ** -323, -778, 4400, 323, 1317, 3168, 4739, 4496</t>
  </si>
  <si>
    <t>Score: 351453 ** -321, -779, 4406, 327, 1314, 3170, 4740, 4497</t>
  </si>
  <si>
    <t>Score: 1157168 ** -315, -781, 4403, 329, 1317, 3171, 4748, 4492</t>
  </si>
  <si>
    <t>Score: 68210 ** -323, -776, 4402, 324, 1314, 3171, 4744, 4494</t>
  </si>
  <si>
    <t>Score: 1012381 ** -323, -774, 4407, 324, 1321, 3166, 4747, 4498</t>
  </si>
  <si>
    <t>Score: 1161620 ** -318, -778, 4403, 329, 1321, 3168, 4742, 4491</t>
  </si>
  <si>
    <t>Score: 584615 ** -322, -781, 4407, 322, 1315, 3167, 4742, 4493</t>
  </si>
  <si>
    <t>Score: 2283403 ** -318, -781, 4404, 320, 1315, 3172, 4743, 4496</t>
  </si>
  <si>
    <t>Score: 314817 ** -317, -774, 4399, 320, 1321, 3167, 4745, 4498</t>
  </si>
  <si>
    <t>Score: 2159932 ** -321, -779, 4405, 326, 1319, 3174, 4741, 4491</t>
  </si>
  <si>
    <t>Score: 261490 ** -321, -773, 4400, 324, 1317, 3167, 4743, 4495</t>
  </si>
  <si>
    <t>Score: 536411 ** -318, -774, 4406, 325, 1313, 3175, 4744, 4491</t>
  </si>
  <si>
    <t>Score: 1627295 ** -321, -780, 4403, 321, 1318, 3167, 4741, 4495</t>
  </si>
  <si>
    <t>Score: 770147 ** -324, -777, 4399, 329, 1313, 3171, 4744, 4492</t>
  </si>
  <si>
    <t>Score: 1417714 ** -323, -778, 4406, 328, 1315, 3171, 4745, 4499</t>
  </si>
  <si>
    <t>Score: 2666002 ** -324, -773, 4399, 326, 1316, 3170, 4742, 4500</t>
  </si>
  <si>
    <t>Score: 373735 ** -322, -775, 4405, 327, 1313, 3172, 4744, 4495</t>
  </si>
  <si>
    <t>Score: 1507028 ** -315, -773, 4401, 326, 1314, 3175, 4746, 4496</t>
  </si>
  <si>
    <t>Score: 670731 ** -322, -776, 4403, 325, 1316, 3169, 4740, 4493</t>
  </si>
  <si>
    <t>Score: 800298 ** -324, -777, 4403, 326, 1317, 3168, 4745, 4494</t>
  </si>
  <si>
    <t>Score: 307320 ** -321, -778, 4403, 321, 1320, 3175, 4743, 4498</t>
  </si>
  <si>
    <t>Score: 425275 ** -320, -782, 4407, 324, 1314, 3168, 4740, 4495</t>
  </si>
  <si>
    <t>Score: 181986 ** -320, -777, 4401, 323, 1317, 3170, 4744, 4494</t>
  </si>
  <si>
    <t>Score: 554053 ** -315, -773, 4404, 325, 1320, 3169, 4743, 4491</t>
  </si>
  <si>
    <t>Score: 940265 ** -319, -779, 4401, 328, 1317, 3169, 4748, 4495</t>
  </si>
  <si>
    <t>Score: 1246898 ** -320, -782, 4402, 326, 1321, 3173, 4741, 4498</t>
  </si>
  <si>
    <t>Score: 283339 ** -322, -775, 4403, 323, 1316, 3166, 4744, 4495</t>
  </si>
  <si>
    <t>Score: 574246 ** -318, -779, 4404, 327, 1318, 3170, 4747, 4498</t>
  </si>
  <si>
    <t>Score: 41506 ** -320, -781, 4400, 328, 1316, 3170, 4740, 4491</t>
  </si>
  <si>
    <t>Score: 3234763 ** -316, -778, 4405, 324, 1313, 3171, 4748, 4495</t>
  </si>
  <si>
    <t>Score: 380794 ** -322, -781, 4406, 323, 1321, 3172, 4748, 4500</t>
  </si>
  <si>
    <t>Score: 133842 ** -320, -781, 4403, 321, 1313, 3170, 4744, 4498</t>
  </si>
  <si>
    <t>Score: 297599 ** -322, -778, 4401, 326, 1316, 3170, 4739, 4500</t>
  </si>
  <si>
    <t>Score: 58729 ** -316, -777, 4403, 322, 1312, 3172, 4745, 4500</t>
  </si>
  <si>
    <t>Score: 833262 ** -320, -780, 4403, 320, 1318, 3175, 4743, 4495</t>
  </si>
  <si>
    <t>Score: 515818 ** -318, -780, 4401, 321, 1316, 3172, 4743, 4491</t>
  </si>
  <si>
    <t>Score: 343315 ** -324, -782, 4403, 326, 1320, 3168, 4741, 4496</t>
  </si>
  <si>
    <t>Score: 668159 ** -315, -779, 4403, 324, 1321, 3173, 4746, 4493</t>
  </si>
  <si>
    <t>Score: 2173836 ** -323, -782, 4408, 325, 1313, 3167, 4748, 4493</t>
  </si>
  <si>
    <t>Score: 55392 ** -318, -776, 4405, 327, 1313, 3174, 4741, 4495</t>
  </si>
  <si>
    <t>Score: 188804 ** -317, -775, 4408, 326, 1320, 3168, 4741, 4496</t>
  </si>
  <si>
    <t>Score: 1920040 ** -318, -779, 4404, 322, 1319, 3175, 4747, 4497</t>
  </si>
  <si>
    <t>Score: 1895796 ** -319, -780, 4402, 323, 1313, 3171, 4739, 4496</t>
  </si>
  <si>
    <t>Score: 672375 ** -323, -780, 4403, 326, 1317, 3167, 4747, 4492</t>
  </si>
  <si>
    <t>Score: 60857 ** -320, -778, 4404, 321, 1321, 3175, 4745, 4491</t>
  </si>
  <si>
    <t>Score: 569378 ** -323, -773, 4404, 325, 1312, 3167, 4746, 4499</t>
  </si>
  <si>
    <t>Score: 1097148 ** -317, -776, 4403, 324, 1320, 3170, 4747, 4491</t>
  </si>
  <si>
    <t>Score: 309678 ** -323, -775, 4404, 327, 1312, 3174, 4739, 4492</t>
  </si>
  <si>
    <t>Score: 460875 ** -323, -781, 4403, 322, 1318, 3166, 4747, 4494</t>
  </si>
  <si>
    <t>Score: 1929248 ** -320, -777, 4400, 324, 1320, 3169, 4739, 4499</t>
  </si>
  <si>
    <t>Score: 350793 ** -324, -778, 4408, 321, 1317, 3173, 4740, 4494</t>
  </si>
  <si>
    <t>Score: 299680 ** -321, -777, 4404, 328, 1318, 3171, 4746, 4496</t>
  </si>
  <si>
    <t>Score: 812581 ** -324, -779, 4402, 323, 1314, 3166, 4743, 4497</t>
  </si>
  <si>
    <t>Score: 75014 ** -315, -773, 4406, 323, 1321, 3175, 4743, 4498</t>
  </si>
  <si>
    <t>Score: 1115191 ** -320, -775, 4401, 324, 1319, 3169, 4742, 4499</t>
  </si>
  <si>
    <t>Score: 2137466 ** -322, -776, 4402, 324, 1312, 3170, 4746, 4495</t>
  </si>
  <si>
    <t>Score: 2448975 ** -322, -779, 4403, 329, 1314, 3170, 4746, 4494</t>
  </si>
  <si>
    <t>Score: 2096601 ** -318, -774, 4408, 325, 1316, 3170, 4745, 4495</t>
  </si>
  <si>
    <t>Score: 663033 ** -322, -776, 4405, 327, 1318, 3175, 4744, 4496</t>
  </si>
  <si>
    <t>Score: 262915 ** -319, -775, 4400, 325, 1321, 3169, 4741, 4498</t>
  </si>
  <si>
    <t>Score: 845854 ** -315, -779, 4403, 328, 1319, 3174, 4746, 4499</t>
  </si>
  <si>
    <t>Score: 952321 ** -315, -777, 4406, 325, 1314, 3168, 4740, 4495</t>
  </si>
  <si>
    <t>Score: 447031 ** -320, -773, 4401, 321, 1321, 3170, 4745, 4494</t>
  </si>
  <si>
    <t>Score: 284257 ** -318, -776, 4404, 321, 1316, 3169, 4739, 4496</t>
  </si>
  <si>
    <t>Score: 99081 ** -315, -773, 4407, 321, 1312, 3172, 4742, 4497</t>
  </si>
  <si>
    <t>Score: 190731 ** -315, -775, 4401, 327, 1319, 3172, 4745, 4495</t>
  </si>
  <si>
    <t>Score: 567182 ** -320, -779, 4402, 327, 1314, 3171, 4740, 4492</t>
  </si>
  <si>
    <t>Score: 886421 ** -320, -774, 4404, 323, 1320, 3167, 4742, 4496</t>
  </si>
  <si>
    <t>Score: 1648808 ** -319, -774, 4404, 320, 1316, 3168, 4741, 4491</t>
  </si>
  <si>
    <t>Score: 2983656 ** -317, -779, 4403, 322, 1320, 3169, 4748, 4495</t>
  </si>
  <si>
    <t>Score: 782010 ** -320, -774, 4407, 322, 1316, 3175, 4741, 4492</t>
  </si>
  <si>
    <t>Score: 1395465 ** -318, -780, 4408, 321, 1318, 3174, 4747, 4500</t>
  </si>
  <si>
    <t>Score: 617642 ** -317, -778, 4399, 320, 1320, 3171, 4739, 4499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</si>
</sst>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5">
    <xf numFmtId="0" fontId="0" fillId="0" borderId="0" xfId="0"/>
    <xf numFmtId="43" fontId="0" fillId="0" borderId="0" xfId="1" applyFont="1"/>
    <xf numFmtId="43" fontId="0" fillId="0" borderId="0" xfId="1" applyNumberFormat="1" applyFont="1"/>
    <xf numFmtId="10" fontId="0" fillId="0" borderId="0" xfId="2" applyNumberFormat="1" applyFont="1"/>
    <xf numFmtId="164" fontId="0" fillId="0" borderId="0" xfId="1" applyNumberFormat="1" applyFont="1"/>
    <xf numFmtId="2" fontId="0" fillId="0" borderId="0" xfId="1" applyNumberFormat="1" applyFont="1"/>
    <xf numFmtId="1" fontId="0" fillId="0" borderId="0" xfId="1" applyNumberFormat="1" applyFont="1"/>
    <xf numFmtId="43" fontId="2" fillId="0" borderId="1" xfId="3" applyNumberFormat="1"/>
    <xf numFmtId="10" fontId="2" fillId="0" borderId="1" xfId="3" applyNumberFormat="1"/>
    <xf numFmtId="2" fontId="2" fillId="0" borderId="1" xfId="3" applyNumberFormat="1"/>
    <xf numFmtId="164" fontId="2" fillId="0" borderId="1" xfId="3" applyNumberFormat="1"/>
    <xf numFmtId="0" fontId="2" fillId="0" borderId="1" xfId="3"/>
    <xf numFmtId="2" fontId="0" fillId="0" borderId="0" xfId="0" applyNumberFormat="1"/>
    <xf numFmtId="2" fontId="3" fillId="2" borderId="0" xfId="4" applyNumberFormat="1"/>
    <xf numFmtId="164" fontId="0" fillId="0" borderId="0" xfId="0" applyNumberFormat="1"/>
  </cellXfs>
  <cellStyles count="5">
    <cellStyle name="Accent5" xfId="4" builtinId="45"/>
    <cellStyle name="Comma" xfId="1" builtinId="3"/>
    <cellStyle name="Heading 2" xfId="3" builtinId="17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of clones'!$B$1</c:f>
              <c:strCache>
                <c:ptCount val="1"/>
                <c:pt idx="0">
                  <c:v>number of games</c:v>
                </c:pt>
              </c:strCache>
            </c:strRef>
          </c:tx>
          <c:cat>
            <c:strRef>
              <c:f>'chart of clones'!$A:$A</c:f>
              <c:strCache>
                <c:ptCount val="41"/>
                <c:pt idx="0">
                  <c:v>score interval</c:v>
                </c:pt>
                <c:pt idx="1">
                  <c:v> 150,171.80 </c:v>
                </c:pt>
                <c:pt idx="2">
                  <c:v> 300,343.60 </c:v>
                </c:pt>
                <c:pt idx="3">
                  <c:v> 450,515.40 </c:v>
                </c:pt>
                <c:pt idx="4">
                  <c:v> 600,687.20 </c:v>
                </c:pt>
                <c:pt idx="5">
                  <c:v> 750,859.00 </c:v>
                </c:pt>
                <c:pt idx="6">
                  <c:v> 901,030.80 </c:v>
                </c:pt>
                <c:pt idx="7">
                  <c:v> 1,051,202.60 </c:v>
                </c:pt>
                <c:pt idx="8">
                  <c:v> 1,201,374.40 </c:v>
                </c:pt>
                <c:pt idx="9">
                  <c:v> 1,351,546.20 </c:v>
                </c:pt>
                <c:pt idx="10">
                  <c:v> 1,501,718.00 </c:v>
                </c:pt>
                <c:pt idx="11">
                  <c:v> 1,651,889.80 </c:v>
                </c:pt>
                <c:pt idx="12">
                  <c:v> 1,802,061.60 </c:v>
                </c:pt>
                <c:pt idx="13">
                  <c:v> 1,952,233.40 </c:v>
                </c:pt>
                <c:pt idx="14">
                  <c:v> 2,102,405.20 </c:v>
                </c:pt>
                <c:pt idx="15">
                  <c:v> 2,252,577.00 </c:v>
                </c:pt>
                <c:pt idx="16">
                  <c:v> 2,402,748.80 </c:v>
                </c:pt>
                <c:pt idx="17">
                  <c:v> 2,552,920.60 </c:v>
                </c:pt>
                <c:pt idx="18">
                  <c:v> 2,703,092.40 </c:v>
                </c:pt>
                <c:pt idx="19">
                  <c:v> 2,853,264.20 </c:v>
                </c:pt>
                <c:pt idx="20">
                  <c:v> 3,003,436.00 </c:v>
                </c:pt>
                <c:pt idx="21">
                  <c:v> 3,153,607.80 </c:v>
                </c:pt>
                <c:pt idx="22">
                  <c:v> 3,303,779.60 </c:v>
                </c:pt>
                <c:pt idx="23">
                  <c:v> 3,453,951.40 </c:v>
                </c:pt>
                <c:pt idx="24">
                  <c:v> 3,604,123.20 </c:v>
                </c:pt>
                <c:pt idx="25">
                  <c:v> 3,754,295.00 </c:v>
                </c:pt>
                <c:pt idx="26">
                  <c:v> 3,904,466.80 </c:v>
                </c:pt>
                <c:pt idx="27">
                  <c:v> 4,054,638.60 </c:v>
                </c:pt>
                <c:pt idx="28">
                  <c:v> 4,204,810.40 </c:v>
                </c:pt>
                <c:pt idx="29">
                  <c:v> 4,354,982.20 </c:v>
                </c:pt>
                <c:pt idx="30">
                  <c:v> 4,505,154.00 </c:v>
                </c:pt>
                <c:pt idx="31">
                  <c:v> 4,655,325.80 </c:v>
                </c:pt>
                <c:pt idx="32">
                  <c:v>  </c:v>
                </c:pt>
                <c:pt idx="33">
                  <c:v>  </c:v>
                </c:pt>
                <c:pt idx="34">
                  <c:v>  </c:v>
                </c:pt>
                <c:pt idx="35">
                  <c:v>  </c:v>
                </c:pt>
                <c:pt idx="36">
                  <c:v>  </c:v>
                </c:pt>
                <c:pt idx="37">
                  <c:v>  </c:v>
                </c:pt>
                <c:pt idx="38">
                  <c:v>  </c:v>
                </c:pt>
                <c:pt idx="39">
                  <c:v>  </c:v>
                </c:pt>
                <c:pt idx="40">
                  <c:v>  </c:v>
                </c:pt>
              </c:strCache>
            </c:strRef>
          </c:cat>
          <c:val>
            <c:numRef>
              <c:f>'chart of clones'!$B$2:$B$41</c:f>
              <c:numCache>
                <c:formatCode>General</c:formatCode>
                <c:ptCount val="40"/>
                <c:pt idx="0">
                  <c:v>38</c:v>
                </c:pt>
                <c:pt idx="1">
                  <c:v>49</c:v>
                </c:pt>
                <c:pt idx="2">
                  <c:v>43</c:v>
                </c:pt>
                <c:pt idx="3">
                  <c:v>32</c:v>
                </c:pt>
                <c:pt idx="4">
                  <c:v>24</c:v>
                </c:pt>
                <c:pt idx="5">
                  <c:v>22</c:v>
                </c:pt>
                <c:pt idx="6">
                  <c:v>19</c:v>
                </c:pt>
                <c:pt idx="7">
                  <c:v>16</c:v>
                </c:pt>
                <c:pt idx="8">
                  <c:v>13</c:v>
                </c:pt>
                <c:pt idx="9">
                  <c:v>11</c:v>
                </c:pt>
                <c:pt idx="10">
                  <c:v>5</c:v>
                </c:pt>
                <c:pt idx="11">
                  <c:v>7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</c:ser>
        <c:gapWidth val="47"/>
        <c:axId val="97433472"/>
        <c:axId val="97435008"/>
      </c:barChart>
      <c:catAx>
        <c:axId val="97433472"/>
        <c:scaling>
          <c:orientation val="minMax"/>
        </c:scaling>
        <c:axPos val="b"/>
        <c:tickLblPos val="nextTo"/>
        <c:crossAx val="97435008"/>
        <c:crosses val="autoZero"/>
        <c:auto val="1"/>
        <c:lblAlgn val="ctr"/>
        <c:lblOffset val="100"/>
      </c:catAx>
      <c:valAx>
        <c:axId val="97435008"/>
        <c:scaling>
          <c:orientation val="minMax"/>
        </c:scaling>
        <c:axPos val="l"/>
        <c:majorGridlines/>
        <c:numFmt formatCode="General" sourceLinked="1"/>
        <c:tickLblPos val="nextTo"/>
        <c:crossAx val="974334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8</xdr:row>
      <xdr:rowOff>66675</xdr:rowOff>
    </xdr:from>
    <xdr:to>
      <xdr:col>18</xdr:col>
      <xdr:colOff>266700</xdr:colOff>
      <xdr:row>27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01"/>
  <sheetViews>
    <sheetView workbookViewId="0">
      <selection activeCell="C20" sqref="C20"/>
    </sheetView>
  </sheetViews>
  <sheetFormatPr defaultRowHeight="15"/>
  <cols>
    <col min="1" max="1" width="13.28515625" style="1" bestFit="1" customWidth="1"/>
    <col min="2" max="2" width="24.42578125" style="1" bestFit="1" customWidth="1"/>
    <col min="3" max="3" width="25.85546875" style="3" bestFit="1" customWidth="1"/>
    <col min="4" max="4" width="4.42578125" style="5" bestFit="1" customWidth="1"/>
    <col min="5" max="5" width="8.42578125" style="1" bestFit="1" customWidth="1"/>
    <col min="6" max="10" width="5.85546875" style="1" bestFit="1" customWidth="1"/>
    <col min="11" max="11" width="7" style="1" bestFit="1" customWidth="1"/>
    <col min="12" max="18" width="4.5703125" style="4" hidden="1" customWidth="1"/>
    <col min="19" max="19" width="4.42578125" style="4" customWidth="1"/>
    <col min="20" max="20" width="39.140625" bestFit="1" customWidth="1"/>
    <col min="21" max="21" width="2" hidden="1" customWidth="1"/>
    <col min="22" max="22" width="35.7109375" hidden="1" customWidth="1"/>
    <col min="23" max="23" width="33" hidden="1" customWidth="1"/>
    <col min="24" max="24" width="2" hidden="1" customWidth="1"/>
    <col min="25" max="25" width="10.7109375" hidden="1" customWidth="1"/>
    <col min="26" max="26" width="0" hidden="1" customWidth="1"/>
    <col min="27" max="27" width="10.7109375" hidden="1" customWidth="1"/>
    <col min="28" max="30" width="0" hidden="1" customWidth="1"/>
  </cols>
  <sheetData>
    <row r="1" spans="1:27" s="11" customFormat="1" ht="18" thickBot="1">
      <c r="A1" s="7" t="s">
        <v>262</v>
      </c>
      <c r="B1" s="7" t="s">
        <v>263</v>
      </c>
      <c r="C1" s="8" t="s">
        <v>264</v>
      </c>
      <c r="D1" s="9" t="s">
        <v>265</v>
      </c>
      <c r="E1" s="7" t="s">
        <v>266</v>
      </c>
      <c r="F1" s="7" t="s">
        <v>267</v>
      </c>
      <c r="G1" s="7" t="s">
        <v>268</v>
      </c>
      <c r="H1" s="7" t="s">
        <v>269</v>
      </c>
      <c r="I1" s="7" t="s">
        <v>270</v>
      </c>
      <c r="J1" s="7" t="s">
        <v>271</v>
      </c>
      <c r="K1" s="7" t="s">
        <v>272</v>
      </c>
      <c r="L1" s="10" t="s">
        <v>279</v>
      </c>
      <c r="M1" s="10" t="s">
        <v>280</v>
      </c>
      <c r="N1" s="10" t="s">
        <v>281</v>
      </c>
      <c r="O1" s="10" t="s">
        <v>282</v>
      </c>
      <c r="P1" s="10" t="s">
        <v>283</v>
      </c>
      <c r="Q1" s="10" t="s">
        <v>284</v>
      </c>
      <c r="R1" s="10" t="s">
        <v>285</v>
      </c>
      <c r="S1" s="10"/>
      <c r="T1" s="7" t="s">
        <v>278</v>
      </c>
      <c r="U1" s="7" t="s">
        <v>273</v>
      </c>
      <c r="V1" s="7" t="s">
        <v>277</v>
      </c>
      <c r="W1" s="11" t="s">
        <v>276</v>
      </c>
      <c r="X1" s="11" t="s">
        <v>274</v>
      </c>
      <c r="Y1" s="11" t="s">
        <v>275</v>
      </c>
    </row>
    <row r="2" spans="1:27" ht="15.75" thickTop="1">
      <c r="A2" s="1">
        <f>IF(ISBLANK(T2),"",VALUE(Y2))</f>
        <v>4505154</v>
      </c>
      <c r="B2" s="1">
        <f>A2*4/10 -18</f>
        <v>1802043.6</v>
      </c>
      <c r="C2" s="3">
        <f>B2/7000000</f>
        <v>0.25743480000000002</v>
      </c>
      <c r="D2" s="6">
        <f>VALUE(MID(W2,$X2+2,L2-(X2+2)))</f>
        <v>-320</v>
      </c>
      <c r="E2" s="6">
        <f>VALUE(MID($W2,L2+1,M2-(L2+1)))</f>
        <v>-778</v>
      </c>
      <c r="F2" s="6">
        <f>VALUE(MID($W2,M2+1,N2-(M2+1)))</f>
        <v>4403</v>
      </c>
      <c r="G2" s="6">
        <f>VALUE(MID($W2,N2+1,O2-(N2+1)))</f>
        <v>324</v>
      </c>
      <c r="H2" s="6">
        <f>VALUE(MID($W2,O2+1,P2-(O2+1)))</f>
        <v>1316</v>
      </c>
      <c r="I2" s="6">
        <f>VALUE(MID($W2,P2+1,Q2-(P2+1)))</f>
        <v>3170</v>
      </c>
      <c r="J2" s="6">
        <f>VALUE(MID($W2,Q2+1,R2-(Q2+1)))</f>
        <v>4743</v>
      </c>
      <c r="K2" s="4">
        <f>VALUE(MID(W2,R2+1,LEN(W2)-(R2)))</f>
        <v>4495</v>
      </c>
      <c r="L2" s="4">
        <f>SEARCH(",",W2,X2)</f>
        <v>16</v>
      </c>
      <c r="M2" s="4">
        <f>SEARCH(",",$W2,L2+1)</f>
        <v>22</v>
      </c>
      <c r="N2" s="4">
        <f>SEARCH(",",$W2,M2+1)</f>
        <v>28</v>
      </c>
      <c r="O2" s="4">
        <f>SEARCH(",",$W2,N2+1)</f>
        <v>33</v>
      </c>
      <c r="P2" s="4">
        <f>SEARCH(",",$W2,O2+1)</f>
        <v>39</v>
      </c>
      <c r="Q2" s="4">
        <f>SEARCH(",",$W2,P2+1)</f>
        <v>45</v>
      </c>
      <c r="R2" s="4">
        <f>SEARCH(",",$W2,Q2+1)</f>
        <v>51</v>
      </c>
      <c r="T2" t="s">
        <v>563</v>
      </c>
      <c r="U2">
        <f>SEARCH(":",T2)</f>
        <v>6</v>
      </c>
      <c r="V2" t="str">
        <f>MID(T2,U2+1,LEN(T2)-(U2))</f>
        <v xml:space="preserve"> 4505154 ** -320, -778, 4403, 324, 1316, 3170, 4743, 4495</v>
      </c>
      <c r="W2" t="str">
        <f>TRIM(V2)</f>
        <v>4505154 ** -320, -778, 4403, 324, 1316, 3170, 4743, 4495</v>
      </c>
      <c r="X2">
        <f>SEARCH("~*",W2)</f>
        <v>9</v>
      </c>
      <c r="Y2" t="str">
        <f>LEFT(W2,X2-1)</f>
        <v xml:space="preserve">4505154 </v>
      </c>
      <c r="AA2" t="str">
        <f>CONCATENATE(A2,",",D2,",",E2,",",F2,",",G2,",",H2,",",I2,",",J2,",",K2)</f>
        <v>4505154,-320,-778,4403,324,1316,3170,4743,4495</v>
      </c>
    </row>
    <row r="3" spans="1:27">
      <c r="A3" s="1">
        <f>IF(ISBLANK(T3),"",VALUE(Y3))</f>
        <v>4134995</v>
      </c>
      <c r="B3" s="1">
        <f>A3*4/10 -18</f>
        <v>1653980</v>
      </c>
      <c r="C3" s="3">
        <f>B3/7000000</f>
        <v>0.23628285714285716</v>
      </c>
      <c r="D3" s="6">
        <f>VALUE(MID(W3,$X3+2,L3-(X3+2)))</f>
        <v>-320</v>
      </c>
      <c r="E3" s="6">
        <f>VALUE(MID($W3,L3+1,M3-(L3+1)))</f>
        <v>-778</v>
      </c>
      <c r="F3" s="6">
        <f>VALUE(MID($W3,M3+1,N3-(M3+1)))</f>
        <v>4403</v>
      </c>
      <c r="G3" s="6">
        <f>VALUE(MID($W3,N3+1,O3-(N3+1)))</f>
        <v>324</v>
      </c>
      <c r="H3" s="6">
        <f>VALUE(MID($W3,O3+1,P3-(O3+1)))</f>
        <v>1316</v>
      </c>
      <c r="I3" s="6">
        <f>VALUE(MID($W3,P3+1,Q3-(P3+1)))</f>
        <v>3170</v>
      </c>
      <c r="J3" s="6">
        <f>VALUE(MID($W3,Q3+1,R3-(Q3+1)))</f>
        <v>4743</v>
      </c>
      <c r="K3" s="4">
        <f>VALUE(MID(W3,R3+1,LEN(W3)-(R3)))</f>
        <v>4495</v>
      </c>
      <c r="L3" s="4">
        <f>SEARCH(",",W3,X3)</f>
        <v>16</v>
      </c>
      <c r="M3" s="4">
        <f>SEARCH(",",$W3,L3+1)</f>
        <v>22</v>
      </c>
      <c r="N3" s="4">
        <f>SEARCH(",",$W3,M3+1)</f>
        <v>28</v>
      </c>
      <c r="O3" s="4">
        <f>SEARCH(",",$W3,N3+1)</f>
        <v>33</v>
      </c>
      <c r="P3" s="4">
        <f>SEARCH(",",$W3,O3+1)</f>
        <v>39</v>
      </c>
      <c r="Q3" s="4">
        <f>SEARCH(",",$W3,P3+1)</f>
        <v>45</v>
      </c>
      <c r="R3" s="4">
        <f>SEARCH(",",$W3,Q3+1)</f>
        <v>51</v>
      </c>
      <c r="T3" t="s">
        <v>548</v>
      </c>
      <c r="U3">
        <f>SEARCH(":",T3)</f>
        <v>6</v>
      </c>
      <c r="V3" t="str">
        <f>MID(T3,U3+1,LEN(T3)-(U3))</f>
        <v xml:space="preserve"> 4134995 ** -320, -778, 4403, 324, 1316, 3170, 4743, 4495</v>
      </c>
      <c r="W3" t="str">
        <f>TRIM(V3)</f>
        <v>4134995 ** -320, -778, 4403, 324, 1316, 3170, 4743, 4495</v>
      </c>
      <c r="X3">
        <f>SEARCH("~*",W3)</f>
        <v>9</v>
      </c>
      <c r="Y3" t="str">
        <f>LEFT(W3,X3-1)</f>
        <v xml:space="preserve">4134995 </v>
      </c>
      <c r="AA3" t="str">
        <f>CONCATENATE(A3,",",D3,",",E3,",",F3,",",G3,",",H3,",",I3,",",J3,",",K3)</f>
        <v>4134995,-320,-778,4403,324,1316,3170,4743,4495</v>
      </c>
    </row>
    <row r="4" spans="1:27">
      <c r="A4" s="1">
        <f>IF(ISBLANK(T4),"",VALUE(Y4))</f>
        <v>4132081</v>
      </c>
      <c r="B4" s="1">
        <f>A4*4/10 -18</f>
        <v>1652814.4</v>
      </c>
      <c r="C4" s="3">
        <f>B4/7000000</f>
        <v>0.23611634285714284</v>
      </c>
      <c r="D4" s="6">
        <f>VALUE(MID(W4,$X4+2,L4-(X4+2)))</f>
        <v>-320</v>
      </c>
      <c r="E4" s="6">
        <f>VALUE(MID($W4,L4+1,M4-(L4+1)))</f>
        <v>-778</v>
      </c>
      <c r="F4" s="6">
        <f>VALUE(MID($W4,M4+1,N4-(M4+1)))</f>
        <v>4403</v>
      </c>
      <c r="G4" s="6">
        <f>VALUE(MID($W4,N4+1,O4-(N4+1)))</f>
        <v>324</v>
      </c>
      <c r="H4" s="6">
        <f>VALUE(MID($W4,O4+1,P4-(O4+1)))</f>
        <v>1316</v>
      </c>
      <c r="I4" s="6">
        <f>VALUE(MID($W4,P4+1,Q4-(P4+1)))</f>
        <v>3170</v>
      </c>
      <c r="J4" s="6">
        <f>VALUE(MID($W4,Q4+1,R4-(Q4+1)))</f>
        <v>4743</v>
      </c>
      <c r="K4" s="4">
        <f>VALUE(MID(W4,R4+1,LEN(W4)-(R4)))</f>
        <v>4495</v>
      </c>
      <c r="L4" s="4">
        <f>SEARCH(",",W4,X4)</f>
        <v>16</v>
      </c>
      <c r="M4" s="4">
        <f>SEARCH(",",$W4,L4+1)</f>
        <v>22</v>
      </c>
      <c r="N4" s="4">
        <f>SEARCH(",",$W4,M4+1)</f>
        <v>28</v>
      </c>
      <c r="O4" s="4">
        <f>SEARCH(",",$W4,N4+1)</f>
        <v>33</v>
      </c>
      <c r="P4" s="4">
        <f>SEARCH(",",$W4,O4+1)</f>
        <v>39</v>
      </c>
      <c r="Q4" s="4">
        <f>SEARCH(",",$W4,P4+1)</f>
        <v>45</v>
      </c>
      <c r="R4" s="4">
        <f>SEARCH(",",$W4,Q4+1)</f>
        <v>51</v>
      </c>
      <c r="T4" t="s">
        <v>375</v>
      </c>
      <c r="U4">
        <f>SEARCH(":",T4)</f>
        <v>6</v>
      </c>
      <c r="V4" t="str">
        <f>MID(T4,U4+1,LEN(T4)-(U4))</f>
        <v xml:space="preserve"> 4132081 ** -320, -778, 4403, 324, 1316, 3170, 4743, 4495</v>
      </c>
      <c r="W4" t="str">
        <f>TRIM(V4)</f>
        <v>4132081 ** -320, -778, 4403, 324, 1316, 3170, 4743, 4495</v>
      </c>
      <c r="X4">
        <f>SEARCH("~*",W4)</f>
        <v>9</v>
      </c>
      <c r="Y4" t="str">
        <f>LEFT(W4,X4-1)</f>
        <v xml:space="preserve">4132081 </v>
      </c>
      <c r="AA4" t="str">
        <f>CONCATENATE(A4,",",D4,",",E4,",",F4,",",G4,",",H4,",",I4,",",J4,",",K4)</f>
        <v>4132081,-320,-778,4403,324,1316,3170,4743,4495</v>
      </c>
    </row>
    <row r="5" spans="1:27">
      <c r="A5" s="1">
        <f>IF(ISBLANK(T5),"",VALUE(Y5))</f>
        <v>3977537</v>
      </c>
      <c r="B5" s="1">
        <f>A5*4/10 -18</f>
        <v>1590996.8</v>
      </c>
      <c r="C5" s="3">
        <f>B5/7000000</f>
        <v>0.22728525714285716</v>
      </c>
      <c r="D5" s="6">
        <f>VALUE(MID(W5,$X5+2,L5-(X5+2)))</f>
        <v>-320</v>
      </c>
      <c r="E5" s="6">
        <f>VALUE(MID($W5,L5+1,M5-(L5+1)))</f>
        <v>-778</v>
      </c>
      <c r="F5" s="6">
        <f>VALUE(MID($W5,M5+1,N5-(M5+1)))</f>
        <v>4403</v>
      </c>
      <c r="G5" s="6">
        <f>VALUE(MID($W5,N5+1,O5-(N5+1)))</f>
        <v>324</v>
      </c>
      <c r="H5" s="6">
        <f>VALUE(MID($W5,O5+1,P5-(O5+1)))</f>
        <v>1316</v>
      </c>
      <c r="I5" s="6">
        <f>VALUE(MID($W5,P5+1,Q5-(P5+1)))</f>
        <v>3170</v>
      </c>
      <c r="J5" s="6">
        <f>VALUE(MID($W5,Q5+1,R5-(Q5+1)))</f>
        <v>4743</v>
      </c>
      <c r="K5" s="4">
        <f>VALUE(MID(W5,R5+1,LEN(W5)-(R5)))</f>
        <v>4495</v>
      </c>
      <c r="L5" s="4">
        <f>SEARCH(",",W5,X5)</f>
        <v>16</v>
      </c>
      <c r="M5" s="4">
        <f>SEARCH(",",$W5,L5+1)</f>
        <v>22</v>
      </c>
      <c r="N5" s="4">
        <f>SEARCH(",",$W5,M5+1)</f>
        <v>28</v>
      </c>
      <c r="O5" s="4">
        <f>SEARCH(",",$W5,N5+1)</f>
        <v>33</v>
      </c>
      <c r="P5" s="4">
        <f>SEARCH(",",$W5,O5+1)</f>
        <v>39</v>
      </c>
      <c r="Q5" s="4">
        <f>SEARCH(",",$W5,P5+1)</f>
        <v>45</v>
      </c>
      <c r="R5" s="4">
        <f>SEARCH(",",$W5,Q5+1)</f>
        <v>51</v>
      </c>
      <c r="T5" t="s">
        <v>361</v>
      </c>
      <c r="U5">
        <f>SEARCH(":",T5)</f>
        <v>6</v>
      </c>
      <c r="V5" t="str">
        <f>MID(T5,U5+1,LEN(T5)-(U5))</f>
        <v xml:space="preserve"> 3977537 ** -320, -778, 4403, 324, 1316, 3170, 4743, 4495</v>
      </c>
      <c r="W5" t="str">
        <f>TRIM(V5)</f>
        <v>3977537 ** -320, -778, 4403, 324, 1316, 3170, 4743, 4495</v>
      </c>
      <c r="X5">
        <f>SEARCH("~*",W5)</f>
        <v>9</v>
      </c>
      <c r="Y5" t="str">
        <f>LEFT(W5,X5-1)</f>
        <v xml:space="preserve">3977537 </v>
      </c>
      <c r="AA5" t="str">
        <f>CONCATENATE(A5,",",D5,",",E5,",",F5,",",G5,",",H5,",",I5,",",J5,",",K5)</f>
        <v>3977537,-320,-778,4403,324,1316,3170,4743,4495</v>
      </c>
    </row>
    <row r="6" spans="1:27">
      <c r="A6" s="1">
        <f>IF(ISBLANK(T6),"",VALUE(Y6))</f>
        <v>3188096</v>
      </c>
      <c r="B6" s="1">
        <f>A6*4/10 -18</f>
        <v>1275220.3999999999</v>
      </c>
      <c r="C6" s="3">
        <f>B6/7000000</f>
        <v>0.18217434285714285</v>
      </c>
      <c r="D6" s="6">
        <f>VALUE(MID(W6,$X6+2,L6-(X6+2)))</f>
        <v>-320</v>
      </c>
      <c r="E6" s="6">
        <f>VALUE(MID($W6,L6+1,M6-(L6+1)))</f>
        <v>-778</v>
      </c>
      <c r="F6" s="6">
        <f>VALUE(MID($W6,M6+1,N6-(M6+1)))</f>
        <v>4403</v>
      </c>
      <c r="G6" s="6">
        <f>VALUE(MID($W6,N6+1,O6-(N6+1)))</f>
        <v>324</v>
      </c>
      <c r="H6" s="6">
        <f>VALUE(MID($W6,O6+1,P6-(O6+1)))</f>
        <v>1316</v>
      </c>
      <c r="I6" s="6">
        <f>VALUE(MID($W6,P6+1,Q6-(P6+1)))</f>
        <v>3170</v>
      </c>
      <c r="J6" s="6">
        <f>VALUE(MID($W6,Q6+1,R6-(Q6+1)))</f>
        <v>4743</v>
      </c>
      <c r="K6" s="4">
        <f>VALUE(MID(W6,R6+1,LEN(W6)-(R6)))</f>
        <v>4495</v>
      </c>
      <c r="L6" s="4">
        <f>SEARCH(",",W6,X6)</f>
        <v>16</v>
      </c>
      <c r="M6" s="4">
        <f>SEARCH(",",$W6,L6+1)</f>
        <v>22</v>
      </c>
      <c r="N6" s="4">
        <f>SEARCH(",",$W6,M6+1)</f>
        <v>28</v>
      </c>
      <c r="O6" s="4">
        <f>SEARCH(",",$W6,N6+1)</f>
        <v>33</v>
      </c>
      <c r="P6" s="4">
        <f>SEARCH(",",$W6,O6+1)</f>
        <v>39</v>
      </c>
      <c r="Q6" s="4">
        <f>SEARCH(",",$W6,P6+1)</f>
        <v>45</v>
      </c>
      <c r="R6" s="4">
        <f>SEARCH(",",$W6,Q6+1)</f>
        <v>51</v>
      </c>
      <c r="T6" t="s">
        <v>400</v>
      </c>
      <c r="U6">
        <f>SEARCH(":",T6)</f>
        <v>6</v>
      </c>
      <c r="V6" t="str">
        <f>MID(T6,U6+1,LEN(T6)-(U6))</f>
        <v xml:space="preserve"> 3188096 ** -320, -778, 4403, 324, 1316, 3170, 4743, 4495</v>
      </c>
      <c r="W6" t="str">
        <f>TRIM(V6)</f>
        <v>3188096 ** -320, -778, 4403, 324, 1316, 3170, 4743, 4495</v>
      </c>
      <c r="X6">
        <f>SEARCH("~*",W6)</f>
        <v>9</v>
      </c>
      <c r="Y6" t="str">
        <f>LEFT(W6,X6-1)</f>
        <v xml:space="preserve">3188096 </v>
      </c>
      <c r="AA6" t="str">
        <f>CONCATENATE(A6,",",D6,",",E6,",",F6,",",G6,",",H6,",",I6,",",J6,",",K6)</f>
        <v>3188096,-320,-778,4403,324,1316,3170,4743,4495</v>
      </c>
    </row>
    <row r="7" spans="1:27">
      <c r="A7" s="1">
        <f>IF(ISBLANK(T7),"",VALUE(Y7))</f>
        <v>3127720</v>
      </c>
      <c r="B7" s="1">
        <f>A7*4/10 -18</f>
        <v>1251070</v>
      </c>
      <c r="C7" s="3">
        <f>B7/7000000</f>
        <v>0.17872428571428572</v>
      </c>
      <c r="D7" s="6">
        <f>VALUE(MID(W7,$X7+2,L7-(X7+2)))</f>
        <v>-320</v>
      </c>
      <c r="E7" s="6">
        <f>VALUE(MID($W7,L7+1,M7-(L7+1)))</f>
        <v>-778</v>
      </c>
      <c r="F7" s="6">
        <f>VALUE(MID($W7,M7+1,N7-(M7+1)))</f>
        <v>4403</v>
      </c>
      <c r="G7" s="6">
        <f>VALUE(MID($W7,N7+1,O7-(N7+1)))</f>
        <v>324</v>
      </c>
      <c r="H7" s="6">
        <f>VALUE(MID($W7,O7+1,P7-(O7+1)))</f>
        <v>1316</v>
      </c>
      <c r="I7" s="6">
        <f>VALUE(MID($W7,P7+1,Q7-(P7+1)))</f>
        <v>3170</v>
      </c>
      <c r="J7" s="6">
        <f>VALUE(MID($W7,Q7+1,R7-(Q7+1)))</f>
        <v>4743</v>
      </c>
      <c r="K7" s="4">
        <f>VALUE(MID(W7,R7+1,LEN(W7)-(R7)))</f>
        <v>4495</v>
      </c>
      <c r="L7" s="4">
        <f>SEARCH(",",W7,X7)</f>
        <v>16</v>
      </c>
      <c r="M7" s="4">
        <f>SEARCH(",",$W7,L7+1)</f>
        <v>22</v>
      </c>
      <c r="N7" s="4">
        <f>SEARCH(",",$W7,M7+1)</f>
        <v>28</v>
      </c>
      <c r="O7" s="4">
        <f>SEARCH(",",$W7,N7+1)</f>
        <v>33</v>
      </c>
      <c r="P7" s="4">
        <f>SEARCH(",",$W7,O7+1)</f>
        <v>39</v>
      </c>
      <c r="Q7" s="4">
        <f>SEARCH(",",$W7,P7+1)</f>
        <v>45</v>
      </c>
      <c r="R7" s="4">
        <f>SEARCH(",",$W7,Q7+1)</f>
        <v>51</v>
      </c>
      <c r="T7" t="s">
        <v>490</v>
      </c>
      <c r="U7">
        <f>SEARCH(":",T7)</f>
        <v>6</v>
      </c>
      <c r="V7" t="str">
        <f>MID(T7,U7+1,LEN(T7)-(U7))</f>
        <v xml:space="preserve"> 3127720 ** -320, -778, 4403, 324, 1316, 3170, 4743, 4495</v>
      </c>
      <c r="W7" t="str">
        <f>TRIM(V7)</f>
        <v>3127720 ** -320, -778, 4403, 324, 1316, 3170, 4743, 4495</v>
      </c>
      <c r="X7">
        <f>SEARCH("~*",W7)</f>
        <v>9</v>
      </c>
      <c r="Y7" t="str">
        <f>LEFT(W7,X7-1)</f>
        <v xml:space="preserve">3127720 </v>
      </c>
      <c r="AA7" t="str">
        <f>CONCATENATE(A7,",",D7,",",E7,",",F7,",",G7,",",H7,",",I7,",",J7,",",K7)</f>
        <v>3127720,-320,-778,4403,324,1316,3170,4743,4495</v>
      </c>
    </row>
    <row r="8" spans="1:27">
      <c r="A8" s="1">
        <f>IF(ISBLANK(T8),"",VALUE(Y8))</f>
        <v>2903777</v>
      </c>
      <c r="B8" s="1">
        <f>A8*4/10 -18</f>
        <v>1161492.8</v>
      </c>
      <c r="C8" s="3">
        <f>B8/7000000</f>
        <v>0.16592754285714287</v>
      </c>
      <c r="D8" s="6">
        <f>VALUE(MID(W8,$X8+2,L8-(X8+2)))</f>
        <v>-320</v>
      </c>
      <c r="E8" s="6">
        <f>VALUE(MID($W8,L8+1,M8-(L8+1)))</f>
        <v>-778</v>
      </c>
      <c r="F8" s="6">
        <f>VALUE(MID($W8,M8+1,N8-(M8+1)))</f>
        <v>4403</v>
      </c>
      <c r="G8" s="6">
        <f>VALUE(MID($W8,N8+1,O8-(N8+1)))</f>
        <v>324</v>
      </c>
      <c r="H8" s="6">
        <f>VALUE(MID($W8,O8+1,P8-(O8+1)))</f>
        <v>1316</v>
      </c>
      <c r="I8" s="6">
        <f>VALUE(MID($W8,P8+1,Q8-(P8+1)))</f>
        <v>3170</v>
      </c>
      <c r="J8" s="6">
        <f>VALUE(MID($W8,Q8+1,R8-(Q8+1)))</f>
        <v>4743</v>
      </c>
      <c r="K8" s="4">
        <f>VALUE(MID(W8,R8+1,LEN(W8)-(R8)))</f>
        <v>4495</v>
      </c>
      <c r="L8" s="4">
        <f>SEARCH(",",W8,X8)</f>
        <v>16</v>
      </c>
      <c r="M8" s="4">
        <f>SEARCH(",",$W8,L8+1)</f>
        <v>22</v>
      </c>
      <c r="N8" s="4">
        <f>SEARCH(",",$W8,M8+1)</f>
        <v>28</v>
      </c>
      <c r="O8" s="4">
        <f>SEARCH(",",$W8,N8+1)</f>
        <v>33</v>
      </c>
      <c r="P8" s="4">
        <f>SEARCH(",",$W8,O8+1)</f>
        <v>39</v>
      </c>
      <c r="Q8" s="4">
        <f>SEARCH(",",$W8,P8+1)</f>
        <v>45</v>
      </c>
      <c r="R8" s="4">
        <f>SEARCH(",",$W8,Q8+1)</f>
        <v>51</v>
      </c>
      <c r="T8" t="s">
        <v>550</v>
      </c>
      <c r="U8">
        <f>SEARCH(":",T8)</f>
        <v>6</v>
      </c>
      <c r="V8" t="str">
        <f>MID(T8,U8+1,LEN(T8)-(U8))</f>
        <v xml:space="preserve"> 2903777 ** -320, -778, 4403, 324, 1316, 3170, 4743, 4495</v>
      </c>
      <c r="W8" t="str">
        <f>TRIM(V8)</f>
        <v>2903777 ** -320, -778, 4403, 324, 1316, 3170, 4743, 4495</v>
      </c>
      <c r="X8">
        <f>SEARCH("~*",W8)</f>
        <v>9</v>
      </c>
      <c r="Y8" t="str">
        <f>LEFT(W8,X8-1)</f>
        <v xml:space="preserve">2903777 </v>
      </c>
      <c r="AA8" t="str">
        <f>CONCATENATE(A8,",",D8,",",E8,",",F8,",",G8,",",H8,",",I8,",",J8,",",K8)</f>
        <v>2903777,-320,-778,4403,324,1316,3170,4743,4495</v>
      </c>
    </row>
    <row r="9" spans="1:27">
      <c r="A9" s="1">
        <f>IF(ISBLANK(T9),"",VALUE(Y9))</f>
        <v>2596670</v>
      </c>
      <c r="B9" s="1">
        <f>A9*4/10 -18</f>
        <v>1038650</v>
      </c>
      <c r="C9" s="3">
        <f>B9/7000000</f>
        <v>0.14837857142857142</v>
      </c>
      <c r="D9" s="6">
        <f>VALUE(MID(W9,$X9+2,L9-(X9+2)))</f>
        <v>-320</v>
      </c>
      <c r="E9" s="6">
        <f>VALUE(MID($W9,L9+1,M9-(L9+1)))</f>
        <v>-778</v>
      </c>
      <c r="F9" s="6">
        <f>VALUE(MID($W9,M9+1,N9-(M9+1)))</f>
        <v>4403</v>
      </c>
      <c r="G9" s="6">
        <f>VALUE(MID($W9,N9+1,O9-(N9+1)))</f>
        <v>324</v>
      </c>
      <c r="H9" s="6">
        <f>VALUE(MID($W9,O9+1,P9-(O9+1)))</f>
        <v>1316</v>
      </c>
      <c r="I9" s="6">
        <f>VALUE(MID($W9,P9+1,Q9-(P9+1)))</f>
        <v>3170</v>
      </c>
      <c r="J9" s="6">
        <f>VALUE(MID($W9,Q9+1,R9-(Q9+1)))</f>
        <v>4743</v>
      </c>
      <c r="K9" s="4">
        <f>VALUE(MID(W9,R9+1,LEN(W9)-(R9)))</f>
        <v>4495</v>
      </c>
      <c r="L9" s="4">
        <f>SEARCH(",",W9,X9)</f>
        <v>16</v>
      </c>
      <c r="M9" s="4">
        <f>SEARCH(",",$W9,L9+1)</f>
        <v>22</v>
      </c>
      <c r="N9" s="4">
        <f>SEARCH(",",$W9,M9+1)</f>
        <v>28</v>
      </c>
      <c r="O9" s="4">
        <f>SEARCH(",",$W9,N9+1)</f>
        <v>33</v>
      </c>
      <c r="P9" s="4">
        <f>SEARCH(",",$W9,O9+1)</f>
        <v>39</v>
      </c>
      <c r="Q9" s="4">
        <f>SEARCH(",",$W9,P9+1)</f>
        <v>45</v>
      </c>
      <c r="R9" s="4">
        <f>SEARCH(",",$W9,Q9+1)</f>
        <v>51</v>
      </c>
      <c r="T9" t="s">
        <v>540</v>
      </c>
      <c r="U9">
        <f>SEARCH(":",T9)</f>
        <v>6</v>
      </c>
      <c r="V9" t="str">
        <f>MID(T9,U9+1,LEN(T9)-(U9))</f>
        <v xml:space="preserve"> 2596670 ** -320, -778, 4403, 324, 1316, 3170, 4743, 4495</v>
      </c>
      <c r="W9" t="str">
        <f>TRIM(V9)</f>
        <v>2596670 ** -320, -778, 4403, 324, 1316, 3170, 4743, 4495</v>
      </c>
      <c r="X9">
        <f>SEARCH("~*",W9)</f>
        <v>9</v>
      </c>
      <c r="Y9" t="str">
        <f>LEFT(W9,X9-1)</f>
        <v xml:space="preserve">2596670 </v>
      </c>
      <c r="AA9" t="str">
        <f>CONCATENATE(A9,",",D9,",",E9,",",F9,",",G9,",",H9,",",I9,",",J9,",",K9)</f>
        <v>2596670,-320,-778,4403,324,1316,3170,4743,4495</v>
      </c>
    </row>
    <row r="10" spans="1:27">
      <c r="A10" s="1">
        <f>IF(ISBLANK(T10),"",VALUE(Y10))</f>
        <v>2568809</v>
      </c>
      <c r="B10" s="1">
        <f>A10*4/10 -18</f>
        <v>1027505.6</v>
      </c>
      <c r="C10" s="3">
        <f>B10/7000000</f>
        <v>0.14678651428571429</v>
      </c>
      <c r="D10" s="6">
        <f>VALUE(MID(W10,$X10+2,L10-(X10+2)))</f>
        <v>-320</v>
      </c>
      <c r="E10" s="6">
        <f>VALUE(MID($W10,L10+1,M10-(L10+1)))</f>
        <v>-778</v>
      </c>
      <c r="F10" s="6">
        <f>VALUE(MID($W10,M10+1,N10-(M10+1)))</f>
        <v>4403</v>
      </c>
      <c r="G10" s="6">
        <f>VALUE(MID($W10,N10+1,O10-(N10+1)))</f>
        <v>324</v>
      </c>
      <c r="H10" s="6">
        <f>VALUE(MID($W10,O10+1,P10-(O10+1)))</f>
        <v>1316</v>
      </c>
      <c r="I10" s="6">
        <f>VALUE(MID($W10,P10+1,Q10-(P10+1)))</f>
        <v>3170</v>
      </c>
      <c r="J10" s="6">
        <f>VALUE(MID($W10,Q10+1,R10-(Q10+1)))</f>
        <v>4743</v>
      </c>
      <c r="K10" s="4">
        <f>VALUE(MID(W10,R10+1,LEN(W10)-(R10)))</f>
        <v>4495</v>
      </c>
      <c r="L10" s="4">
        <f>SEARCH(",",W10,X10)</f>
        <v>16</v>
      </c>
      <c r="M10" s="4">
        <f>SEARCH(",",$W10,L10+1)</f>
        <v>22</v>
      </c>
      <c r="N10" s="4">
        <f>SEARCH(",",$W10,M10+1)</f>
        <v>28</v>
      </c>
      <c r="O10" s="4">
        <f>SEARCH(",",$W10,N10+1)</f>
        <v>33</v>
      </c>
      <c r="P10" s="4">
        <f>SEARCH(",",$W10,O10+1)</f>
        <v>39</v>
      </c>
      <c r="Q10" s="4">
        <f>SEARCH(",",$W10,P10+1)</f>
        <v>45</v>
      </c>
      <c r="R10" s="4">
        <f>SEARCH(",",$W10,Q10+1)</f>
        <v>51</v>
      </c>
      <c r="T10" t="s">
        <v>379</v>
      </c>
      <c r="U10">
        <f>SEARCH(":",T10)</f>
        <v>6</v>
      </c>
      <c r="V10" t="str">
        <f>MID(T10,U10+1,LEN(T10)-(U10))</f>
        <v xml:space="preserve"> 2568809 ** -320, -778, 4403, 324, 1316, 3170, 4743, 4495</v>
      </c>
      <c r="W10" t="str">
        <f>TRIM(V10)</f>
        <v>2568809 ** -320, -778, 4403, 324, 1316, 3170, 4743, 4495</v>
      </c>
      <c r="X10">
        <f>SEARCH("~*",W10)</f>
        <v>9</v>
      </c>
      <c r="Y10" t="str">
        <f>LEFT(W10,X10-1)</f>
        <v xml:space="preserve">2568809 </v>
      </c>
      <c r="AA10" t="str">
        <f>CONCATENATE(A10,",",D10,",",E10,",",F10,",",G10,",",H10,",",I10,",",J10,",",K10)</f>
        <v>2568809,-320,-778,4403,324,1316,3170,4743,4495</v>
      </c>
    </row>
    <row r="11" spans="1:27">
      <c r="A11" s="1">
        <f>IF(ISBLANK(T11),"",VALUE(Y11))</f>
        <v>2483312</v>
      </c>
      <c r="B11" s="1">
        <f>A11*4/10 -18</f>
        <v>993306.8</v>
      </c>
      <c r="C11" s="3">
        <f>B11/7000000</f>
        <v>0.14190097142857144</v>
      </c>
      <c r="D11" s="6">
        <f>VALUE(MID(W11,$X11+2,L11-(X11+2)))</f>
        <v>-320</v>
      </c>
      <c r="E11" s="6">
        <f>VALUE(MID($W11,L11+1,M11-(L11+1)))</f>
        <v>-778</v>
      </c>
      <c r="F11" s="6">
        <f>VALUE(MID($W11,M11+1,N11-(M11+1)))</f>
        <v>4403</v>
      </c>
      <c r="G11" s="6">
        <f>VALUE(MID($W11,N11+1,O11-(N11+1)))</f>
        <v>324</v>
      </c>
      <c r="H11" s="6">
        <f>VALUE(MID($W11,O11+1,P11-(O11+1)))</f>
        <v>1316</v>
      </c>
      <c r="I11" s="6">
        <f>VALUE(MID($W11,P11+1,Q11-(P11+1)))</f>
        <v>3170</v>
      </c>
      <c r="J11" s="6">
        <f>VALUE(MID($W11,Q11+1,R11-(Q11+1)))</f>
        <v>4743</v>
      </c>
      <c r="K11" s="4">
        <f>VALUE(MID(W11,R11+1,LEN(W11)-(R11)))</f>
        <v>4495</v>
      </c>
      <c r="L11" s="4">
        <f>SEARCH(",",W11,X11)</f>
        <v>16</v>
      </c>
      <c r="M11" s="4">
        <f>SEARCH(",",$W11,L11+1)</f>
        <v>22</v>
      </c>
      <c r="N11" s="4">
        <f>SEARCH(",",$W11,M11+1)</f>
        <v>28</v>
      </c>
      <c r="O11" s="4">
        <f>SEARCH(",",$W11,N11+1)</f>
        <v>33</v>
      </c>
      <c r="P11" s="4">
        <f>SEARCH(",",$W11,O11+1)</f>
        <v>39</v>
      </c>
      <c r="Q11" s="4">
        <f>SEARCH(",",$W11,P11+1)</f>
        <v>45</v>
      </c>
      <c r="R11" s="4">
        <f>SEARCH(",",$W11,Q11+1)</f>
        <v>51</v>
      </c>
      <c r="T11" t="s">
        <v>353</v>
      </c>
      <c r="U11">
        <f>SEARCH(":",T11)</f>
        <v>6</v>
      </c>
      <c r="V11" t="str">
        <f>MID(T11,U11+1,LEN(T11)-(U11))</f>
        <v xml:space="preserve"> 2483312 ** -320, -778, 4403, 324, 1316, 3170, 4743, 4495</v>
      </c>
      <c r="W11" t="str">
        <f>TRIM(V11)</f>
        <v>2483312 ** -320, -778, 4403, 324, 1316, 3170, 4743, 4495</v>
      </c>
      <c r="X11">
        <f>SEARCH("~*",W11)</f>
        <v>9</v>
      </c>
      <c r="Y11" t="str">
        <f>LEFT(W11,X11-1)</f>
        <v xml:space="preserve">2483312 </v>
      </c>
      <c r="AA11" t="str">
        <f>CONCATENATE(A11,",",D11,",",E11,",",F11,",",G11,",",H11,",",I11,",",J11,",",K11)</f>
        <v>2483312,-320,-778,4403,324,1316,3170,4743,4495</v>
      </c>
    </row>
    <row r="12" spans="1:27">
      <c r="A12" s="1">
        <f>IF(ISBLANK(T12),"",VALUE(Y12))</f>
        <v>2475768</v>
      </c>
      <c r="B12" s="1">
        <f>A12*4/10 -18</f>
        <v>990289.2</v>
      </c>
      <c r="C12" s="3">
        <f>B12/7000000</f>
        <v>0.1414698857142857</v>
      </c>
      <c r="D12" s="6">
        <f>VALUE(MID(W12,$X12+2,L12-(X12+2)))</f>
        <v>-320</v>
      </c>
      <c r="E12" s="6">
        <f>VALUE(MID($W12,L12+1,M12-(L12+1)))</f>
        <v>-778</v>
      </c>
      <c r="F12" s="6">
        <f>VALUE(MID($W12,M12+1,N12-(M12+1)))</f>
        <v>4403</v>
      </c>
      <c r="G12" s="6">
        <f>VALUE(MID($W12,N12+1,O12-(N12+1)))</f>
        <v>324</v>
      </c>
      <c r="H12" s="6">
        <f>VALUE(MID($W12,O12+1,P12-(O12+1)))</f>
        <v>1316</v>
      </c>
      <c r="I12" s="6">
        <f>VALUE(MID($W12,P12+1,Q12-(P12+1)))</f>
        <v>3170</v>
      </c>
      <c r="J12" s="6">
        <f>VALUE(MID($W12,Q12+1,R12-(Q12+1)))</f>
        <v>4743</v>
      </c>
      <c r="K12" s="4">
        <f>VALUE(MID(W12,R12+1,LEN(W12)-(R12)))</f>
        <v>4495</v>
      </c>
      <c r="L12" s="4">
        <f>SEARCH(",",W12,X12)</f>
        <v>16</v>
      </c>
      <c r="M12" s="4">
        <f>SEARCH(",",$W12,L12+1)</f>
        <v>22</v>
      </c>
      <c r="N12" s="4">
        <f>SEARCH(",",$W12,M12+1)</f>
        <v>28</v>
      </c>
      <c r="O12" s="4">
        <f>SEARCH(",",$W12,N12+1)</f>
        <v>33</v>
      </c>
      <c r="P12" s="4">
        <f>SEARCH(",",$W12,O12+1)</f>
        <v>39</v>
      </c>
      <c r="Q12" s="4">
        <f>SEARCH(",",$W12,P12+1)</f>
        <v>45</v>
      </c>
      <c r="R12" s="4">
        <f>SEARCH(",",$W12,Q12+1)</f>
        <v>51</v>
      </c>
      <c r="T12" t="s">
        <v>424</v>
      </c>
      <c r="U12">
        <f>SEARCH(":",T12)</f>
        <v>6</v>
      </c>
      <c r="V12" t="str">
        <f>MID(T12,U12+1,LEN(T12)-(U12))</f>
        <v xml:space="preserve"> 2475768 ** -320, -778, 4403, 324, 1316, 3170, 4743, 4495</v>
      </c>
      <c r="W12" t="str">
        <f>TRIM(V12)</f>
        <v>2475768 ** -320, -778, 4403, 324, 1316, 3170, 4743, 4495</v>
      </c>
      <c r="X12">
        <f>SEARCH("~*",W12)</f>
        <v>9</v>
      </c>
      <c r="Y12" t="str">
        <f>LEFT(W12,X12-1)</f>
        <v xml:space="preserve">2475768 </v>
      </c>
      <c r="AA12" t="str">
        <f>CONCATENATE(A12,",",D12,",",E12,",",F12,",",G12,",",H12,",",I12,",",J12,",",K12)</f>
        <v>2475768,-320,-778,4403,324,1316,3170,4743,4495</v>
      </c>
    </row>
    <row r="13" spans="1:27">
      <c r="A13" s="1">
        <f>IF(ISBLANK(T13),"",VALUE(Y13))</f>
        <v>2426914</v>
      </c>
      <c r="B13" s="1">
        <f>A13*4/10 -18</f>
        <v>970747.6</v>
      </c>
      <c r="C13" s="3">
        <f>B13/7000000</f>
        <v>0.13867822857142856</v>
      </c>
      <c r="D13" s="6">
        <f>VALUE(MID(W13,$X13+2,L13-(X13+2)))</f>
        <v>-320</v>
      </c>
      <c r="E13" s="6">
        <f>VALUE(MID($W13,L13+1,M13-(L13+1)))</f>
        <v>-778</v>
      </c>
      <c r="F13" s="6">
        <f>VALUE(MID($W13,M13+1,N13-(M13+1)))</f>
        <v>4403</v>
      </c>
      <c r="G13" s="6">
        <f>VALUE(MID($W13,N13+1,O13-(N13+1)))</f>
        <v>324</v>
      </c>
      <c r="H13" s="6">
        <f>VALUE(MID($W13,O13+1,P13-(O13+1)))</f>
        <v>1316</v>
      </c>
      <c r="I13" s="6">
        <f>VALUE(MID($W13,P13+1,Q13-(P13+1)))</f>
        <v>3170</v>
      </c>
      <c r="J13" s="6">
        <f>VALUE(MID($W13,Q13+1,R13-(Q13+1)))</f>
        <v>4743</v>
      </c>
      <c r="K13" s="4">
        <f>VALUE(MID(W13,R13+1,LEN(W13)-(R13)))</f>
        <v>4495</v>
      </c>
      <c r="L13" s="4">
        <f>SEARCH(",",W13,X13)</f>
        <v>16</v>
      </c>
      <c r="M13" s="4">
        <f>SEARCH(",",$W13,L13+1)</f>
        <v>22</v>
      </c>
      <c r="N13" s="4">
        <f>SEARCH(",",$W13,M13+1)</f>
        <v>28</v>
      </c>
      <c r="O13" s="4">
        <f>SEARCH(",",$W13,N13+1)</f>
        <v>33</v>
      </c>
      <c r="P13" s="4">
        <f>SEARCH(",",$W13,O13+1)</f>
        <v>39</v>
      </c>
      <c r="Q13" s="4">
        <f>SEARCH(",",$W13,P13+1)</f>
        <v>45</v>
      </c>
      <c r="R13" s="4">
        <f>SEARCH(",",$W13,Q13+1)</f>
        <v>51</v>
      </c>
      <c r="T13" t="s">
        <v>399</v>
      </c>
      <c r="U13">
        <f>SEARCH(":",T13)</f>
        <v>6</v>
      </c>
      <c r="V13" t="str">
        <f>MID(T13,U13+1,LEN(T13)-(U13))</f>
        <v xml:space="preserve"> 2426914 ** -320, -778, 4403, 324, 1316, 3170, 4743, 4495</v>
      </c>
      <c r="W13" t="str">
        <f>TRIM(V13)</f>
        <v>2426914 ** -320, -778, 4403, 324, 1316, 3170, 4743, 4495</v>
      </c>
      <c r="X13">
        <f>SEARCH("~*",W13)</f>
        <v>9</v>
      </c>
      <c r="Y13" t="str">
        <f>LEFT(W13,X13-1)</f>
        <v xml:space="preserve">2426914 </v>
      </c>
      <c r="AA13" t="str">
        <f>CONCATENATE(A13,",",D13,",",E13,",",F13,",",G13,",",H13,",",I13,",",J13,",",K13)</f>
        <v>2426914,-320,-778,4403,324,1316,3170,4743,4495</v>
      </c>
    </row>
    <row r="14" spans="1:27">
      <c r="A14" s="1">
        <f>IF(ISBLANK(T14),"",VALUE(Y14))</f>
        <v>2334051</v>
      </c>
      <c r="B14" s="1">
        <f>A14*4/10 -18</f>
        <v>933602.4</v>
      </c>
      <c r="C14" s="3">
        <f>B14/7000000</f>
        <v>0.13337177142857143</v>
      </c>
      <c r="D14" s="6">
        <f>VALUE(MID(W14,$X14+2,L14-(X14+2)))</f>
        <v>-320</v>
      </c>
      <c r="E14" s="6">
        <f>VALUE(MID($W14,L14+1,M14-(L14+1)))</f>
        <v>-778</v>
      </c>
      <c r="F14" s="6">
        <f>VALUE(MID($W14,M14+1,N14-(M14+1)))</f>
        <v>4403</v>
      </c>
      <c r="G14" s="6">
        <f>VALUE(MID($W14,N14+1,O14-(N14+1)))</f>
        <v>324</v>
      </c>
      <c r="H14" s="6">
        <f>VALUE(MID($W14,O14+1,P14-(O14+1)))</f>
        <v>1316</v>
      </c>
      <c r="I14" s="6">
        <f>VALUE(MID($W14,P14+1,Q14-(P14+1)))</f>
        <v>3170</v>
      </c>
      <c r="J14" s="6">
        <f>VALUE(MID($W14,Q14+1,R14-(Q14+1)))</f>
        <v>4743</v>
      </c>
      <c r="K14" s="4">
        <f>VALUE(MID(W14,R14+1,LEN(W14)-(R14)))</f>
        <v>4495</v>
      </c>
      <c r="L14" s="4">
        <f>SEARCH(",",W14,X14)</f>
        <v>16</v>
      </c>
      <c r="M14" s="4">
        <f>SEARCH(",",$W14,L14+1)</f>
        <v>22</v>
      </c>
      <c r="N14" s="4">
        <f>SEARCH(",",$W14,M14+1)</f>
        <v>28</v>
      </c>
      <c r="O14" s="4">
        <f>SEARCH(",",$W14,N14+1)</f>
        <v>33</v>
      </c>
      <c r="P14" s="4">
        <f>SEARCH(",",$W14,O14+1)</f>
        <v>39</v>
      </c>
      <c r="Q14" s="4">
        <f>SEARCH(",",$W14,P14+1)</f>
        <v>45</v>
      </c>
      <c r="R14" s="4">
        <f>SEARCH(",",$W14,Q14+1)</f>
        <v>51</v>
      </c>
      <c r="T14" t="s">
        <v>414</v>
      </c>
      <c r="U14">
        <f>SEARCH(":",T14)</f>
        <v>6</v>
      </c>
      <c r="V14" t="str">
        <f>MID(T14,U14+1,LEN(T14)-(U14))</f>
        <v xml:space="preserve"> 2334051 ** -320, -778, 4403, 324, 1316, 3170, 4743, 4495</v>
      </c>
      <c r="W14" t="str">
        <f>TRIM(V14)</f>
        <v>2334051 ** -320, -778, 4403, 324, 1316, 3170, 4743, 4495</v>
      </c>
      <c r="X14">
        <f>SEARCH("~*",W14)</f>
        <v>9</v>
      </c>
      <c r="Y14" t="str">
        <f>LEFT(W14,X14-1)</f>
        <v xml:space="preserve">2334051 </v>
      </c>
      <c r="AA14" t="str">
        <f>CONCATENATE(A14,",",D14,",",E14,",",F14,",",G14,",",H14,",",I14,",",J14,",",K14)</f>
        <v>2334051,-320,-778,4403,324,1316,3170,4743,4495</v>
      </c>
    </row>
    <row r="15" spans="1:27">
      <c r="A15" s="1">
        <f>IF(ISBLANK(T15),"",VALUE(Y15))</f>
        <v>2194060</v>
      </c>
      <c r="B15" s="1">
        <f>A15*4/10 -18</f>
        <v>877606</v>
      </c>
      <c r="C15" s="3">
        <f>B15/7000000</f>
        <v>0.12537228571428571</v>
      </c>
      <c r="D15" s="6">
        <f>VALUE(MID(W15,$X15+2,L15-(X15+2)))</f>
        <v>-320</v>
      </c>
      <c r="E15" s="6">
        <f>VALUE(MID($W15,L15+1,M15-(L15+1)))</f>
        <v>-778</v>
      </c>
      <c r="F15" s="6">
        <f>VALUE(MID($W15,M15+1,N15-(M15+1)))</f>
        <v>4403</v>
      </c>
      <c r="G15" s="6">
        <f>VALUE(MID($W15,N15+1,O15-(N15+1)))</f>
        <v>324</v>
      </c>
      <c r="H15" s="6">
        <f>VALUE(MID($W15,O15+1,P15-(O15+1)))</f>
        <v>1316</v>
      </c>
      <c r="I15" s="6">
        <f>VALUE(MID($W15,P15+1,Q15-(P15+1)))</f>
        <v>3170</v>
      </c>
      <c r="J15" s="6">
        <f>VALUE(MID($W15,Q15+1,R15-(Q15+1)))</f>
        <v>4743</v>
      </c>
      <c r="K15" s="4">
        <f>VALUE(MID(W15,R15+1,LEN(W15)-(R15)))</f>
        <v>4495</v>
      </c>
      <c r="L15" s="4">
        <f>SEARCH(",",W15,X15)</f>
        <v>16</v>
      </c>
      <c r="M15" s="4">
        <f>SEARCH(",",$W15,L15+1)</f>
        <v>22</v>
      </c>
      <c r="N15" s="4">
        <f>SEARCH(",",$W15,M15+1)</f>
        <v>28</v>
      </c>
      <c r="O15" s="4">
        <f>SEARCH(",",$W15,N15+1)</f>
        <v>33</v>
      </c>
      <c r="P15" s="4">
        <f>SEARCH(",",$W15,O15+1)</f>
        <v>39</v>
      </c>
      <c r="Q15" s="4">
        <f>SEARCH(",",$W15,P15+1)</f>
        <v>45</v>
      </c>
      <c r="R15" s="4">
        <f>SEARCH(",",$W15,Q15+1)</f>
        <v>51</v>
      </c>
      <c r="T15" t="s">
        <v>536</v>
      </c>
      <c r="U15">
        <f>SEARCH(":",T15)</f>
        <v>6</v>
      </c>
      <c r="V15" t="str">
        <f>MID(T15,U15+1,LEN(T15)-(U15))</f>
        <v xml:space="preserve"> 2194060 ** -320, -778, 4403, 324, 1316, 3170, 4743, 4495</v>
      </c>
      <c r="W15" t="str">
        <f>TRIM(V15)</f>
        <v>2194060 ** -320, -778, 4403, 324, 1316, 3170, 4743, 4495</v>
      </c>
      <c r="X15">
        <f>SEARCH("~*",W15)</f>
        <v>9</v>
      </c>
      <c r="Y15" t="str">
        <f>LEFT(W15,X15-1)</f>
        <v xml:space="preserve">2194060 </v>
      </c>
      <c r="AA15" t="str">
        <f>CONCATENATE(A15,",",D15,",",E15,",",F15,",",G15,",",H15,",",I15,",",J15,",",K15)</f>
        <v>2194060,-320,-778,4403,324,1316,3170,4743,4495</v>
      </c>
    </row>
    <row r="16" spans="1:27">
      <c r="A16" s="1">
        <f>IF(ISBLANK(T16),"",VALUE(Y16))</f>
        <v>2074491</v>
      </c>
      <c r="B16" s="1">
        <f>A16*4/10 -18</f>
        <v>829778.4</v>
      </c>
      <c r="C16" s="3">
        <f>B16/7000000</f>
        <v>0.11853977142857143</v>
      </c>
      <c r="D16" s="6">
        <f>VALUE(MID(W16,$X16+2,L16-(X16+2)))</f>
        <v>-320</v>
      </c>
      <c r="E16" s="6">
        <f>VALUE(MID($W16,L16+1,M16-(L16+1)))</f>
        <v>-778</v>
      </c>
      <c r="F16" s="6">
        <f>VALUE(MID($W16,M16+1,N16-(M16+1)))</f>
        <v>4403</v>
      </c>
      <c r="G16" s="6">
        <f>VALUE(MID($W16,N16+1,O16-(N16+1)))</f>
        <v>324</v>
      </c>
      <c r="H16" s="6">
        <f>VALUE(MID($W16,O16+1,P16-(O16+1)))</f>
        <v>1316</v>
      </c>
      <c r="I16" s="6">
        <f>VALUE(MID($W16,P16+1,Q16-(P16+1)))</f>
        <v>3170</v>
      </c>
      <c r="J16" s="6">
        <f>VALUE(MID($W16,Q16+1,R16-(Q16+1)))</f>
        <v>4743</v>
      </c>
      <c r="K16" s="4">
        <f>VALUE(MID(W16,R16+1,LEN(W16)-(R16)))</f>
        <v>4495</v>
      </c>
      <c r="L16" s="4">
        <f>SEARCH(",",W16,X16)</f>
        <v>16</v>
      </c>
      <c r="M16" s="4">
        <f>SEARCH(",",$W16,L16+1)</f>
        <v>22</v>
      </c>
      <c r="N16" s="4">
        <f>SEARCH(",",$W16,M16+1)</f>
        <v>28</v>
      </c>
      <c r="O16" s="4">
        <f>SEARCH(",",$W16,N16+1)</f>
        <v>33</v>
      </c>
      <c r="P16" s="4">
        <f>SEARCH(",",$W16,O16+1)</f>
        <v>39</v>
      </c>
      <c r="Q16" s="4">
        <f>SEARCH(",",$W16,P16+1)</f>
        <v>45</v>
      </c>
      <c r="R16" s="4">
        <f>SEARCH(",",$W16,Q16+1)</f>
        <v>51</v>
      </c>
      <c r="T16" t="s">
        <v>421</v>
      </c>
      <c r="U16">
        <f>SEARCH(":",T16)</f>
        <v>6</v>
      </c>
      <c r="V16" t="str">
        <f>MID(T16,U16+1,LEN(T16)-(U16))</f>
        <v xml:space="preserve"> 2074491 ** -320, -778, 4403, 324, 1316, 3170, 4743, 4495</v>
      </c>
      <c r="W16" t="str">
        <f>TRIM(V16)</f>
        <v>2074491 ** -320, -778, 4403, 324, 1316, 3170, 4743, 4495</v>
      </c>
      <c r="X16">
        <f>SEARCH("~*",W16)</f>
        <v>9</v>
      </c>
      <c r="Y16" t="str">
        <f>LEFT(W16,X16-1)</f>
        <v xml:space="preserve">2074491 </v>
      </c>
      <c r="AA16" t="str">
        <f>CONCATENATE(A16,",",D16,",",E16,",",F16,",",G16,",",H16,",",I16,",",J16,",",K16)</f>
        <v>2074491,-320,-778,4403,324,1316,3170,4743,4495</v>
      </c>
    </row>
    <row r="17" spans="1:27">
      <c r="A17" s="1">
        <f>IF(ISBLANK(T17),"",VALUE(Y17))</f>
        <v>2024271</v>
      </c>
      <c r="B17" s="1">
        <f>A17*4/10 -18</f>
        <v>809690.4</v>
      </c>
      <c r="C17" s="3">
        <f>B17/7000000</f>
        <v>0.11567005714285715</v>
      </c>
      <c r="D17" s="6">
        <f>VALUE(MID(W17,$X17+2,L17-(X17+2)))</f>
        <v>-320</v>
      </c>
      <c r="E17" s="6">
        <f>VALUE(MID($W17,L17+1,M17-(L17+1)))</f>
        <v>-778</v>
      </c>
      <c r="F17" s="6">
        <f>VALUE(MID($W17,M17+1,N17-(M17+1)))</f>
        <v>4403</v>
      </c>
      <c r="G17" s="6">
        <f>VALUE(MID($W17,N17+1,O17-(N17+1)))</f>
        <v>324</v>
      </c>
      <c r="H17" s="6">
        <f>VALUE(MID($W17,O17+1,P17-(O17+1)))</f>
        <v>1316</v>
      </c>
      <c r="I17" s="6">
        <f>VALUE(MID($W17,P17+1,Q17-(P17+1)))</f>
        <v>3170</v>
      </c>
      <c r="J17" s="6">
        <f>VALUE(MID($W17,Q17+1,R17-(Q17+1)))</f>
        <v>4743</v>
      </c>
      <c r="K17" s="4">
        <f>VALUE(MID(W17,R17+1,LEN(W17)-(R17)))</f>
        <v>4495</v>
      </c>
      <c r="L17" s="4">
        <f>SEARCH(",",W17,X17)</f>
        <v>16</v>
      </c>
      <c r="M17" s="4">
        <f>SEARCH(",",$W17,L17+1)</f>
        <v>22</v>
      </c>
      <c r="N17" s="4">
        <f>SEARCH(",",$W17,M17+1)</f>
        <v>28</v>
      </c>
      <c r="O17" s="4">
        <f>SEARCH(",",$W17,N17+1)</f>
        <v>33</v>
      </c>
      <c r="P17" s="4">
        <f>SEARCH(",",$W17,O17+1)</f>
        <v>39</v>
      </c>
      <c r="Q17" s="4">
        <f>SEARCH(",",$W17,P17+1)</f>
        <v>45</v>
      </c>
      <c r="R17" s="4">
        <f>SEARCH(",",$W17,Q17+1)</f>
        <v>51</v>
      </c>
      <c r="T17" t="s">
        <v>422</v>
      </c>
      <c r="U17">
        <f>SEARCH(":",T17)</f>
        <v>6</v>
      </c>
      <c r="V17" t="str">
        <f>MID(T17,U17+1,LEN(T17)-(U17))</f>
        <v xml:space="preserve"> 2024271 ** -320, -778, 4403, 324, 1316, 3170, 4743, 4495</v>
      </c>
      <c r="W17" t="str">
        <f>TRIM(V17)</f>
        <v>2024271 ** -320, -778, 4403, 324, 1316, 3170, 4743, 4495</v>
      </c>
      <c r="X17">
        <f>SEARCH("~*",W17)</f>
        <v>9</v>
      </c>
      <c r="Y17" t="str">
        <f>LEFT(W17,X17-1)</f>
        <v xml:space="preserve">2024271 </v>
      </c>
      <c r="AA17" t="str">
        <f>CONCATENATE(A17,",",D17,",",E17,",",F17,",",G17,",",H17,",",I17,",",J17,",",K17)</f>
        <v>2024271,-320,-778,4403,324,1316,3170,4743,4495</v>
      </c>
    </row>
    <row r="18" spans="1:27">
      <c r="A18" s="1">
        <f>IF(ISBLANK(T18),"",VALUE(Y18))</f>
        <v>1950553</v>
      </c>
      <c r="B18" s="1">
        <f>A18*4/10 -18</f>
        <v>780203.2</v>
      </c>
      <c r="C18" s="3">
        <f>B18/7000000</f>
        <v>0.11145759999999999</v>
      </c>
      <c r="D18" s="6">
        <f>VALUE(MID(W18,$X18+2,L18-(X18+2)))</f>
        <v>-320</v>
      </c>
      <c r="E18" s="6">
        <f>VALUE(MID($W18,L18+1,M18-(L18+1)))</f>
        <v>-778</v>
      </c>
      <c r="F18" s="6">
        <f>VALUE(MID($W18,M18+1,N18-(M18+1)))</f>
        <v>4403</v>
      </c>
      <c r="G18" s="6">
        <f>VALUE(MID($W18,N18+1,O18-(N18+1)))</f>
        <v>324</v>
      </c>
      <c r="H18" s="6">
        <f>VALUE(MID($W18,O18+1,P18-(O18+1)))</f>
        <v>1316</v>
      </c>
      <c r="I18" s="6">
        <f>VALUE(MID($W18,P18+1,Q18-(P18+1)))</f>
        <v>3170</v>
      </c>
      <c r="J18" s="6">
        <f>VALUE(MID($W18,Q18+1,R18-(Q18+1)))</f>
        <v>4743</v>
      </c>
      <c r="K18" s="4">
        <f>VALUE(MID(W18,R18+1,LEN(W18)-(R18)))</f>
        <v>4495</v>
      </c>
      <c r="L18" s="4">
        <f>SEARCH(",",W18,X18)</f>
        <v>16</v>
      </c>
      <c r="M18" s="4">
        <f>SEARCH(",",$W18,L18+1)</f>
        <v>22</v>
      </c>
      <c r="N18" s="4">
        <f>SEARCH(",",$W18,M18+1)</f>
        <v>28</v>
      </c>
      <c r="O18" s="4">
        <f>SEARCH(",",$W18,N18+1)</f>
        <v>33</v>
      </c>
      <c r="P18" s="4">
        <f>SEARCH(",",$W18,O18+1)</f>
        <v>39</v>
      </c>
      <c r="Q18" s="4">
        <f>SEARCH(",",$W18,P18+1)</f>
        <v>45</v>
      </c>
      <c r="R18" s="4">
        <f>SEARCH(",",$W18,Q18+1)</f>
        <v>51</v>
      </c>
      <c r="T18" t="s">
        <v>483</v>
      </c>
      <c r="U18">
        <f>SEARCH(":",T18)</f>
        <v>6</v>
      </c>
      <c r="V18" t="str">
        <f>MID(T18,U18+1,LEN(T18)-(U18))</f>
        <v xml:space="preserve"> 1950553 ** -320, -778, 4403, 324, 1316, 3170, 4743, 4495</v>
      </c>
      <c r="W18" t="str">
        <f>TRIM(V18)</f>
        <v>1950553 ** -320, -778, 4403, 324, 1316, 3170, 4743, 4495</v>
      </c>
      <c r="X18">
        <f>SEARCH("~*",W18)</f>
        <v>9</v>
      </c>
      <c r="Y18" t="str">
        <f>LEFT(W18,X18-1)</f>
        <v xml:space="preserve">1950553 </v>
      </c>
      <c r="AA18" t="str">
        <f>CONCATENATE(A18,",",D18,",",E18,",",F18,",",G18,",",H18,",",I18,",",J18,",",K18)</f>
        <v>1950553,-320,-778,4403,324,1316,3170,4743,4495</v>
      </c>
    </row>
    <row r="19" spans="1:27">
      <c r="A19" s="1">
        <f>IF(ISBLANK(T19),"",VALUE(Y19))</f>
        <v>1931824</v>
      </c>
      <c r="B19" s="1">
        <f>A19*4/10 -18</f>
        <v>772711.6</v>
      </c>
      <c r="C19" s="3">
        <f>B19/7000000</f>
        <v>0.11038737142857143</v>
      </c>
      <c r="D19" s="6">
        <f>VALUE(MID(W19,$X19+2,L19-(X19+2)))</f>
        <v>-320</v>
      </c>
      <c r="E19" s="6">
        <f>VALUE(MID($W19,L19+1,M19-(L19+1)))</f>
        <v>-778</v>
      </c>
      <c r="F19" s="6">
        <f>VALUE(MID($W19,M19+1,N19-(M19+1)))</f>
        <v>4403</v>
      </c>
      <c r="G19" s="6">
        <f>VALUE(MID($W19,N19+1,O19-(N19+1)))</f>
        <v>324</v>
      </c>
      <c r="H19" s="6">
        <f>VALUE(MID($W19,O19+1,P19-(O19+1)))</f>
        <v>1316</v>
      </c>
      <c r="I19" s="6">
        <f>VALUE(MID($W19,P19+1,Q19-(P19+1)))</f>
        <v>3170</v>
      </c>
      <c r="J19" s="6">
        <f>VALUE(MID($W19,Q19+1,R19-(Q19+1)))</f>
        <v>4743</v>
      </c>
      <c r="K19" s="4">
        <f>VALUE(MID(W19,R19+1,LEN(W19)-(R19)))</f>
        <v>4495</v>
      </c>
      <c r="L19" s="4">
        <f>SEARCH(",",W19,X19)</f>
        <v>16</v>
      </c>
      <c r="M19" s="4">
        <f>SEARCH(",",$W19,L19+1)</f>
        <v>22</v>
      </c>
      <c r="N19" s="4">
        <f>SEARCH(",",$W19,M19+1)</f>
        <v>28</v>
      </c>
      <c r="O19" s="4">
        <f>SEARCH(",",$W19,N19+1)</f>
        <v>33</v>
      </c>
      <c r="P19" s="4">
        <f>SEARCH(",",$W19,O19+1)</f>
        <v>39</v>
      </c>
      <c r="Q19" s="4">
        <f>SEARCH(",",$W19,P19+1)</f>
        <v>45</v>
      </c>
      <c r="R19" s="4">
        <f>SEARCH(",",$W19,Q19+1)</f>
        <v>51</v>
      </c>
      <c r="T19" t="s">
        <v>359</v>
      </c>
      <c r="U19">
        <f>SEARCH(":",T19)</f>
        <v>6</v>
      </c>
      <c r="V19" t="str">
        <f>MID(T19,U19+1,LEN(T19)-(U19))</f>
        <v xml:space="preserve"> 1931824 ** -320, -778, 4403, 324, 1316, 3170, 4743, 4495</v>
      </c>
      <c r="W19" t="str">
        <f>TRIM(V19)</f>
        <v>1931824 ** -320, -778, 4403, 324, 1316, 3170, 4743, 4495</v>
      </c>
      <c r="X19">
        <f>SEARCH("~*",W19)</f>
        <v>9</v>
      </c>
      <c r="Y19" t="str">
        <f>LEFT(W19,X19-1)</f>
        <v xml:space="preserve">1931824 </v>
      </c>
      <c r="AA19" t="str">
        <f>CONCATENATE(A19,",",D19,",",E19,",",F19,",",G19,",",H19,",",I19,",",J19,",",K19)</f>
        <v>1931824,-320,-778,4403,324,1316,3170,4743,4495</v>
      </c>
    </row>
    <row r="20" spans="1:27">
      <c r="A20" s="1">
        <f>IF(ISBLANK(T20),"",VALUE(Y20))</f>
        <v>1909649</v>
      </c>
      <c r="B20" s="1">
        <f>A20*4/10 -18</f>
        <v>763841.6</v>
      </c>
      <c r="C20" s="3">
        <f>B20/7000000</f>
        <v>0.10912022857142857</v>
      </c>
      <c r="D20" s="6">
        <f>VALUE(MID(W20,$X20+2,L20-(X20+2)))</f>
        <v>-320</v>
      </c>
      <c r="E20" s="6">
        <f>VALUE(MID($W20,L20+1,M20-(L20+1)))</f>
        <v>-778</v>
      </c>
      <c r="F20" s="6">
        <f>VALUE(MID($W20,M20+1,N20-(M20+1)))</f>
        <v>4403</v>
      </c>
      <c r="G20" s="6">
        <f>VALUE(MID($W20,N20+1,O20-(N20+1)))</f>
        <v>324</v>
      </c>
      <c r="H20" s="6">
        <f>VALUE(MID($W20,O20+1,P20-(O20+1)))</f>
        <v>1316</v>
      </c>
      <c r="I20" s="6">
        <f>VALUE(MID($W20,P20+1,Q20-(P20+1)))</f>
        <v>3170</v>
      </c>
      <c r="J20" s="6">
        <f>VALUE(MID($W20,Q20+1,R20-(Q20+1)))</f>
        <v>4743</v>
      </c>
      <c r="K20" s="4">
        <f>VALUE(MID(W20,R20+1,LEN(W20)-(R20)))</f>
        <v>4495</v>
      </c>
      <c r="L20" s="4">
        <f>SEARCH(",",W20,X20)</f>
        <v>16</v>
      </c>
      <c r="M20" s="4">
        <f>SEARCH(",",$W20,L20+1)</f>
        <v>22</v>
      </c>
      <c r="N20" s="4">
        <f>SEARCH(",",$W20,M20+1)</f>
        <v>28</v>
      </c>
      <c r="O20" s="4">
        <f>SEARCH(",",$W20,N20+1)</f>
        <v>33</v>
      </c>
      <c r="P20" s="4">
        <f>SEARCH(",",$W20,O20+1)</f>
        <v>39</v>
      </c>
      <c r="Q20" s="4">
        <f>SEARCH(",",$W20,P20+1)</f>
        <v>45</v>
      </c>
      <c r="R20" s="4">
        <f>SEARCH(",",$W20,Q20+1)</f>
        <v>51</v>
      </c>
      <c r="T20" t="s">
        <v>552</v>
      </c>
      <c r="U20">
        <f>SEARCH(":",T20)</f>
        <v>6</v>
      </c>
      <c r="V20" t="str">
        <f>MID(T20,U20+1,LEN(T20)-(U20))</f>
        <v xml:space="preserve"> 1909649 ** -320, -778, 4403, 324, 1316, 3170, 4743, 4495</v>
      </c>
      <c r="W20" t="str">
        <f>TRIM(V20)</f>
        <v>1909649 ** -320, -778, 4403, 324, 1316, 3170, 4743, 4495</v>
      </c>
      <c r="X20">
        <f>SEARCH("~*",W20)</f>
        <v>9</v>
      </c>
      <c r="Y20" t="str">
        <f>LEFT(W20,X20-1)</f>
        <v xml:space="preserve">1909649 </v>
      </c>
      <c r="AA20" t="str">
        <f>CONCATENATE(A20,",",D20,",",E20,",",F20,",",G20,",",H20,",",I20,",",J20,",",K20)</f>
        <v>1909649,-320,-778,4403,324,1316,3170,4743,4495</v>
      </c>
    </row>
    <row r="21" spans="1:27">
      <c r="A21" s="1">
        <f>IF(ISBLANK(T21),"",VALUE(Y21))</f>
        <v>1794757</v>
      </c>
      <c r="B21" s="1">
        <f>A21*4/10 -18</f>
        <v>717884.8</v>
      </c>
      <c r="C21" s="3">
        <f>B21/7000000</f>
        <v>0.10255497142857144</v>
      </c>
      <c r="D21" s="6">
        <f>VALUE(MID(W21,$X21+2,L21-(X21+2)))</f>
        <v>-320</v>
      </c>
      <c r="E21" s="6">
        <f>VALUE(MID($W21,L21+1,M21-(L21+1)))</f>
        <v>-778</v>
      </c>
      <c r="F21" s="6">
        <f>VALUE(MID($W21,M21+1,N21-(M21+1)))</f>
        <v>4403</v>
      </c>
      <c r="G21" s="6">
        <f>VALUE(MID($W21,N21+1,O21-(N21+1)))</f>
        <v>324</v>
      </c>
      <c r="H21" s="6">
        <f>VALUE(MID($W21,O21+1,P21-(O21+1)))</f>
        <v>1316</v>
      </c>
      <c r="I21" s="6">
        <f>VALUE(MID($W21,P21+1,Q21-(P21+1)))</f>
        <v>3170</v>
      </c>
      <c r="J21" s="6">
        <f>VALUE(MID($W21,Q21+1,R21-(Q21+1)))</f>
        <v>4743</v>
      </c>
      <c r="K21" s="4">
        <f>VALUE(MID(W21,R21+1,LEN(W21)-(R21)))</f>
        <v>4495</v>
      </c>
      <c r="L21" s="4">
        <f>SEARCH(",",W21,X21)</f>
        <v>16</v>
      </c>
      <c r="M21" s="4">
        <f>SEARCH(",",$W21,L21+1)</f>
        <v>22</v>
      </c>
      <c r="N21" s="4">
        <f>SEARCH(",",$W21,M21+1)</f>
        <v>28</v>
      </c>
      <c r="O21" s="4">
        <f>SEARCH(",",$W21,N21+1)</f>
        <v>33</v>
      </c>
      <c r="P21" s="4">
        <f>SEARCH(",",$W21,O21+1)</f>
        <v>39</v>
      </c>
      <c r="Q21" s="4">
        <f>SEARCH(",",$W21,P21+1)</f>
        <v>45</v>
      </c>
      <c r="R21" s="4">
        <f>SEARCH(",",$W21,Q21+1)</f>
        <v>51</v>
      </c>
      <c r="T21" t="s">
        <v>340</v>
      </c>
      <c r="U21">
        <f>SEARCH(":",T21)</f>
        <v>6</v>
      </c>
      <c r="V21" t="str">
        <f>MID(T21,U21+1,LEN(T21)-(U21))</f>
        <v xml:space="preserve"> 1794757 ** -320, -778, 4403, 324, 1316, 3170, 4743, 4495</v>
      </c>
      <c r="W21" t="str">
        <f>TRIM(V21)</f>
        <v>1794757 ** -320, -778, 4403, 324, 1316, 3170, 4743, 4495</v>
      </c>
      <c r="X21">
        <f>SEARCH("~*",W21)</f>
        <v>9</v>
      </c>
      <c r="Y21" t="str">
        <f>LEFT(W21,X21-1)</f>
        <v xml:space="preserve">1794757 </v>
      </c>
      <c r="AA21" t="str">
        <f>CONCATENATE(A21,",",D21,",",E21,",",F21,",",G21,",",H21,",",I21,",",J21,",",K21)</f>
        <v>1794757,-320,-778,4403,324,1316,3170,4743,4495</v>
      </c>
    </row>
    <row r="22" spans="1:27">
      <c r="A22" s="1">
        <f>IF(ISBLANK(T22),"",VALUE(Y22))</f>
        <v>1767827</v>
      </c>
      <c r="B22" s="1">
        <f>A22*4/10 -18</f>
        <v>707112.8</v>
      </c>
      <c r="C22" s="3">
        <f>B22/7000000</f>
        <v>0.10101611428571429</v>
      </c>
      <c r="D22" s="6">
        <f>VALUE(MID(W22,$X22+2,L22-(X22+2)))</f>
        <v>-320</v>
      </c>
      <c r="E22" s="6">
        <f>VALUE(MID($W22,L22+1,M22-(L22+1)))</f>
        <v>-778</v>
      </c>
      <c r="F22" s="6">
        <f>VALUE(MID($W22,M22+1,N22-(M22+1)))</f>
        <v>4403</v>
      </c>
      <c r="G22" s="6">
        <f>VALUE(MID($W22,N22+1,O22-(N22+1)))</f>
        <v>324</v>
      </c>
      <c r="H22" s="6">
        <f>VALUE(MID($W22,O22+1,P22-(O22+1)))</f>
        <v>1316</v>
      </c>
      <c r="I22" s="6">
        <f>VALUE(MID($W22,P22+1,Q22-(P22+1)))</f>
        <v>3170</v>
      </c>
      <c r="J22" s="6">
        <f>VALUE(MID($W22,Q22+1,R22-(Q22+1)))</f>
        <v>4743</v>
      </c>
      <c r="K22" s="4">
        <f>VALUE(MID(W22,R22+1,LEN(W22)-(R22)))</f>
        <v>4495</v>
      </c>
      <c r="L22" s="4">
        <f>SEARCH(",",W22,X22)</f>
        <v>16</v>
      </c>
      <c r="M22" s="4">
        <f>SEARCH(",",$W22,L22+1)</f>
        <v>22</v>
      </c>
      <c r="N22" s="4">
        <f>SEARCH(",",$W22,M22+1)</f>
        <v>28</v>
      </c>
      <c r="O22" s="4">
        <f>SEARCH(",",$W22,N22+1)</f>
        <v>33</v>
      </c>
      <c r="P22" s="4">
        <f>SEARCH(",",$W22,O22+1)</f>
        <v>39</v>
      </c>
      <c r="Q22" s="4">
        <f>SEARCH(",",$W22,P22+1)</f>
        <v>45</v>
      </c>
      <c r="R22" s="4">
        <f>SEARCH(",",$W22,Q22+1)</f>
        <v>51</v>
      </c>
      <c r="T22" t="s">
        <v>476</v>
      </c>
      <c r="U22">
        <f>SEARCH(":",T22)</f>
        <v>6</v>
      </c>
      <c r="V22" t="str">
        <f>MID(T22,U22+1,LEN(T22)-(U22))</f>
        <v xml:space="preserve"> 1767827 ** -320, -778, 4403, 324, 1316, 3170, 4743, 4495</v>
      </c>
      <c r="W22" t="str">
        <f>TRIM(V22)</f>
        <v>1767827 ** -320, -778, 4403, 324, 1316, 3170, 4743, 4495</v>
      </c>
      <c r="X22">
        <f>SEARCH("~*",W22)</f>
        <v>9</v>
      </c>
      <c r="Y22" t="str">
        <f>LEFT(W22,X22-1)</f>
        <v xml:space="preserve">1767827 </v>
      </c>
      <c r="AA22" t="str">
        <f>CONCATENATE(A22,",",D22,",",E22,",",F22,",",G22,",",H22,",",I22,",",J22,",",K22)</f>
        <v>1767827,-320,-778,4403,324,1316,3170,4743,4495</v>
      </c>
    </row>
    <row r="23" spans="1:27">
      <c r="A23" s="1">
        <f>IF(ISBLANK(T23),"",VALUE(Y23))</f>
        <v>1724703</v>
      </c>
      <c r="B23" s="1">
        <f>A23*4/10 -18</f>
        <v>689863.2</v>
      </c>
      <c r="C23" s="3">
        <f>B23/7000000</f>
        <v>9.8551885714285706E-2</v>
      </c>
      <c r="D23" s="6">
        <f>VALUE(MID(W23,$X23+2,L23-(X23+2)))</f>
        <v>-320</v>
      </c>
      <c r="E23" s="6">
        <f>VALUE(MID($W23,L23+1,M23-(L23+1)))</f>
        <v>-778</v>
      </c>
      <c r="F23" s="6">
        <f>VALUE(MID($W23,M23+1,N23-(M23+1)))</f>
        <v>4403</v>
      </c>
      <c r="G23" s="6">
        <f>VALUE(MID($W23,N23+1,O23-(N23+1)))</f>
        <v>324</v>
      </c>
      <c r="H23" s="6">
        <f>VALUE(MID($W23,O23+1,P23-(O23+1)))</f>
        <v>1316</v>
      </c>
      <c r="I23" s="6">
        <f>VALUE(MID($W23,P23+1,Q23-(P23+1)))</f>
        <v>3170</v>
      </c>
      <c r="J23" s="6">
        <f>VALUE(MID($W23,Q23+1,R23-(Q23+1)))</f>
        <v>4743</v>
      </c>
      <c r="K23" s="4">
        <f>VALUE(MID(W23,R23+1,LEN(W23)-(R23)))</f>
        <v>4495</v>
      </c>
      <c r="L23" s="4">
        <f>SEARCH(",",W23,X23)</f>
        <v>16</v>
      </c>
      <c r="M23" s="4">
        <f>SEARCH(",",$W23,L23+1)</f>
        <v>22</v>
      </c>
      <c r="N23" s="4">
        <f>SEARCH(",",$W23,M23+1)</f>
        <v>28</v>
      </c>
      <c r="O23" s="4">
        <f>SEARCH(",",$W23,N23+1)</f>
        <v>33</v>
      </c>
      <c r="P23" s="4">
        <f>SEARCH(",",$W23,O23+1)</f>
        <v>39</v>
      </c>
      <c r="Q23" s="4">
        <f>SEARCH(",",$W23,P23+1)</f>
        <v>45</v>
      </c>
      <c r="R23" s="4">
        <f>SEARCH(",",$W23,Q23+1)</f>
        <v>51</v>
      </c>
      <c r="T23" t="s">
        <v>507</v>
      </c>
      <c r="U23">
        <f>SEARCH(":",T23)</f>
        <v>6</v>
      </c>
      <c r="V23" t="str">
        <f>MID(T23,U23+1,LEN(T23)-(U23))</f>
        <v xml:space="preserve"> 1724703 ** -320, -778, 4403, 324, 1316, 3170, 4743, 4495</v>
      </c>
      <c r="W23" t="str">
        <f>TRIM(V23)</f>
        <v>1724703 ** -320, -778, 4403, 324, 1316, 3170, 4743, 4495</v>
      </c>
      <c r="X23">
        <f>SEARCH("~*",W23)</f>
        <v>9</v>
      </c>
      <c r="Y23" t="str">
        <f>LEFT(W23,X23-1)</f>
        <v xml:space="preserve">1724703 </v>
      </c>
      <c r="AA23" t="str">
        <f>CONCATENATE(A23,",",D23,",",E23,",",F23,",",G23,",",H23,",",I23,",",J23,",",K23)</f>
        <v>1724703,-320,-778,4403,324,1316,3170,4743,4495</v>
      </c>
    </row>
    <row r="24" spans="1:27">
      <c r="A24" s="1">
        <f>IF(ISBLANK(T24),"",VALUE(Y24))</f>
        <v>1712113</v>
      </c>
      <c r="B24" s="1">
        <f>A24*4/10 -18</f>
        <v>684827.2</v>
      </c>
      <c r="C24" s="3">
        <f>B24/7000000</f>
        <v>9.783245714285714E-2</v>
      </c>
      <c r="D24" s="6">
        <f>VALUE(MID(W24,$X24+2,L24-(X24+2)))</f>
        <v>-320</v>
      </c>
      <c r="E24" s="6">
        <f>VALUE(MID($W24,L24+1,M24-(L24+1)))</f>
        <v>-778</v>
      </c>
      <c r="F24" s="6">
        <f>VALUE(MID($W24,M24+1,N24-(M24+1)))</f>
        <v>4403</v>
      </c>
      <c r="G24" s="6">
        <f>VALUE(MID($W24,N24+1,O24-(N24+1)))</f>
        <v>324</v>
      </c>
      <c r="H24" s="6">
        <f>VALUE(MID($W24,O24+1,P24-(O24+1)))</f>
        <v>1316</v>
      </c>
      <c r="I24" s="6">
        <f>VALUE(MID($W24,P24+1,Q24-(P24+1)))</f>
        <v>3170</v>
      </c>
      <c r="J24" s="6">
        <f>VALUE(MID($W24,Q24+1,R24-(Q24+1)))</f>
        <v>4743</v>
      </c>
      <c r="K24" s="4">
        <f>VALUE(MID(W24,R24+1,LEN(W24)-(R24)))</f>
        <v>4495</v>
      </c>
      <c r="L24" s="4">
        <f>SEARCH(",",W24,X24)</f>
        <v>16</v>
      </c>
      <c r="M24" s="4">
        <f>SEARCH(",",$W24,L24+1)</f>
        <v>22</v>
      </c>
      <c r="N24" s="4">
        <f>SEARCH(",",$W24,M24+1)</f>
        <v>28</v>
      </c>
      <c r="O24" s="4">
        <f>SEARCH(",",$W24,N24+1)</f>
        <v>33</v>
      </c>
      <c r="P24" s="4">
        <f>SEARCH(",",$W24,O24+1)</f>
        <v>39</v>
      </c>
      <c r="Q24" s="4">
        <f>SEARCH(",",$W24,P24+1)</f>
        <v>45</v>
      </c>
      <c r="R24" s="4">
        <f>SEARCH(",",$W24,Q24+1)</f>
        <v>51</v>
      </c>
      <c r="T24" t="s">
        <v>523</v>
      </c>
      <c r="U24">
        <f>SEARCH(":",T24)</f>
        <v>6</v>
      </c>
      <c r="V24" t="str">
        <f>MID(T24,U24+1,LEN(T24)-(U24))</f>
        <v xml:space="preserve"> 1712113 ** -320, -778, 4403, 324, 1316, 3170, 4743, 4495</v>
      </c>
      <c r="W24" t="str">
        <f>TRIM(V24)</f>
        <v>1712113 ** -320, -778, 4403, 324, 1316, 3170, 4743, 4495</v>
      </c>
      <c r="X24">
        <f>SEARCH("~*",W24)</f>
        <v>9</v>
      </c>
      <c r="Y24" t="str">
        <f>LEFT(W24,X24-1)</f>
        <v xml:space="preserve">1712113 </v>
      </c>
      <c r="AA24" t="str">
        <f>CONCATENATE(A24,",",D24,",",E24,",",F24,",",G24,",",H24,",",I24,",",J24,",",K24)</f>
        <v>1712113,-320,-778,4403,324,1316,3170,4743,4495</v>
      </c>
    </row>
    <row r="25" spans="1:27">
      <c r="A25" s="1">
        <f>IF(ISBLANK(T25),"",VALUE(Y25))</f>
        <v>1672262</v>
      </c>
      <c r="B25" s="1">
        <f>A25*4/10 -18</f>
        <v>668886.80000000005</v>
      </c>
      <c r="C25" s="3">
        <f>B25/7000000</f>
        <v>9.5555257142857147E-2</v>
      </c>
      <c r="D25" s="6">
        <f>VALUE(MID(W25,$X25+2,L25-(X25+2)))</f>
        <v>-320</v>
      </c>
      <c r="E25" s="6">
        <f>VALUE(MID($W25,L25+1,M25-(L25+1)))</f>
        <v>-778</v>
      </c>
      <c r="F25" s="6">
        <f>VALUE(MID($W25,M25+1,N25-(M25+1)))</f>
        <v>4403</v>
      </c>
      <c r="G25" s="6">
        <f>VALUE(MID($W25,N25+1,O25-(N25+1)))</f>
        <v>324</v>
      </c>
      <c r="H25" s="6">
        <f>VALUE(MID($W25,O25+1,P25-(O25+1)))</f>
        <v>1316</v>
      </c>
      <c r="I25" s="6">
        <f>VALUE(MID($W25,P25+1,Q25-(P25+1)))</f>
        <v>3170</v>
      </c>
      <c r="J25" s="6">
        <f>VALUE(MID($W25,Q25+1,R25-(Q25+1)))</f>
        <v>4743</v>
      </c>
      <c r="K25" s="4">
        <f>VALUE(MID(W25,R25+1,LEN(W25)-(R25)))</f>
        <v>4495</v>
      </c>
      <c r="L25" s="4">
        <f>SEARCH(",",W25,X25)</f>
        <v>16</v>
      </c>
      <c r="M25" s="4">
        <f>SEARCH(",",$W25,L25+1)</f>
        <v>22</v>
      </c>
      <c r="N25" s="4">
        <f>SEARCH(",",$W25,M25+1)</f>
        <v>28</v>
      </c>
      <c r="O25" s="4">
        <f>SEARCH(",",$W25,N25+1)</f>
        <v>33</v>
      </c>
      <c r="P25" s="4">
        <f>SEARCH(",",$W25,O25+1)</f>
        <v>39</v>
      </c>
      <c r="Q25" s="4">
        <f>SEARCH(",",$W25,P25+1)</f>
        <v>45</v>
      </c>
      <c r="R25" s="4">
        <f>SEARCH(",",$W25,Q25+1)</f>
        <v>51</v>
      </c>
      <c r="T25" t="s">
        <v>455</v>
      </c>
      <c r="U25">
        <f>SEARCH(":",T25)</f>
        <v>6</v>
      </c>
      <c r="V25" t="str">
        <f>MID(T25,U25+1,LEN(T25)-(U25))</f>
        <v xml:space="preserve"> 1672262 ** -320, -778, 4403, 324, 1316, 3170, 4743, 4495</v>
      </c>
      <c r="W25" t="str">
        <f>TRIM(V25)</f>
        <v>1672262 ** -320, -778, 4403, 324, 1316, 3170, 4743, 4495</v>
      </c>
      <c r="X25">
        <f>SEARCH("~*",W25)</f>
        <v>9</v>
      </c>
      <c r="Y25" t="str">
        <f>LEFT(W25,X25-1)</f>
        <v xml:space="preserve">1672262 </v>
      </c>
      <c r="AA25" t="str">
        <f>CONCATENATE(A25,",",D25,",",E25,",",F25,",",G25,",",H25,",",I25,",",J25,",",K25)</f>
        <v>1672262,-320,-778,4403,324,1316,3170,4743,4495</v>
      </c>
    </row>
    <row r="26" spans="1:27">
      <c r="A26" s="1">
        <f>IF(ISBLANK(T26),"",VALUE(Y26))</f>
        <v>1664408</v>
      </c>
      <c r="B26" s="1">
        <f>A26*4/10 -18</f>
        <v>665745.19999999995</v>
      </c>
      <c r="C26" s="3">
        <f>B26/7000000</f>
        <v>9.5106457142857134E-2</v>
      </c>
      <c r="D26" s="6">
        <f>VALUE(MID(W26,$X26+2,L26-(X26+2)))</f>
        <v>-320</v>
      </c>
      <c r="E26" s="6">
        <f>VALUE(MID($W26,L26+1,M26-(L26+1)))</f>
        <v>-778</v>
      </c>
      <c r="F26" s="6">
        <f>VALUE(MID($W26,M26+1,N26-(M26+1)))</f>
        <v>4403</v>
      </c>
      <c r="G26" s="6">
        <f>VALUE(MID($W26,N26+1,O26-(N26+1)))</f>
        <v>324</v>
      </c>
      <c r="H26" s="6">
        <f>VALUE(MID($W26,O26+1,P26-(O26+1)))</f>
        <v>1316</v>
      </c>
      <c r="I26" s="6">
        <f>VALUE(MID($W26,P26+1,Q26-(P26+1)))</f>
        <v>3170</v>
      </c>
      <c r="J26" s="6">
        <f>VALUE(MID($W26,Q26+1,R26-(Q26+1)))</f>
        <v>4743</v>
      </c>
      <c r="K26" s="4">
        <f>VALUE(MID(W26,R26+1,LEN(W26)-(R26)))</f>
        <v>4495</v>
      </c>
      <c r="L26" s="4">
        <f>SEARCH(",",W26,X26)</f>
        <v>16</v>
      </c>
      <c r="M26" s="4">
        <f>SEARCH(",",$W26,L26+1)</f>
        <v>22</v>
      </c>
      <c r="N26" s="4">
        <f>SEARCH(",",$W26,M26+1)</f>
        <v>28</v>
      </c>
      <c r="O26" s="4">
        <f>SEARCH(",",$W26,N26+1)</f>
        <v>33</v>
      </c>
      <c r="P26" s="4">
        <f>SEARCH(",",$W26,O26+1)</f>
        <v>39</v>
      </c>
      <c r="Q26" s="4">
        <f>SEARCH(",",$W26,P26+1)</f>
        <v>45</v>
      </c>
      <c r="R26" s="4">
        <f>SEARCH(",",$W26,Q26+1)</f>
        <v>51</v>
      </c>
      <c r="T26" t="s">
        <v>355</v>
      </c>
      <c r="U26">
        <f>SEARCH(":",T26)</f>
        <v>6</v>
      </c>
      <c r="V26" t="str">
        <f>MID(T26,U26+1,LEN(T26)-(U26))</f>
        <v xml:space="preserve"> 1664408 ** -320, -778, 4403, 324, 1316, 3170, 4743, 4495</v>
      </c>
      <c r="W26" t="str">
        <f>TRIM(V26)</f>
        <v>1664408 ** -320, -778, 4403, 324, 1316, 3170, 4743, 4495</v>
      </c>
      <c r="X26">
        <f>SEARCH("~*",W26)</f>
        <v>9</v>
      </c>
      <c r="Y26" t="str">
        <f>LEFT(W26,X26-1)</f>
        <v xml:space="preserve">1664408 </v>
      </c>
      <c r="AA26" t="str">
        <f>CONCATENATE(A26,",",D26,",",E26,",",F26,",",G26,",",H26,",",I26,",",J26,",",K26)</f>
        <v>1664408,-320,-778,4403,324,1316,3170,4743,4495</v>
      </c>
    </row>
    <row r="27" spans="1:27">
      <c r="A27" s="1">
        <f>IF(ISBLANK(T27),"",VALUE(Y27))</f>
        <v>1656522</v>
      </c>
      <c r="B27" s="1">
        <f>A27*4/10 -18</f>
        <v>662590.80000000005</v>
      </c>
      <c r="C27" s="3">
        <f>B27/7000000</f>
        <v>9.4655828571428582E-2</v>
      </c>
      <c r="D27" s="6">
        <f>VALUE(MID(W27,$X27+2,L27-(X27+2)))</f>
        <v>-320</v>
      </c>
      <c r="E27" s="6">
        <f>VALUE(MID($W27,L27+1,M27-(L27+1)))</f>
        <v>-778</v>
      </c>
      <c r="F27" s="6">
        <f>VALUE(MID($W27,M27+1,N27-(M27+1)))</f>
        <v>4403</v>
      </c>
      <c r="G27" s="6">
        <f>VALUE(MID($W27,N27+1,O27-(N27+1)))</f>
        <v>324</v>
      </c>
      <c r="H27" s="6">
        <f>VALUE(MID($W27,O27+1,P27-(O27+1)))</f>
        <v>1316</v>
      </c>
      <c r="I27" s="6">
        <f>VALUE(MID($W27,P27+1,Q27-(P27+1)))</f>
        <v>3170</v>
      </c>
      <c r="J27" s="6">
        <f>VALUE(MID($W27,Q27+1,R27-(Q27+1)))</f>
        <v>4743</v>
      </c>
      <c r="K27" s="4">
        <f>VALUE(MID(W27,R27+1,LEN(W27)-(R27)))</f>
        <v>4495</v>
      </c>
      <c r="L27" s="4">
        <f>SEARCH(",",W27,X27)</f>
        <v>16</v>
      </c>
      <c r="M27" s="4">
        <f>SEARCH(",",$W27,L27+1)</f>
        <v>22</v>
      </c>
      <c r="N27" s="4">
        <f>SEARCH(",",$W27,M27+1)</f>
        <v>28</v>
      </c>
      <c r="O27" s="4">
        <f>SEARCH(",",$W27,N27+1)</f>
        <v>33</v>
      </c>
      <c r="P27" s="4">
        <f>SEARCH(",",$W27,O27+1)</f>
        <v>39</v>
      </c>
      <c r="Q27" s="4">
        <f>SEARCH(",",$W27,P27+1)</f>
        <v>45</v>
      </c>
      <c r="R27" s="4">
        <f>SEARCH(",",$W27,Q27+1)</f>
        <v>51</v>
      </c>
      <c r="T27" t="s">
        <v>356</v>
      </c>
      <c r="U27">
        <f>SEARCH(":",T27)</f>
        <v>6</v>
      </c>
      <c r="V27" t="str">
        <f>MID(T27,U27+1,LEN(T27)-(U27))</f>
        <v xml:space="preserve"> 1656522 ** -320, -778, 4403, 324, 1316, 3170, 4743, 4495</v>
      </c>
      <c r="W27" t="str">
        <f>TRIM(V27)</f>
        <v>1656522 ** -320, -778, 4403, 324, 1316, 3170, 4743, 4495</v>
      </c>
      <c r="X27">
        <f>SEARCH("~*",W27)</f>
        <v>9</v>
      </c>
      <c r="Y27" t="str">
        <f>LEFT(W27,X27-1)</f>
        <v xml:space="preserve">1656522 </v>
      </c>
      <c r="AA27" t="str">
        <f>CONCATENATE(A27,",",D27,",",E27,",",F27,",",G27,",",H27,",",I27,",",J27,",",K27)</f>
        <v>1656522,-320,-778,4403,324,1316,3170,4743,4495</v>
      </c>
    </row>
    <row r="28" spans="1:27">
      <c r="A28" s="1">
        <f>IF(ISBLANK(T28),"",VALUE(Y28))</f>
        <v>1612830</v>
      </c>
      <c r="B28" s="1">
        <f>A28*4/10 -18</f>
        <v>645114</v>
      </c>
      <c r="C28" s="3">
        <f>B28/7000000</f>
        <v>9.2159142857142856E-2</v>
      </c>
      <c r="D28" s="6">
        <f>VALUE(MID(W28,$X28+2,L28-(X28+2)))</f>
        <v>-320</v>
      </c>
      <c r="E28" s="6">
        <f>VALUE(MID($W28,L28+1,M28-(L28+1)))</f>
        <v>-778</v>
      </c>
      <c r="F28" s="6">
        <f>VALUE(MID($W28,M28+1,N28-(M28+1)))</f>
        <v>4403</v>
      </c>
      <c r="G28" s="6">
        <f>VALUE(MID($W28,N28+1,O28-(N28+1)))</f>
        <v>324</v>
      </c>
      <c r="H28" s="6">
        <f>VALUE(MID($W28,O28+1,P28-(O28+1)))</f>
        <v>1316</v>
      </c>
      <c r="I28" s="6">
        <f>VALUE(MID($W28,P28+1,Q28-(P28+1)))</f>
        <v>3170</v>
      </c>
      <c r="J28" s="6">
        <f>VALUE(MID($W28,Q28+1,R28-(Q28+1)))</f>
        <v>4743</v>
      </c>
      <c r="K28" s="4">
        <f>VALUE(MID(W28,R28+1,LEN(W28)-(R28)))</f>
        <v>4495</v>
      </c>
      <c r="L28" s="4">
        <f>SEARCH(",",W28,X28)</f>
        <v>16</v>
      </c>
      <c r="M28" s="4">
        <f>SEARCH(",",$W28,L28+1)</f>
        <v>22</v>
      </c>
      <c r="N28" s="4">
        <f>SEARCH(",",$W28,M28+1)</f>
        <v>28</v>
      </c>
      <c r="O28" s="4">
        <f>SEARCH(",",$W28,N28+1)</f>
        <v>33</v>
      </c>
      <c r="P28" s="4">
        <f>SEARCH(",",$W28,O28+1)</f>
        <v>39</v>
      </c>
      <c r="Q28" s="4">
        <f>SEARCH(",",$W28,P28+1)</f>
        <v>45</v>
      </c>
      <c r="R28" s="4">
        <f>SEARCH(",",$W28,Q28+1)</f>
        <v>51</v>
      </c>
      <c r="T28" t="s">
        <v>482</v>
      </c>
      <c r="U28">
        <f>SEARCH(":",T28)</f>
        <v>6</v>
      </c>
      <c r="V28" t="str">
        <f>MID(T28,U28+1,LEN(T28)-(U28))</f>
        <v xml:space="preserve"> 1612830 ** -320, -778, 4403, 324, 1316, 3170, 4743, 4495</v>
      </c>
      <c r="W28" t="str">
        <f>TRIM(V28)</f>
        <v>1612830 ** -320, -778, 4403, 324, 1316, 3170, 4743, 4495</v>
      </c>
      <c r="X28">
        <f>SEARCH("~*",W28)</f>
        <v>9</v>
      </c>
      <c r="Y28" t="str">
        <f>LEFT(W28,X28-1)</f>
        <v xml:space="preserve">1612830 </v>
      </c>
      <c r="AA28" t="str">
        <f>CONCATENATE(A28,",",D28,",",E28,",",F28,",",G28,",",H28,",",I28,",",J28,",",K28)</f>
        <v>1612830,-320,-778,4403,324,1316,3170,4743,4495</v>
      </c>
    </row>
    <row r="29" spans="1:27">
      <c r="A29" s="1">
        <f>IF(ISBLANK(T29),"",VALUE(Y29))</f>
        <v>1546190</v>
      </c>
      <c r="B29" s="1">
        <f>A29*4/10 -18</f>
        <v>618458</v>
      </c>
      <c r="C29" s="3">
        <f>B29/7000000</f>
        <v>8.835114285714285E-2</v>
      </c>
      <c r="D29" s="6">
        <f>VALUE(MID(W29,$X29+2,L29-(X29+2)))</f>
        <v>-320</v>
      </c>
      <c r="E29" s="6">
        <f>VALUE(MID($W29,L29+1,M29-(L29+1)))</f>
        <v>-778</v>
      </c>
      <c r="F29" s="6">
        <f>VALUE(MID($W29,M29+1,N29-(M29+1)))</f>
        <v>4403</v>
      </c>
      <c r="G29" s="6">
        <f>VALUE(MID($W29,N29+1,O29-(N29+1)))</f>
        <v>324</v>
      </c>
      <c r="H29" s="6">
        <f>VALUE(MID($W29,O29+1,P29-(O29+1)))</f>
        <v>1316</v>
      </c>
      <c r="I29" s="6">
        <f>VALUE(MID($W29,P29+1,Q29-(P29+1)))</f>
        <v>3170</v>
      </c>
      <c r="J29" s="6">
        <f>VALUE(MID($W29,Q29+1,R29-(Q29+1)))</f>
        <v>4743</v>
      </c>
      <c r="K29" s="4">
        <f>VALUE(MID(W29,R29+1,LEN(W29)-(R29)))</f>
        <v>4495</v>
      </c>
      <c r="L29" s="4">
        <f>SEARCH(",",W29,X29)</f>
        <v>16</v>
      </c>
      <c r="M29" s="4">
        <f>SEARCH(",",$W29,L29+1)</f>
        <v>22</v>
      </c>
      <c r="N29" s="4">
        <f>SEARCH(",",$W29,M29+1)</f>
        <v>28</v>
      </c>
      <c r="O29" s="4">
        <f>SEARCH(",",$W29,N29+1)</f>
        <v>33</v>
      </c>
      <c r="P29" s="4">
        <f>SEARCH(",",$W29,O29+1)</f>
        <v>39</v>
      </c>
      <c r="Q29" s="4">
        <f>SEARCH(",",$W29,P29+1)</f>
        <v>45</v>
      </c>
      <c r="R29" s="4">
        <f>SEARCH(",",$W29,Q29+1)</f>
        <v>51</v>
      </c>
      <c r="T29" t="s">
        <v>315</v>
      </c>
      <c r="U29">
        <f>SEARCH(":",T29)</f>
        <v>6</v>
      </c>
      <c r="V29" t="str">
        <f>MID(T29,U29+1,LEN(T29)-(U29))</f>
        <v xml:space="preserve"> 1546190 ** -320, -778, 4403, 324, 1316, 3170, 4743, 4495</v>
      </c>
      <c r="W29" t="str">
        <f>TRIM(V29)</f>
        <v>1546190 ** -320, -778, 4403, 324, 1316, 3170, 4743, 4495</v>
      </c>
      <c r="X29">
        <f>SEARCH("~*",W29)</f>
        <v>9</v>
      </c>
      <c r="Y29" t="str">
        <f>LEFT(W29,X29-1)</f>
        <v xml:space="preserve">1546190 </v>
      </c>
      <c r="AA29" t="str">
        <f>CONCATENATE(A29,",",D29,",",E29,",",F29,",",G29,",",H29,",",I29,",",J29,",",K29)</f>
        <v>1546190,-320,-778,4403,324,1316,3170,4743,4495</v>
      </c>
    </row>
    <row r="30" spans="1:27">
      <c r="A30" s="1">
        <f>IF(ISBLANK(T30),"",VALUE(Y30))</f>
        <v>1543205</v>
      </c>
      <c r="B30" s="1">
        <f>A30*4/10 -18</f>
        <v>617264</v>
      </c>
      <c r="C30" s="3">
        <f>B30/7000000</f>
        <v>8.8180571428571428E-2</v>
      </c>
      <c r="D30" s="6">
        <f>VALUE(MID(W30,$X30+2,L30-(X30+2)))</f>
        <v>-320</v>
      </c>
      <c r="E30" s="6">
        <f>VALUE(MID($W30,L30+1,M30-(L30+1)))</f>
        <v>-778</v>
      </c>
      <c r="F30" s="6">
        <f>VALUE(MID($W30,M30+1,N30-(M30+1)))</f>
        <v>4403</v>
      </c>
      <c r="G30" s="6">
        <f>VALUE(MID($W30,N30+1,O30-(N30+1)))</f>
        <v>324</v>
      </c>
      <c r="H30" s="6">
        <f>VALUE(MID($W30,O30+1,P30-(O30+1)))</f>
        <v>1316</v>
      </c>
      <c r="I30" s="6">
        <f>VALUE(MID($W30,P30+1,Q30-(P30+1)))</f>
        <v>3170</v>
      </c>
      <c r="J30" s="6">
        <f>VALUE(MID($W30,Q30+1,R30-(Q30+1)))</f>
        <v>4743</v>
      </c>
      <c r="K30" s="4">
        <f>VALUE(MID(W30,R30+1,LEN(W30)-(R30)))</f>
        <v>4495</v>
      </c>
      <c r="L30" s="4">
        <f>SEARCH(",",W30,X30)</f>
        <v>16</v>
      </c>
      <c r="M30" s="4">
        <f>SEARCH(",",$W30,L30+1)</f>
        <v>22</v>
      </c>
      <c r="N30" s="4">
        <f>SEARCH(",",$W30,M30+1)</f>
        <v>28</v>
      </c>
      <c r="O30" s="4">
        <f>SEARCH(",",$W30,N30+1)</f>
        <v>33</v>
      </c>
      <c r="P30" s="4">
        <f>SEARCH(",",$W30,O30+1)</f>
        <v>39</v>
      </c>
      <c r="Q30" s="4">
        <f>SEARCH(",",$W30,P30+1)</f>
        <v>45</v>
      </c>
      <c r="R30" s="4">
        <f>SEARCH(",",$W30,Q30+1)</f>
        <v>51</v>
      </c>
      <c r="T30" t="s">
        <v>417</v>
      </c>
      <c r="U30">
        <f>SEARCH(":",T30)</f>
        <v>6</v>
      </c>
      <c r="V30" t="str">
        <f>MID(T30,U30+1,LEN(T30)-(U30))</f>
        <v xml:space="preserve"> 1543205 ** -320, -778, 4403, 324, 1316, 3170, 4743, 4495</v>
      </c>
      <c r="W30" t="str">
        <f>TRIM(V30)</f>
        <v>1543205 ** -320, -778, 4403, 324, 1316, 3170, 4743, 4495</v>
      </c>
      <c r="X30">
        <f>SEARCH("~*",W30)</f>
        <v>9</v>
      </c>
      <c r="Y30" t="str">
        <f>LEFT(W30,X30-1)</f>
        <v xml:space="preserve">1543205 </v>
      </c>
      <c r="AA30" t="str">
        <f>CONCATENATE(A30,",",D30,",",E30,",",F30,",",G30,",",H30,",",I30,",",J30,",",K30)</f>
        <v>1543205,-320,-778,4403,324,1316,3170,4743,4495</v>
      </c>
    </row>
    <row r="31" spans="1:27">
      <c r="A31" s="1">
        <f>IF(ISBLANK(T31),"",VALUE(Y31))</f>
        <v>1503914</v>
      </c>
      <c r="B31" s="1">
        <f>A31*4/10 -18</f>
        <v>601547.6</v>
      </c>
      <c r="C31" s="3">
        <f>B31/7000000</f>
        <v>8.5935371428571425E-2</v>
      </c>
      <c r="D31" s="6">
        <f>VALUE(MID(W31,$X31+2,L31-(X31+2)))</f>
        <v>-320</v>
      </c>
      <c r="E31" s="6">
        <f>VALUE(MID($W31,L31+1,M31-(L31+1)))</f>
        <v>-778</v>
      </c>
      <c r="F31" s="6">
        <f>VALUE(MID($W31,M31+1,N31-(M31+1)))</f>
        <v>4403</v>
      </c>
      <c r="G31" s="6">
        <f>VALUE(MID($W31,N31+1,O31-(N31+1)))</f>
        <v>324</v>
      </c>
      <c r="H31" s="6">
        <f>VALUE(MID($W31,O31+1,P31-(O31+1)))</f>
        <v>1316</v>
      </c>
      <c r="I31" s="6">
        <f>VALUE(MID($W31,P31+1,Q31-(P31+1)))</f>
        <v>3170</v>
      </c>
      <c r="J31" s="6">
        <f>VALUE(MID($W31,Q31+1,R31-(Q31+1)))</f>
        <v>4743</v>
      </c>
      <c r="K31" s="4">
        <f>VALUE(MID(W31,R31+1,LEN(W31)-(R31)))</f>
        <v>4495</v>
      </c>
      <c r="L31" s="4">
        <f>SEARCH(",",W31,X31)</f>
        <v>16</v>
      </c>
      <c r="M31" s="4">
        <f>SEARCH(",",$W31,L31+1)</f>
        <v>22</v>
      </c>
      <c r="N31" s="4">
        <f>SEARCH(",",$W31,M31+1)</f>
        <v>28</v>
      </c>
      <c r="O31" s="4">
        <f>SEARCH(",",$W31,N31+1)</f>
        <v>33</v>
      </c>
      <c r="P31" s="4">
        <f>SEARCH(",",$W31,O31+1)</f>
        <v>39</v>
      </c>
      <c r="Q31" s="4">
        <f>SEARCH(",",$W31,P31+1)</f>
        <v>45</v>
      </c>
      <c r="R31" s="4">
        <f>SEARCH(",",$W31,Q31+1)</f>
        <v>51</v>
      </c>
      <c r="T31" t="s">
        <v>310</v>
      </c>
      <c r="U31">
        <f>SEARCH(":",T31)</f>
        <v>6</v>
      </c>
      <c r="V31" t="str">
        <f>MID(T31,U31+1,LEN(T31)-(U31))</f>
        <v xml:space="preserve"> 1503914 ** -320, -778, 4403, 324, 1316, 3170, 4743, 4495</v>
      </c>
      <c r="W31" t="str">
        <f>TRIM(V31)</f>
        <v>1503914 ** -320, -778, 4403, 324, 1316, 3170, 4743, 4495</v>
      </c>
      <c r="X31">
        <f>SEARCH("~*",W31)</f>
        <v>9</v>
      </c>
      <c r="Y31" t="str">
        <f>LEFT(W31,X31-1)</f>
        <v xml:space="preserve">1503914 </v>
      </c>
      <c r="AA31" t="str">
        <f>CONCATENATE(A31,",",D31,",",E31,",",F31,",",G31,",",H31,",",I31,",",J31,",",K31)</f>
        <v>1503914,-320,-778,4403,324,1316,3170,4743,4495</v>
      </c>
    </row>
    <row r="32" spans="1:27">
      <c r="A32" s="1">
        <f>IF(ISBLANK(T32),"",VALUE(Y32))</f>
        <v>1484312</v>
      </c>
      <c r="B32" s="1">
        <f>A32*4/10 -18</f>
        <v>593706.80000000005</v>
      </c>
      <c r="C32" s="3">
        <f>B32/7000000</f>
        <v>8.4815257142857148E-2</v>
      </c>
      <c r="D32" s="6">
        <f>VALUE(MID(W32,$X32+2,L32-(X32+2)))</f>
        <v>-320</v>
      </c>
      <c r="E32" s="6">
        <f>VALUE(MID($W32,L32+1,M32-(L32+1)))</f>
        <v>-778</v>
      </c>
      <c r="F32" s="6">
        <f>VALUE(MID($W32,M32+1,N32-(M32+1)))</f>
        <v>4403</v>
      </c>
      <c r="G32" s="6">
        <f>VALUE(MID($W32,N32+1,O32-(N32+1)))</f>
        <v>324</v>
      </c>
      <c r="H32" s="6">
        <f>VALUE(MID($W32,O32+1,P32-(O32+1)))</f>
        <v>1316</v>
      </c>
      <c r="I32" s="6">
        <f>VALUE(MID($W32,P32+1,Q32-(P32+1)))</f>
        <v>3170</v>
      </c>
      <c r="J32" s="6">
        <f>VALUE(MID($W32,Q32+1,R32-(Q32+1)))</f>
        <v>4743</v>
      </c>
      <c r="K32" s="4">
        <f>VALUE(MID(W32,R32+1,LEN(W32)-(R32)))</f>
        <v>4495</v>
      </c>
      <c r="L32" s="4">
        <f>SEARCH(",",W32,X32)</f>
        <v>16</v>
      </c>
      <c r="M32" s="4">
        <f>SEARCH(",",$W32,L32+1)</f>
        <v>22</v>
      </c>
      <c r="N32" s="4">
        <f>SEARCH(",",$W32,M32+1)</f>
        <v>28</v>
      </c>
      <c r="O32" s="4">
        <f>SEARCH(",",$W32,N32+1)</f>
        <v>33</v>
      </c>
      <c r="P32" s="4">
        <f>SEARCH(",",$W32,O32+1)</f>
        <v>39</v>
      </c>
      <c r="Q32" s="4">
        <f>SEARCH(",",$W32,P32+1)</f>
        <v>45</v>
      </c>
      <c r="R32" s="4">
        <f>SEARCH(",",$W32,Q32+1)</f>
        <v>51</v>
      </c>
      <c r="T32" t="s">
        <v>344</v>
      </c>
      <c r="U32">
        <f>SEARCH(":",T32)</f>
        <v>6</v>
      </c>
      <c r="V32" t="str">
        <f>MID(T32,U32+1,LEN(T32)-(U32))</f>
        <v xml:space="preserve"> 1484312 ** -320, -778, 4403, 324, 1316, 3170, 4743, 4495</v>
      </c>
      <c r="W32" t="str">
        <f>TRIM(V32)</f>
        <v>1484312 ** -320, -778, 4403, 324, 1316, 3170, 4743, 4495</v>
      </c>
      <c r="X32">
        <f>SEARCH("~*",W32)</f>
        <v>9</v>
      </c>
      <c r="Y32" t="str">
        <f>LEFT(W32,X32-1)</f>
        <v xml:space="preserve">1484312 </v>
      </c>
      <c r="AA32" t="str">
        <f>CONCATENATE(A32,",",D32,",",E32,",",F32,",",G32,",",H32,",",I32,",",J32,",",K32)</f>
        <v>1484312,-320,-778,4403,324,1316,3170,4743,4495</v>
      </c>
    </row>
    <row r="33" spans="1:27">
      <c r="A33" s="1">
        <f>IF(ISBLANK(T33),"",VALUE(Y33))</f>
        <v>1471425</v>
      </c>
      <c r="B33" s="1">
        <f>A33*4/10 -18</f>
        <v>588552</v>
      </c>
      <c r="C33" s="3">
        <f>B33/7000000</f>
        <v>8.407885714285715E-2</v>
      </c>
      <c r="D33" s="6">
        <f>VALUE(MID(W33,$X33+2,L33-(X33+2)))</f>
        <v>-320</v>
      </c>
      <c r="E33" s="6">
        <f>VALUE(MID($W33,L33+1,M33-(L33+1)))</f>
        <v>-778</v>
      </c>
      <c r="F33" s="6">
        <f>VALUE(MID($W33,M33+1,N33-(M33+1)))</f>
        <v>4403</v>
      </c>
      <c r="G33" s="6">
        <f>VALUE(MID($W33,N33+1,O33-(N33+1)))</f>
        <v>324</v>
      </c>
      <c r="H33" s="6">
        <f>VALUE(MID($W33,O33+1,P33-(O33+1)))</f>
        <v>1316</v>
      </c>
      <c r="I33" s="6">
        <f>VALUE(MID($W33,P33+1,Q33-(P33+1)))</f>
        <v>3170</v>
      </c>
      <c r="J33" s="6">
        <f>VALUE(MID($W33,Q33+1,R33-(Q33+1)))</f>
        <v>4743</v>
      </c>
      <c r="K33" s="4">
        <f>VALUE(MID(W33,R33+1,LEN(W33)-(R33)))</f>
        <v>4495</v>
      </c>
      <c r="L33" s="4">
        <f>SEARCH(",",W33,X33)</f>
        <v>16</v>
      </c>
      <c r="M33" s="4">
        <f>SEARCH(",",$W33,L33+1)</f>
        <v>22</v>
      </c>
      <c r="N33" s="4">
        <f>SEARCH(",",$W33,M33+1)</f>
        <v>28</v>
      </c>
      <c r="O33" s="4">
        <f>SEARCH(",",$W33,N33+1)</f>
        <v>33</v>
      </c>
      <c r="P33" s="4">
        <f>SEARCH(",",$W33,O33+1)</f>
        <v>39</v>
      </c>
      <c r="Q33" s="4">
        <f>SEARCH(",",$W33,P33+1)</f>
        <v>45</v>
      </c>
      <c r="R33" s="4">
        <f>SEARCH(",",$W33,Q33+1)</f>
        <v>51</v>
      </c>
      <c r="T33" t="s">
        <v>407</v>
      </c>
      <c r="U33">
        <f>SEARCH(":",T33)</f>
        <v>6</v>
      </c>
      <c r="V33" t="str">
        <f>MID(T33,U33+1,LEN(T33)-(U33))</f>
        <v xml:space="preserve"> 1471425 ** -320, -778, 4403, 324, 1316, 3170, 4743, 4495</v>
      </c>
      <c r="W33" t="str">
        <f>TRIM(V33)</f>
        <v>1471425 ** -320, -778, 4403, 324, 1316, 3170, 4743, 4495</v>
      </c>
      <c r="X33">
        <f>SEARCH("~*",W33)</f>
        <v>9</v>
      </c>
      <c r="Y33" t="str">
        <f>LEFT(W33,X33-1)</f>
        <v xml:space="preserve">1471425 </v>
      </c>
      <c r="AA33" t="str">
        <f>CONCATENATE(A33,",",D33,",",E33,",",F33,",",G33,",",H33,",",I33,",",J33,",",K33)</f>
        <v>1471425,-320,-778,4403,324,1316,3170,4743,4495</v>
      </c>
    </row>
    <row r="34" spans="1:27">
      <c r="A34" s="1">
        <f>IF(ISBLANK(T34),"",VALUE(Y34))</f>
        <v>1463404</v>
      </c>
      <c r="B34" s="1">
        <f>A34*4/10 -18</f>
        <v>585343.6</v>
      </c>
      <c r="C34" s="3">
        <f>B34/7000000</f>
        <v>8.3620514285714279E-2</v>
      </c>
      <c r="D34" s="6">
        <f>VALUE(MID(W34,$X34+2,L34-(X34+2)))</f>
        <v>-320</v>
      </c>
      <c r="E34" s="6">
        <f>VALUE(MID($W34,L34+1,M34-(L34+1)))</f>
        <v>-778</v>
      </c>
      <c r="F34" s="6">
        <f>VALUE(MID($W34,M34+1,N34-(M34+1)))</f>
        <v>4403</v>
      </c>
      <c r="G34" s="6">
        <f>VALUE(MID($W34,N34+1,O34-(N34+1)))</f>
        <v>324</v>
      </c>
      <c r="H34" s="6">
        <f>VALUE(MID($W34,O34+1,P34-(O34+1)))</f>
        <v>1316</v>
      </c>
      <c r="I34" s="6">
        <f>VALUE(MID($W34,P34+1,Q34-(P34+1)))</f>
        <v>3170</v>
      </c>
      <c r="J34" s="6">
        <f>VALUE(MID($W34,Q34+1,R34-(Q34+1)))</f>
        <v>4743</v>
      </c>
      <c r="K34" s="4">
        <f>VALUE(MID(W34,R34+1,LEN(W34)-(R34)))</f>
        <v>4495</v>
      </c>
      <c r="L34" s="4">
        <f>SEARCH(",",W34,X34)</f>
        <v>16</v>
      </c>
      <c r="M34" s="4">
        <f>SEARCH(",",$W34,L34+1)</f>
        <v>22</v>
      </c>
      <c r="N34" s="4">
        <f>SEARCH(",",$W34,M34+1)</f>
        <v>28</v>
      </c>
      <c r="O34" s="4">
        <f>SEARCH(",",$W34,N34+1)</f>
        <v>33</v>
      </c>
      <c r="P34" s="4">
        <f>SEARCH(",",$W34,O34+1)</f>
        <v>39</v>
      </c>
      <c r="Q34" s="4">
        <f>SEARCH(",",$W34,P34+1)</f>
        <v>45</v>
      </c>
      <c r="R34" s="4">
        <f>SEARCH(",",$W34,Q34+1)</f>
        <v>51</v>
      </c>
      <c r="T34" t="s">
        <v>383</v>
      </c>
      <c r="U34">
        <f>SEARCH(":",T34)</f>
        <v>6</v>
      </c>
      <c r="V34" t="str">
        <f>MID(T34,U34+1,LEN(T34)-(U34))</f>
        <v xml:space="preserve"> 1463404 ** -320, -778, 4403, 324, 1316, 3170, 4743, 4495</v>
      </c>
      <c r="W34" t="str">
        <f>TRIM(V34)</f>
        <v>1463404 ** -320, -778, 4403, 324, 1316, 3170, 4743, 4495</v>
      </c>
      <c r="X34">
        <f>SEARCH("~*",W34)</f>
        <v>9</v>
      </c>
      <c r="Y34" t="str">
        <f>LEFT(W34,X34-1)</f>
        <v xml:space="preserve">1463404 </v>
      </c>
      <c r="AA34" t="str">
        <f>CONCATENATE(A34,",",D34,",",E34,",",F34,",",G34,",",H34,",",I34,",",J34,",",K34)</f>
        <v>1463404,-320,-778,4403,324,1316,3170,4743,4495</v>
      </c>
    </row>
    <row r="35" spans="1:27">
      <c r="A35" s="1">
        <f>IF(ISBLANK(T35),"",VALUE(Y35))</f>
        <v>1450826</v>
      </c>
      <c r="B35" s="1">
        <f>A35*4/10 -18</f>
        <v>580312.4</v>
      </c>
      <c r="C35" s="3">
        <f>B35/7000000</f>
        <v>8.2901771428571427E-2</v>
      </c>
      <c r="D35" s="6">
        <f>VALUE(MID(W35,$X35+2,L35-(X35+2)))</f>
        <v>-320</v>
      </c>
      <c r="E35" s="6">
        <f>VALUE(MID($W35,L35+1,M35-(L35+1)))</f>
        <v>-778</v>
      </c>
      <c r="F35" s="6">
        <f>VALUE(MID($W35,M35+1,N35-(M35+1)))</f>
        <v>4403</v>
      </c>
      <c r="G35" s="6">
        <f>VALUE(MID($W35,N35+1,O35-(N35+1)))</f>
        <v>324</v>
      </c>
      <c r="H35" s="6">
        <f>VALUE(MID($W35,O35+1,P35-(O35+1)))</f>
        <v>1316</v>
      </c>
      <c r="I35" s="6">
        <f>VALUE(MID($W35,P35+1,Q35-(P35+1)))</f>
        <v>3170</v>
      </c>
      <c r="J35" s="6">
        <f>VALUE(MID($W35,Q35+1,R35-(Q35+1)))</f>
        <v>4743</v>
      </c>
      <c r="K35" s="4">
        <f>VALUE(MID(W35,R35+1,LEN(W35)-(R35)))</f>
        <v>4495</v>
      </c>
      <c r="L35" s="4">
        <f>SEARCH(",",W35,X35)</f>
        <v>16</v>
      </c>
      <c r="M35" s="4">
        <f>SEARCH(",",$W35,L35+1)</f>
        <v>22</v>
      </c>
      <c r="N35" s="4">
        <f>SEARCH(",",$W35,M35+1)</f>
        <v>28</v>
      </c>
      <c r="O35" s="4">
        <f>SEARCH(",",$W35,N35+1)</f>
        <v>33</v>
      </c>
      <c r="P35" s="4">
        <f>SEARCH(",",$W35,O35+1)</f>
        <v>39</v>
      </c>
      <c r="Q35" s="4">
        <f>SEARCH(",",$W35,P35+1)</f>
        <v>45</v>
      </c>
      <c r="R35" s="4">
        <f>SEARCH(",",$W35,Q35+1)</f>
        <v>51</v>
      </c>
      <c r="T35" t="s">
        <v>464</v>
      </c>
      <c r="U35">
        <f>SEARCH(":",T35)</f>
        <v>6</v>
      </c>
      <c r="V35" t="str">
        <f>MID(T35,U35+1,LEN(T35)-(U35))</f>
        <v xml:space="preserve"> 1450826 ** -320, -778, 4403, 324, 1316, 3170, 4743, 4495</v>
      </c>
      <c r="W35" t="str">
        <f>TRIM(V35)</f>
        <v>1450826 ** -320, -778, 4403, 324, 1316, 3170, 4743, 4495</v>
      </c>
      <c r="X35">
        <f>SEARCH("~*",W35)</f>
        <v>9</v>
      </c>
      <c r="Y35" t="str">
        <f>LEFT(W35,X35-1)</f>
        <v xml:space="preserve">1450826 </v>
      </c>
      <c r="AA35" t="str">
        <f>CONCATENATE(A35,",",D35,",",E35,",",F35,",",G35,",",H35,",",I35,",",J35,",",K35)</f>
        <v>1450826,-320,-778,4403,324,1316,3170,4743,4495</v>
      </c>
    </row>
    <row r="36" spans="1:27">
      <c r="A36" s="1">
        <f>IF(ISBLANK(T36),"",VALUE(Y36))</f>
        <v>1445200</v>
      </c>
      <c r="B36" s="1">
        <f>A36*4/10 -18</f>
        <v>578062</v>
      </c>
      <c r="C36" s="3">
        <f>B36/7000000</f>
        <v>8.2580285714285717E-2</v>
      </c>
      <c r="D36" s="6">
        <f>VALUE(MID(W36,$X36+2,L36-(X36+2)))</f>
        <v>-320</v>
      </c>
      <c r="E36" s="6">
        <f>VALUE(MID($W36,L36+1,M36-(L36+1)))</f>
        <v>-778</v>
      </c>
      <c r="F36" s="6">
        <f>VALUE(MID($W36,M36+1,N36-(M36+1)))</f>
        <v>4403</v>
      </c>
      <c r="G36" s="6">
        <f>VALUE(MID($W36,N36+1,O36-(N36+1)))</f>
        <v>324</v>
      </c>
      <c r="H36" s="6">
        <f>VALUE(MID($W36,O36+1,P36-(O36+1)))</f>
        <v>1316</v>
      </c>
      <c r="I36" s="6">
        <f>VALUE(MID($W36,P36+1,Q36-(P36+1)))</f>
        <v>3170</v>
      </c>
      <c r="J36" s="6">
        <f>VALUE(MID($W36,Q36+1,R36-(Q36+1)))</f>
        <v>4743</v>
      </c>
      <c r="K36" s="4">
        <f>VALUE(MID(W36,R36+1,LEN(W36)-(R36)))</f>
        <v>4495</v>
      </c>
      <c r="L36" s="4">
        <f>SEARCH(",",W36,X36)</f>
        <v>16</v>
      </c>
      <c r="M36" s="4">
        <f>SEARCH(",",$W36,L36+1)</f>
        <v>22</v>
      </c>
      <c r="N36" s="4">
        <f>SEARCH(",",$W36,M36+1)</f>
        <v>28</v>
      </c>
      <c r="O36" s="4">
        <f>SEARCH(",",$W36,N36+1)</f>
        <v>33</v>
      </c>
      <c r="P36" s="4">
        <f>SEARCH(",",$W36,O36+1)</f>
        <v>39</v>
      </c>
      <c r="Q36" s="4">
        <f>SEARCH(",",$W36,P36+1)</f>
        <v>45</v>
      </c>
      <c r="R36" s="4">
        <f>SEARCH(",",$W36,Q36+1)</f>
        <v>51</v>
      </c>
      <c r="T36" t="s">
        <v>302</v>
      </c>
      <c r="U36">
        <f>SEARCH(":",T36)</f>
        <v>6</v>
      </c>
      <c r="V36" t="str">
        <f>MID(T36,U36+1,LEN(T36)-(U36))</f>
        <v xml:space="preserve"> 1445200 ** -320, -778, 4403, 324, 1316, 3170, 4743, 4495</v>
      </c>
      <c r="W36" t="str">
        <f>TRIM(V36)</f>
        <v>1445200 ** -320, -778, 4403, 324, 1316, 3170, 4743, 4495</v>
      </c>
      <c r="X36">
        <f>SEARCH("~*",W36)</f>
        <v>9</v>
      </c>
      <c r="Y36" t="str">
        <f>LEFT(W36,X36-1)</f>
        <v xml:space="preserve">1445200 </v>
      </c>
      <c r="AA36" t="str">
        <f>CONCATENATE(A36,",",D36,",",E36,",",F36,",",G36,",",H36,",",I36,",",J36,",",K36)</f>
        <v>1445200,-320,-778,4403,324,1316,3170,4743,4495</v>
      </c>
    </row>
    <row r="37" spans="1:27">
      <c r="A37" s="1">
        <f>IF(ISBLANK(T37),"",VALUE(Y37))</f>
        <v>1440187</v>
      </c>
      <c r="B37" s="1">
        <f>A37*4/10 -18</f>
        <v>576056.80000000005</v>
      </c>
      <c r="C37" s="3">
        <f>B37/7000000</f>
        <v>8.2293828571428584E-2</v>
      </c>
      <c r="D37" s="6">
        <f>VALUE(MID(W37,$X37+2,L37-(X37+2)))</f>
        <v>-320</v>
      </c>
      <c r="E37" s="6">
        <f>VALUE(MID($W37,L37+1,M37-(L37+1)))</f>
        <v>-778</v>
      </c>
      <c r="F37" s="6">
        <f>VALUE(MID($W37,M37+1,N37-(M37+1)))</f>
        <v>4403</v>
      </c>
      <c r="G37" s="6">
        <f>VALUE(MID($W37,N37+1,O37-(N37+1)))</f>
        <v>324</v>
      </c>
      <c r="H37" s="6">
        <f>VALUE(MID($W37,O37+1,P37-(O37+1)))</f>
        <v>1316</v>
      </c>
      <c r="I37" s="6">
        <f>VALUE(MID($W37,P37+1,Q37-(P37+1)))</f>
        <v>3170</v>
      </c>
      <c r="J37" s="6">
        <f>VALUE(MID($W37,Q37+1,R37-(Q37+1)))</f>
        <v>4743</v>
      </c>
      <c r="K37" s="4">
        <f>VALUE(MID(W37,R37+1,LEN(W37)-(R37)))</f>
        <v>4495</v>
      </c>
      <c r="L37" s="4">
        <f>SEARCH(",",W37,X37)</f>
        <v>16</v>
      </c>
      <c r="M37" s="4">
        <f>SEARCH(",",$W37,L37+1)</f>
        <v>22</v>
      </c>
      <c r="N37" s="4">
        <f>SEARCH(",",$W37,M37+1)</f>
        <v>28</v>
      </c>
      <c r="O37" s="4">
        <f>SEARCH(",",$W37,N37+1)</f>
        <v>33</v>
      </c>
      <c r="P37" s="4">
        <f>SEARCH(",",$W37,O37+1)</f>
        <v>39</v>
      </c>
      <c r="Q37" s="4">
        <f>SEARCH(",",$W37,P37+1)</f>
        <v>45</v>
      </c>
      <c r="R37" s="4">
        <f>SEARCH(",",$W37,Q37+1)</f>
        <v>51</v>
      </c>
      <c r="T37" t="s">
        <v>420</v>
      </c>
      <c r="U37">
        <f>SEARCH(":",T37)</f>
        <v>6</v>
      </c>
      <c r="V37" t="str">
        <f>MID(T37,U37+1,LEN(T37)-(U37))</f>
        <v xml:space="preserve"> 1440187 ** -320, -778, 4403, 324, 1316, 3170, 4743, 4495</v>
      </c>
      <c r="W37" t="str">
        <f>TRIM(V37)</f>
        <v>1440187 ** -320, -778, 4403, 324, 1316, 3170, 4743, 4495</v>
      </c>
      <c r="X37">
        <f>SEARCH("~*",W37)</f>
        <v>9</v>
      </c>
      <c r="Y37" t="str">
        <f>LEFT(W37,X37-1)</f>
        <v xml:space="preserve">1440187 </v>
      </c>
      <c r="AA37" t="str">
        <f>CONCATENATE(A37,",",D37,",",E37,",",F37,",",G37,",",H37,",",I37,",",J37,",",K37)</f>
        <v>1440187,-320,-778,4403,324,1316,3170,4743,4495</v>
      </c>
    </row>
    <row r="38" spans="1:27">
      <c r="A38" s="1">
        <f>IF(ISBLANK(T38),"",VALUE(Y38))</f>
        <v>1435771</v>
      </c>
      <c r="B38" s="1">
        <f>A38*4/10 -18</f>
        <v>574290.4</v>
      </c>
      <c r="C38" s="3">
        <f>B38/7000000</f>
        <v>8.2041485714285711E-2</v>
      </c>
      <c r="D38" s="6">
        <f>VALUE(MID(W38,$X38+2,L38-(X38+2)))</f>
        <v>-320</v>
      </c>
      <c r="E38" s="6">
        <f>VALUE(MID($W38,L38+1,M38-(L38+1)))</f>
        <v>-778</v>
      </c>
      <c r="F38" s="6">
        <f>VALUE(MID($W38,M38+1,N38-(M38+1)))</f>
        <v>4403</v>
      </c>
      <c r="G38" s="6">
        <f>VALUE(MID($W38,N38+1,O38-(N38+1)))</f>
        <v>324</v>
      </c>
      <c r="H38" s="6">
        <f>VALUE(MID($W38,O38+1,P38-(O38+1)))</f>
        <v>1316</v>
      </c>
      <c r="I38" s="6">
        <f>VALUE(MID($W38,P38+1,Q38-(P38+1)))</f>
        <v>3170</v>
      </c>
      <c r="J38" s="6">
        <f>VALUE(MID($W38,Q38+1,R38-(Q38+1)))</f>
        <v>4743</v>
      </c>
      <c r="K38" s="4">
        <f>VALUE(MID(W38,R38+1,LEN(W38)-(R38)))</f>
        <v>4495</v>
      </c>
      <c r="L38" s="4">
        <f>SEARCH(",",W38,X38)</f>
        <v>16</v>
      </c>
      <c r="M38" s="4">
        <f>SEARCH(",",$W38,L38+1)</f>
        <v>22</v>
      </c>
      <c r="N38" s="4">
        <f>SEARCH(",",$W38,M38+1)</f>
        <v>28</v>
      </c>
      <c r="O38" s="4">
        <f>SEARCH(",",$W38,N38+1)</f>
        <v>33</v>
      </c>
      <c r="P38" s="4">
        <f>SEARCH(",",$W38,O38+1)</f>
        <v>39</v>
      </c>
      <c r="Q38" s="4">
        <f>SEARCH(",",$W38,P38+1)</f>
        <v>45</v>
      </c>
      <c r="R38" s="4">
        <f>SEARCH(",",$W38,Q38+1)</f>
        <v>51</v>
      </c>
      <c r="T38" t="s">
        <v>460</v>
      </c>
      <c r="U38">
        <f>SEARCH(":",T38)</f>
        <v>6</v>
      </c>
      <c r="V38" t="str">
        <f>MID(T38,U38+1,LEN(T38)-(U38))</f>
        <v xml:space="preserve"> 1435771 ** -320, -778, 4403, 324, 1316, 3170, 4743, 4495</v>
      </c>
      <c r="W38" t="str">
        <f>TRIM(V38)</f>
        <v>1435771 ** -320, -778, 4403, 324, 1316, 3170, 4743, 4495</v>
      </c>
      <c r="X38">
        <f>SEARCH("~*",W38)</f>
        <v>9</v>
      </c>
      <c r="Y38" t="str">
        <f>LEFT(W38,X38-1)</f>
        <v xml:space="preserve">1435771 </v>
      </c>
      <c r="AA38" t="str">
        <f>CONCATENATE(A38,",",D38,",",E38,",",F38,",",G38,",",H38,",",I38,",",J38,",",K38)</f>
        <v>1435771,-320,-778,4403,324,1316,3170,4743,4495</v>
      </c>
    </row>
    <row r="39" spans="1:27">
      <c r="A39" s="1">
        <f>IF(ISBLANK(T39),"",VALUE(Y39))</f>
        <v>1424281</v>
      </c>
      <c r="B39" s="1">
        <f>A39*4/10 -18</f>
        <v>569694.4</v>
      </c>
      <c r="C39" s="3">
        <f>B39/7000000</f>
        <v>8.1384914285714288E-2</v>
      </c>
      <c r="D39" s="6">
        <f>VALUE(MID(W39,$X39+2,L39-(X39+2)))</f>
        <v>-320</v>
      </c>
      <c r="E39" s="6">
        <f>VALUE(MID($W39,L39+1,M39-(L39+1)))</f>
        <v>-778</v>
      </c>
      <c r="F39" s="6">
        <f>VALUE(MID($W39,M39+1,N39-(M39+1)))</f>
        <v>4403</v>
      </c>
      <c r="G39" s="6">
        <f>VALUE(MID($W39,N39+1,O39-(N39+1)))</f>
        <v>324</v>
      </c>
      <c r="H39" s="6">
        <f>VALUE(MID($W39,O39+1,P39-(O39+1)))</f>
        <v>1316</v>
      </c>
      <c r="I39" s="6">
        <f>VALUE(MID($W39,P39+1,Q39-(P39+1)))</f>
        <v>3170</v>
      </c>
      <c r="J39" s="6">
        <f>VALUE(MID($W39,Q39+1,R39-(Q39+1)))</f>
        <v>4743</v>
      </c>
      <c r="K39" s="4">
        <f>VALUE(MID(W39,R39+1,LEN(W39)-(R39)))</f>
        <v>4495</v>
      </c>
      <c r="L39" s="4">
        <f>SEARCH(",",W39,X39)</f>
        <v>16</v>
      </c>
      <c r="M39" s="4">
        <f>SEARCH(",",$W39,L39+1)</f>
        <v>22</v>
      </c>
      <c r="N39" s="4">
        <f>SEARCH(",",$W39,M39+1)</f>
        <v>28</v>
      </c>
      <c r="O39" s="4">
        <f>SEARCH(",",$W39,N39+1)</f>
        <v>33</v>
      </c>
      <c r="P39" s="4">
        <f>SEARCH(",",$W39,O39+1)</f>
        <v>39</v>
      </c>
      <c r="Q39" s="4">
        <f>SEARCH(",",$W39,P39+1)</f>
        <v>45</v>
      </c>
      <c r="R39" s="4">
        <f>SEARCH(",",$W39,Q39+1)</f>
        <v>51</v>
      </c>
      <c r="T39" t="s">
        <v>345</v>
      </c>
      <c r="U39">
        <f>SEARCH(":",T39)</f>
        <v>6</v>
      </c>
      <c r="V39" t="str">
        <f>MID(T39,U39+1,LEN(T39)-(U39))</f>
        <v xml:space="preserve"> 1424281 ** -320, -778, 4403, 324, 1316, 3170, 4743, 4495</v>
      </c>
      <c r="W39" t="str">
        <f>TRIM(V39)</f>
        <v>1424281 ** -320, -778, 4403, 324, 1316, 3170, 4743, 4495</v>
      </c>
      <c r="X39">
        <f>SEARCH("~*",W39)</f>
        <v>9</v>
      </c>
      <c r="Y39" t="str">
        <f>LEFT(W39,X39-1)</f>
        <v xml:space="preserve">1424281 </v>
      </c>
      <c r="AA39" t="str">
        <f>CONCATENATE(A39,",",D39,",",E39,",",F39,",",G39,",",H39,",",I39,",",J39,",",K39)</f>
        <v>1424281,-320,-778,4403,324,1316,3170,4743,4495</v>
      </c>
    </row>
    <row r="40" spans="1:27">
      <c r="A40" s="1">
        <f>IF(ISBLANK(T40),"",VALUE(Y40))</f>
        <v>1411643</v>
      </c>
      <c r="B40" s="1">
        <f>A40*4/10 -18</f>
        <v>564639.19999999995</v>
      </c>
      <c r="C40" s="3">
        <f>B40/7000000</f>
        <v>8.0662742857142852E-2</v>
      </c>
      <c r="D40" s="6">
        <f>VALUE(MID(W40,$X40+2,L40-(X40+2)))</f>
        <v>-320</v>
      </c>
      <c r="E40" s="6">
        <f>VALUE(MID($W40,L40+1,M40-(L40+1)))</f>
        <v>-778</v>
      </c>
      <c r="F40" s="6">
        <f>VALUE(MID($W40,M40+1,N40-(M40+1)))</f>
        <v>4403</v>
      </c>
      <c r="G40" s="6">
        <f>VALUE(MID($W40,N40+1,O40-(N40+1)))</f>
        <v>324</v>
      </c>
      <c r="H40" s="6">
        <f>VALUE(MID($W40,O40+1,P40-(O40+1)))</f>
        <v>1316</v>
      </c>
      <c r="I40" s="6">
        <f>VALUE(MID($W40,P40+1,Q40-(P40+1)))</f>
        <v>3170</v>
      </c>
      <c r="J40" s="6">
        <f>VALUE(MID($W40,Q40+1,R40-(Q40+1)))</f>
        <v>4743</v>
      </c>
      <c r="K40" s="4">
        <f>VALUE(MID(W40,R40+1,LEN(W40)-(R40)))</f>
        <v>4495</v>
      </c>
      <c r="L40" s="4">
        <f>SEARCH(",",W40,X40)</f>
        <v>16</v>
      </c>
      <c r="M40" s="4">
        <f>SEARCH(",",$W40,L40+1)</f>
        <v>22</v>
      </c>
      <c r="N40" s="4">
        <f>SEARCH(",",$W40,M40+1)</f>
        <v>28</v>
      </c>
      <c r="O40" s="4">
        <f>SEARCH(",",$W40,N40+1)</f>
        <v>33</v>
      </c>
      <c r="P40" s="4">
        <f>SEARCH(",",$W40,O40+1)</f>
        <v>39</v>
      </c>
      <c r="Q40" s="4">
        <f>SEARCH(",",$W40,P40+1)</f>
        <v>45</v>
      </c>
      <c r="R40" s="4">
        <f>SEARCH(",",$W40,Q40+1)</f>
        <v>51</v>
      </c>
      <c r="T40" t="s">
        <v>449</v>
      </c>
      <c r="U40">
        <f>SEARCH(":",T40)</f>
        <v>6</v>
      </c>
      <c r="V40" t="str">
        <f>MID(T40,U40+1,LEN(T40)-(U40))</f>
        <v xml:space="preserve"> 1411643 ** -320, -778, 4403, 324, 1316, 3170, 4743, 4495</v>
      </c>
      <c r="W40" t="str">
        <f>TRIM(V40)</f>
        <v>1411643 ** -320, -778, 4403, 324, 1316, 3170, 4743, 4495</v>
      </c>
      <c r="X40">
        <f>SEARCH("~*",W40)</f>
        <v>9</v>
      </c>
      <c r="Y40" t="str">
        <f>LEFT(W40,X40-1)</f>
        <v xml:space="preserve">1411643 </v>
      </c>
      <c r="AA40" t="str">
        <f>CONCATENATE(A40,",",D40,",",E40,",",F40,",",G40,",",H40,",",I40,",",J40,",",K40)</f>
        <v>1411643,-320,-778,4403,324,1316,3170,4743,4495</v>
      </c>
    </row>
    <row r="41" spans="1:27">
      <c r="A41" s="1">
        <f>IF(ISBLANK(T41),"",VALUE(Y41))</f>
        <v>1368571</v>
      </c>
      <c r="B41" s="1">
        <f>A41*4/10 -18</f>
        <v>547410.4</v>
      </c>
      <c r="C41" s="3">
        <f>B41/7000000</f>
        <v>7.8201485714285715E-2</v>
      </c>
      <c r="D41" s="6">
        <f>VALUE(MID(W41,$X41+2,L41-(X41+2)))</f>
        <v>-320</v>
      </c>
      <c r="E41" s="6">
        <f>VALUE(MID($W41,L41+1,M41-(L41+1)))</f>
        <v>-778</v>
      </c>
      <c r="F41" s="6">
        <f>VALUE(MID($W41,M41+1,N41-(M41+1)))</f>
        <v>4403</v>
      </c>
      <c r="G41" s="6">
        <f>VALUE(MID($W41,N41+1,O41-(N41+1)))</f>
        <v>324</v>
      </c>
      <c r="H41" s="6">
        <f>VALUE(MID($W41,O41+1,P41-(O41+1)))</f>
        <v>1316</v>
      </c>
      <c r="I41" s="6">
        <f>VALUE(MID($W41,P41+1,Q41-(P41+1)))</f>
        <v>3170</v>
      </c>
      <c r="J41" s="6">
        <f>VALUE(MID($W41,Q41+1,R41-(Q41+1)))</f>
        <v>4743</v>
      </c>
      <c r="K41" s="4">
        <f>VALUE(MID(W41,R41+1,LEN(W41)-(R41)))</f>
        <v>4495</v>
      </c>
      <c r="L41" s="4">
        <f>SEARCH(",",W41,X41)</f>
        <v>16</v>
      </c>
      <c r="M41" s="4">
        <f>SEARCH(",",$W41,L41+1)</f>
        <v>22</v>
      </c>
      <c r="N41" s="4">
        <f>SEARCH(",",$W41,M41+1)</f>
        <v>28</v>
      </c>
      <c r="O41" s="4">
        <f>SEARCH(",",$W41,N41+1)</f>
        <v>33</v>
      </c>
      <c r="P41" s="4">
        <f>SEARCH(",",$W41,O41+1)</f>
        <v>39</v>
      </c>
      <c r="Q41" s="4">
        <f>SEARCH(",",$W41,P41+1)</f>
        <v>45</v>
      </c>
      <c r="R41" s="4">
        <f>SEARCH(",",$W41,Q41+1)</f>
        <v>51</v>
      </c>
      <c r="T41" t="s">
        <v>469</v>
      </c>
      <c r="U41">
        <f>SEARCH(":",T41)</f>
        <v>6</v>
      </c>
      <c r="V41" t="str">
        <f>MID(T41,U41+1,LEN(T41)-(U41))</f>
        <v xml:space="preserve"> 1368571 ** -320, -778, 4403, 324, 1316, 3170, 4743, 4495</v>
      </c>
      <c r="W41" t="str">
        <f>TRIM(V41)</f>
        <v>1368571 ** -320, -778, 4403, 324, 1316, 3170, 4743, 4495</v>
      </c>
      <c r="X41">
        <f>SEARCH("~*",W41)</f>
        <v>9</v>
      </c>
      <c r="Y41" t="str">
        <f>LEFT(W41,X41-1)</f>
        <v xml:space="preserve">1368571 </v>
      </c>
      <c r="AA41" t="str">
        <f>CONCATENATE(A41,",",D41,",",E41,",",F41,",",G41,",",H41,",",I41,",",J41,",",K41)</f>
        <v>1368571,-320,-778,4403,324,1316,3170,4743,4495</v>
      </c>
    </row>
    <row r="42" spans="1:27">
      <c r="A42" s="1">
        <f>IF(ISBLANK(T42),"",VALUE(Y42))</f>
        <v>1356717</v>
      </c>
      <c r="B42" s="1">
        <f>A42*4/10 -18</f>
        <v>542668.80000000005</v>
      </c>
      <c r="C42" s="3">
        <f>B42/7000000</f>
        <v>7.7524114285714291E-2</v>
      </c>
      <c r="D42" s="6">
        <f>VALUE(MID(W42,$X42+2,L42-(X42+2)))</f>
        <v>-320</v>
      </c>
      <c r="E42" s="6">
        <f>VALUE(MID($W42,L42+1,M42-(L42+1)))</f>
        <v>-778</v>
      </c>
      <c r="F42" s="6">
        <f>VALUE(MID($W42,M42+1,N42-(M42+1)))</f>
        <v>4403</v>
      </c>
      <c r="G42" s="6">
        <f>VALUE(MID($W42,N42+1,O42-(N42+1)))</f>
        <v>324</v>
      </c>
      <c r="H42" s="6">
        <f>VALUE(MID($W42,O42+1,P42-(O42+1)))</f>
        <v>1316</v>
      </c>
      <c r="I42" s="6">
        <f>VALUE(MID($W42,P42+1,Q42-(P42+1)))</f>
        <v>3170</v>
      </c>
      <c r="J42" s="6">
        <f>VALUE(MID($W42,Q42+1,R42-(Q42+1)))</f>
        <v>4743</v>
      </c>
      <c r="K42" s="4">
        <f>VALUE(MID(W42,R42+1,LEN(W42)-(R42)))</f>
        <v>4495</v>
      </c>
      <c r="L42" s="4">
        <f>SEARCH(",",W42,X42)</f>
        <v>16</v>
      </c>
      <c r="M42" s="4">
        <f>SEARCH(",",$W42,L42+1)</f>
        <v>22</v>
      </c>
      <c r="N42" s="4">
        <f>SEARCH(",",$W42,M42+1)</f>
        <v>28</v>
      </c>
      <c r="O42" s="4">
        <f>SEARCH(",",$W42,N42+1)</f>
        <v>33</v>
      </c>
      <c r="P42" s="4">
        <f>SEARCH(",",$W42,O42+1)</f>
        <v>39</v>
      </c>
      <c r="Q42" s="4">
        <f>SEARCH(",",$W42,P42+1)</f>
        <v>45</v>
      </c>
      <c r="R42" s="4">
        <f>SEARCH(",",$W42,Q42+1)</f>
        <v>51</v>
      </c>
      <c r="T42" t="s">
        <v>362</v>
      </c>
      <c r="U42">
        <f>SEARCH(":",T42)</f>
        <v>6</v>
      </c>
      <c r="V42" t="str">
        <f>MID(T42,U42+1,LEN(T42)-(U42))</f>
        <v xml:space="preserve"> 1356717 ** -320, -778, 4403, 324, 1316, 3170, 4743, 4495</v>
      </c>
      <c r="W42" t="str">
        <f>TRIM(V42)</f>
        <v>1356717 ** -320, -778, 4403, 324, 1316, 3170, 4743, 4495</v>
      </c>
      <c r="X42">
        <f>SEARCH("~*",W42)</f>
        <v>9</v>
      </c>
      <c r="Y42" t="str">
        <f>LEFT(W42,X42-1)</f>
        <v xml:space="preserve">1356717 </v>
      </c>
      <c r="AA42" t="str">
        <f>CONCATENATE(A42,",",D42,",",E42,",",F42,",",G42,",",H42,",",I42,",",J42,",",K42)</f>
        <v>1356717,-320,-778,4403,324,1316,3170,4743,4495</v>
      </c>
    </row>
    <row r="43" spans="1:27">
      <c r="A43" s="1">
        <f>IF(ISBLANK(T43),"",VALUE(Y43))</f>
        <v>1346916</v>
      </c>
      <c r="B43" s="1">
        <f>A43*4/10 -18</f>
        <v>538748.4</v>
      </c>
      <c r="C43" s="3">
        <f>B43/7000000</f>
        <v>7.6964057142857145E-2</v>
      </c>
      <c r="D43" s="6">
        <f>VALUE(MID(W43,$X43+2,L43-(X43+2)))</f>
        <v>-320</v>
      </c>
      <c r="E43" s="6">
        <f>VALUE(MID($W43,L43+1,M43-(L43+1)))</f>
        <v>-778</v>
      </c>
      <c r="F43" s="6">
        <f>VALUE(MID($W43,M43+1,N43-(M43+1)))</f>
        <v>4403</v>
      </c>
      <c r="G43" s="6">
        <f>VALUE(MID($W43,N43+1,O43-(N43+1)))</f>
        <v>324</v>
      </c>
      <c r="H43" s="6">
        <f>VALUE(MID($W43,O43+1,P43-(O43+1)))</f>
        <v>1316</v>
      </c>
      <c r="I43" s="6">
        <f>VALUE(MID($W43,P43+1,Q43-(P43+1)))</f>
        <v>3170</v>
      </c>
      <c r="J43" s="6">
        <f>VALUE(MID($W43,Q43+1,R43-(Q43+1)))</f>
        <v>4743</v>
      </c>
      <c r="K43" s="4">
        <f>VALUE(MID(W43,R43+1,LEN(W43)-(R43)))</f>
        <v>4495</v>
      </c>
      <c r="L43" s="4">
        <f>SEARCH(",",W43,X43)</f>
        <v>16</v>
      </c>
      <c r="M43" s="4">
        <f>SEARCH(",",$W43,L43+1)</f>
        <v>22</v>
      </c>
      <c r="N43" s="4">
        <f>SEARCH(",",$W43,M43+1)</f>
        <v>28</v>
      </c>
      <c r="O43" s="4">
        <f>SEARCH(",",$W43,N43+1)</f>
        <v>33</v>
      </c>
      <c r="P43" s="4">
        <f>SEARCH(",",$W43,O43+1)</f>
        <v>39</v>
      </c>
      <c r="Q43" s="4">
        <f>SEARCH(",",$W43,P43+1)</f>
        <v>45</v>
      </c>
      <c r="R43" s="4">
        <f>SEARCH(",",$W43,Q43+1)</f>
        <v>51</v>
      </c>
      <c r="T43" t="s">
        <v>418</v>
      </c>
      <c r="U43">
        <f>SEARCH(":",T43)</f>
        <v>6</v>
      </c>
      <c r="V43" t="str">
        <f>MID(T43,U43+1,LEN(T43)-(U43))</f>
        <v xml:space="preserve"> 1346916 ** -320, -778, 4403, 324, 1316, 3170, 4743, 4495</v>
      </c>
      <c r="W43" t="str">
        <f>TRIM(V43)</f>
        <v>1346916 ** -320, -778, 4403, 324, 1316, 3170, 4743, 4495</v>
      </c>
      <c r="X43">
        <f>SEARCH("~*",W43)</f>
        <v>9</v>
      </c>
      <c r="Y43" t="str">
        <f>LEFT(W43,X43-1)</f>
        <v xml:space="preserve">1346916 </v>
      </c>
      <c r="AA43" t="str">
        <f>CONCATENATE(A43,",",D43,",",E43,",",F43,",",G43,",",H43,",",I43,",",J43,",",K43)</f>
        <v>1346916,-320,-778,4403,324,1316,3170,4743,4495</v>
      </c>
    </row>
    <row r="44" spans="1:27">
      <c r="A44" s="1">
        <f>IF(ISBLANK(T44),"",VALUE(Y44))</f>
        <v>1342194</v>
      </c>
      <c r="B44" s="1">
        <f>A44*4/10 -18</f>
        <v>536859.6</v>
      </c>
      <c r="C44" s="3">
        <f>B44/7000000</f>
        <v>7.6694228571428574E-2</v>
      </c>
      <c r="D44" s="6">
        <f>VALUE(MID(W44,$X44+2,L44-(X44+2)))</f>
        <v>-320</v>
      </c>
      <c r="E44" s="6">
        <f>VALUE(MID($W44,L44+1,M44-(L44+1)))</f>
        <v>-778</v>
      </c>
      <c r="F44" s="6">
        <f>VALUE(MID($W44,M44+1,N44-(M44+1)))</f>
        <v>4403</v>
      </c>
      <c r="G44" s="6">
        <f>VALUE(MID($W44,N44+1,O44-(N44+1)))</f>
        <v>324</v>
      </c>
      <c r="H44" s="6">
        <f>VALUE(MID($W44,O44+1,P44-(O44+1)))</f>
        <v>1316</v>
      </c>
      <c r="I44" s="6">
        <f>VALUE(MID($W44,P44+1,Q44-(P44+1)))</f>
        <v>3170</v>
      </c>
      <c r="J44" s="6">
        <f>VALUE(MID($W44,Q44+1,R44-(Q44+1)))</f>
        <v>4743</v>
      </c>
      <c r="K44" s="4">
        <f>VALUE(MID(W44,R44+1,LEN(W44)-(R44)))</f>
        <v>4495</v>
      </c>
      <c r="L44" s="4">
        <f>SEARCH(",",W44,X44)</f>
        <v>16</v>
      </c>
      <c r="M44" s="4">
        <f>SEARCH(",",$W44,L44+1)</f>
        <v>22</v>
      </c>
      <c r="N44" s="4">
        <f>SEARCH(",",$W44,M44+1)</f>
        <v>28</v>
      </c>
      <c r="O44" s="4">
        <f>SEARCH(",",$W44,N44+1)</f>
        <v>33</v>
      </c>
      <c r="P44" s="4">
        <f>SEARCH(",",$W44,O44+1)</f>
        <v>39</v>
      </c>
      <c r="Q44" s="4">
        <f>SEARCH(",",$W44,P44+1)</f>
        <v>45</v>
      </c>
      <c r="R44" s="4">
        <f>SEARCH(",",$W44,Q44+1)</f>
        <v>51</v>
      </c>
      <c r="T44" t="s">
        <v>428</v>
      </c>
      <c r="U44">
        <f>SEARCH(":",T44)</f>
        <v>6</v>
      </c>
      <c r="V44" t="str">
        <f>MID(T44,U44+1,LEN(T44)-(U44))</f>
        <v xml:space="preserve"> 1342194 ** -320, -778, 4403, 324, 1316, 3170, 4743, 4495</v>
      </c>
      <c r="W44" t="str">
        <f>TRIM(V44)</f>
        <v>1342194 ** -320, -778, 4403, 324, 1316, 3170, 4743, 4495</v>
      </c>
      <c r="X44">
        <f>SEARCH("~*",W44)</f>
        <v>9</v>
      </c>
      <c r="Y44" t="str">
        <f>LEFT(W44,X44-1)</f>
        <v xml:space="preserve">1342194 </v>
      </c>
      <c r="AA44" t="str">
        <f>CONCATENATE(A44,",",D44,",",E44,",",F44,",",G44,",",H44,",",I44,",",J44,",",K44)</f>
        <v>1342194,-320,-778,4403,324,1316,3170,4743,4495</v>
      </c>
    </row>
    <row r="45" spans="1:27">
      <c r="A45" s="1">
        <f>IF(ISBLANK(T45),"",VALUE(Y45))</f>
        <v>1317557</v>
      </c>
      <c r="B45" s="1">
        <f>A45*4/10 -18</f>
        <v>527004.80000000005</v>
      </c>
      <c r="C45" s="3">
        <f>B45/7000000</f>
        <v>7.5286400000000003E-2</v>
      </c>
      <c r="D45" s="6">
        <f>VALUE(MID(W45,$X45+2,L45-(X45+2)))</f>
        <v>-320</v>
      </c>
      <c r="E45" s="6">
        <f>VALUE(MID($W45,L45+1,M45-(L45+1)))</f>
        <v>-778</v>
      </c>
      <c r="F45" s="6">
        <f>VALUE(MID($W45,M45+1,N45-(M45+1)))</f>
        <v>4403</v>
      </c>
      <c r="G45" s="6">
        <f>VALUE(MID($W45,N45+1,O45-(N45+1)))</f>
        <v>324</v>
      </c>
      <c r="H45" s="6">
        <f>VALUE(MID($W45,O45+1,P45-(O45+1)))</f>
        <v>1316</v>
      </c>
      <c r="I45" s="6">
        <f>VALUE(MID($W45,P45+1,Q45-(P45+1)))</f>
        <v>3170</v>
      </c>
      <c r="J45" s="6">
        <f>VALUE(MID($W45,Q45+1,R45-(Q45+1)))</f>
        <v>4743</v>
      </c>
      <c r="K45" s="4">
        <f>VALUE(MID(W45,R45+1,LEN(W45)-(R45)))</f>
        <v>4495</v>
      </c>
      <c r="L45" s="4">
        <f>SEARCH(",",W45,X45)</f>
        <v>16</v>
      </c>
      <c r="M45" s="4">
        <f>SEARCH(",",$W45,L45+1)</f>
        <v>22</v>
      </c>
      <c r="N45" s="4">
        <f>SEARCH(",",$W45,M45+1)</f>
        <v>28</v>
      </c>
      <c r="O45" s="4">
        <f>SEARCH(",",$W45,N45+1)</f>
        <v>33</v>
      </c>
      <c r="P45" s="4">
        <f>SEARCH(",",$W45,O45+1)</f>
        <v>39</v>
      </c>
      <c r="Q45" s="4">
        <f>SEARCH(",",$W45,P45+1)</f>
        <v>45</v>
      </c>
      <c r="R45" s="4">
        <f>SEARCH(",",$W45,Q45+1)</f>
        <v>51</v>
      </c>
      <c r="T45" t="s">
        <v>370</v>
      </c>
      <c r="U45">
        <f>SEARCH(":",T45)</f>
        <v>6</v>
      </c>
      <c r="V45" t="str">
        <f>MID(T45,U45+1,LEN(T45)-(U45))</f>
        <v xml:space="preserve"> 1317557 ** -320, -778, 4403, 324, 1316, 3170, 4743, 4495</v>
      </c>
      <c r="W45" t="str">
        <f>TRIM(V45)</f>
        <v>1317557 ** -320, -778, 4403, 324, 1316, 3170, 4743, 4495</v>
      </c>
      <c r="X45">
        <f>SEARCH("~*",W45)</f>
        <v>9</v>
      </c>
      <c r="Y45" t="str">
        <f>LEFT(W45,X45-1)</f>
        <v xml:space="preserve">1317557 </v>
      </c>
      <c r="AA45" t="str">
        <f>CONCATENATE(A45,",",D45,",",E45,",",F45,",",G45,",",H45,",",I45,",",J45,",",K45)</f>
        <v>1317557,-320,-778,4403,324,1316,3170,4743,4495</v>
      </c>
    </row>
    <row r="46" spans="1:27">
      <c r="A46" s="1">
        <f>IF(ISBLANK(T46),"",VALUE(Y46))</f>
        <v>1315256</v>
      </c>
      <c r="B46" s="1">
        <f>A46*4/10 -18</f>
        <v>526084.4</v>
      </c>
      <c r="C46" s="3">
        <f>B46/7000000</f>
        <v>7.5154914285714289E-2</v>
      </c>
      <c r="D46" s="6">
        <f>VALUE(MID(W46,$X46+2,L46-(X46+2)))</f>
        <v>-320</v>
      </c>
      <c r="E46" s="6">
        <f>VALUE(MID($W46,L46+1,M46-(L46+1)))</f>
        <v>-778</v>
      </c>
      <c r="F46" s="6">
        <f>VALUE(MID($W46,M46+1,N46-(M46+1)))</f>
        <v>4403</v>
      </c>
      <c r="G46" s="6">
        <f>VALUE(MID($W46,N46+1,O46-(N46+1)))</f>
        <v>324</v>
      </c>
      <c r="H46" s="6">
        <f>VALUE(MID($W46,O46+1,P46-(O46+1)))</f>
        <v>1316</v>
      </c>
      <c r="I46" s="6">
        <f>VALUE(MID($W46,P46+1,Q46-(P46+1)))</f>
        <v>3170</v>
      </c>
      <c r="J46" s="6">
        <f>VALUE(MID($W46,Q46+1,R46-(Q46+1)))</f>
        <v>4743</v>
      </c>
      <c r="K46" s="4">
        <f>VALUE(MID(W46,R46+1,LEN(W46)-(R46)))</f>
        <v>4495</v>
      </c>
      <c r="L46" s="4">
        <f>SEARCH(",",W46,X46)</f>
        <v>16</v>
      </c>
      <c r="M46" s="4">
        <f>SEARCH(",",$W46,L46+1)</f>
        <v>22</v>
      </c>
      <c r="N46" s="4">
        <f>SEARCH(",",$W46,M46+1)</f>
        <v>28</v>
      </c>
      <c r="O46" s="4">
        <f>SEARCH(",",$W46,N46+1)</f>
        <v>33</v>
      </c>
      <c r="P46" s="4">
        <f>SEARCH(",",$W46,O46+1)</f>
        <v>39</v>
      </c>
      <c r="Q46" s="4">
        <f>SEARCH(",",$W46,P46+1)</f>
        <v>45</v>
      </c>
      <c r="R46" s="4">
        <f>SEARCH(",",$W46,Q46+1)</f>
        <v>51</v>
      </c>
      <c r="T46" t="s">
        <v>506</v>
      </c>
      <c r="U46">
        <f>SEARCH(":",T46)</f>
        <v>6</v>
      </c>
      <c r="V46" t="str">
        <f>MID(T46,U46+1,LEN(T46)-(U46))</f>
        <v xml:space="preserve"> 1315256 ** -320, -778, 4403, 324, 1316, 3170, 4743, 4495</v>
      </c>
      <c r="W46" t="str">
        <f>TRIM(V46)</f>
        <v>1315256 ** -320, -778, 4403, 324, 1316, 3170, 4743, 4495</v>
      </c>
      <c r="X46">
        <f>SEARCH("~*",W46)</f>
        <v>9</v>
      </c>
      <c r="Y46" t="str">
        <f>LEFT(W46,X46-1)</f>
        <v xml:space="preserve">1315256 </v>
      </c>
      <c r="AA46" t="str">
        <f>CONCATENATE(A46,",",D46,",",E46,",",F46,",",G46,",",H46,",",I46,",",J46,",",K46)</f>
        <v>1315256,-320,-778,4403,324,1316,3170,4743,4495</v>
      </c>
    </row>
    <row r="47" spans="1:27">
      <c r="A47" s="1">
        <f>IF(ISBLANK(T47),"",VALUE(Y47))</f>
        <v>1312242</v>
      </c>
      <c r="B47" s="1">
        <f>A47*4/10 -18</f>
        <v>524878.80000000005</v>
      </c>
      <c r="C47" s="3">
        <f>B47/7000000</f>
        <v>7.4982685714285721E-2</v>
      </c>
      <c r="D47" s="6">
        <f>VALUE(MID(W47,$X47+2,L47-(X47+2)))</f>
        <v>-320</v>
      </c>
      <c r="E47" s="6">
        <f>VALUE(MID($W47,L47+1,M47-(L47+1)))</f>
        <v>-778</v>
      </c>
      <c r="F47" s="6">
        <f>VALUE(MID($W47,M47+1,N47-(M47+1)))</f>
        <v>4403</v>
      </c>
      <c r="G47" s="6">
        <f>VALUE(MID($W47,N47+1,O47-(N47+1)))</f>
        <v>324</v>
      </c>
      <c r="H47" s="6">
        <f>VALUE(MID($W47,O47+1,P47-(O47+1)))</f>
        <v>1316</v>
      </c>
      <c r="I47" s="6">
        <f>VALUE(MID($W47,P47+1,Q47-(P47+1)))</f>
        <v>3170</v>
      </c>
      <c r="J47" s="6">
        <f>VALUE(MID($W47,Q47+1,R47-(Q47+1)))</f>
        <v>4743</v>
      </c>
      <c r="K47" s="4">
        <f>VALUE(MID(W47,R47+1,LEN(W47)-(R47)))</f>
        <v>4495</v>
      </c>
      <c r="L47" s="4">
        <f>SEARCH(",",W47,X47)</f>
        <v>16</v>
      </c>
      <c r="M47" s="4">
        <f>SEARCH(",",$W47,L47+1)</f>
        <v>22</v>
      </c>
      <c r="N47" s="4">
        <f>SEARCH(",",$W47,M47+1)</f>
        <v>28</v>
      </c>
      <c r="O47" s="4">
        <f>SEARCH(",",$W47,N47+1)</f>
        <v>33</v>
      </c>
      <c r="P47" s="4">
        <f>SEARCH(",",$W47,O47+1)</f>
        <v>39</v>
      </c>
      <c r="Q47" s="4">
        <f>SEARCH(",",$W47,P47+1)</f>
        <v>45</v>
      </c>
      <c r="R47" s="4">
        <f>SEARCH(",",$W47,Q47+1)</f>
        <v>51</v>
      </c>
      <c r="T47" t="s">
        <v>305</v>
      </c>
      <c r="U47">
        <f>SEARCH(":",T47)</f>
        <v>6</v>
      </c>
      <c r="V47" t="str">
        <f>MID(T47,U47+1,LEN(T47)-(U47))</f>
        <v xml:space="preserve"> 1312242 ** -320, -778, 4403, 324, 1316, 3170, 4743, 4495</v>
      </c>
      <c r="W47" t="str">
        <f>TRIM(V47)</f>
        <v>1312242 ** -320, -778, 4403, 324, 1316, 3170, 4743, 4495</v>
      </c>
      <c r="X47">
        <f>SEARCH("~*",W47)</f>
        <v>9</v>
      </c>
      <c r="Y47" t="str">
        <f>LEFT(W47,X47-1)</f>
        <v xml:space="preserve">1312242 </v>
      </c>
      <c r="AA47" t="str">
        <f>CONCATENATE(A47,",",D47,",",E47,",",F47,",",G47,",",H47,",",I47,",",J47,",",K47)</f>
        <v>1312242,-320,-778,4403,324,1316,3170,4743,4495</v>
      </c>
    </row>
    <row r="48" spans="1:27">
      <c r="A48" s="1">
        <f>IF(ISBLANK(T48),"",VALUE(Y48))</f>
        <v>1297138</v>
      </c>
      <c r="B48" s="1">
        <f>A48*4/10 -18</f>
        <v>518837.2</v>
      </c>
      <c r="C48" s="3">
        <f>B48/7000000</f>
        <v>7.4119600000000008E-2</v>
      </c>
      <c r="D48" s="6">
        <f>VALUE(MID(W48,$X48+2,L48-(X48+2)))</f>
        <v>-320</v>
      </c>
      <c r="E48" s="6">
        <f>VALUE(MID($W48,L48+1,M48-(L48+1)))</f>
        <v>-778</v>
      </c>
      <c r="F48" s="6">
        <f>VALUE(MID($W48,M48+1,N48-(M48+1)))</f>
        <v>4403</v>
      </c>
      <c r="G48" s="6">
        <f>VALUE(MID($W48,N48+1,O48-(N48+1)))</f>
        <v>324</v>
      </c>
      <c r="H48" s="6">
        <f>VALUE(MID($W48,O48+1,P48-(O48+1)))</f>
        <v>1316</v>
      </c>
      <c r="I48" s="6">
        <f>VALUE(MID($W48,P48+1,Q48-(P48+1)))</f>
        <v>3170</v>
      </c>
      <c r="J48" s="6">
        <f>VALUE(MID($W48,Q48+1,R48-(Q48+1)))</f>
        <v>4743</v>
      </c>
      <c r="K48" s="4">
        <f>VALUE(MID(W48,R48+1,LEN(W48)-(R48)))</f>
        <v>4495</v>
      </c>
      <c r="L48" s="4">
        <f>SEARCH(",",W48,X48)</f>
        <v>16</v>
      </c>
      <c r="M48" s="4">
        <f>SEARCH(",",$W48,L48+1)</f>
        <v>22</v>
      </c>
      <c r="N48" s="4">
        <f>SEARCH(",",$W48,M48+1)</f>
        <v>28</v>
      </c>
      <c r="O48" s="4">
        <f>SEARCH(",",$W48,N48+1)</f>
        <v>33</v>
      </c>
      <c r="P48" s="4">
        <f>SEARCH(",",$W48,O48+1)</f>
        <v>39</v>
      </c>
      <c r="Q48" s="4">
        <f>SEARCH(",",$W48,P48+1)</f>
        <v>45</v>
      </c>
      <c r="R48" s="4">
        <f>SEARCH(",",$W48,Q48+1)</f>
        <v>51</v>
      </c>
      <c r="T48" t="s">
        <v>560</v>
      </c>
      <c r="U48">
        <f>SEARCH(":",T48)</f>
        <v>6</v>
      </c>
      <c r="V48" t="str">
        <f>MID(T48,U48+1,LEN(T48)-(U48))</f>
        <v xml:space="preserve"> 1297138 ** -320, -778, 4403, 324, 1316, 3170, 4743, 4495</v>
      </c>
      <c r="W48" t="str">
        <f>TRIM(V48)</f>
        <v>1297138 ** -320, -778, 4403, 324, 1316, 3170, 4743, 4495</v>
      </c>
      <c r="X48">
        <f>SEARCH("~*",W48)</f>
        <v>9</v>
      </c>
      <c r="Y48" t="str">
        <f>LEFT(W48,X48-1)</f>
        <v xml:space="preserve">1297138 </v>
      </c>
      <c r="AA48" t="str">
        <f>CONCATENATE(A48,",",D48,",",E48,",",F48,",",G48,",",H48,",",I48,",",J48,",",K48)</f>
        <v>1297138,-320,-778,4403,324,1316,3170,4743,4495</v>
      </c>
    </row>
    <row r="49" spans="1:27">
      <c r="A49" s="1">
        <f>IF(ISBLANK(T49),"",VALUE(Y49))</f>
        <v>1294370</v>
      </c>
      <c r="B49" s="1">
        <f>A49*4/10 -18</f>
        <v>517730</v>
      </c>
      <c r="C49" s="3">
        <f>B49/7000000</f>
        <v>7.3961428571428567E-2</v>
      </c>
      <c r="D49" s="6">
        <f>VALUE(MID(W49,$X49+2,L49-(X49+2)))</f>
        <v>-320</v>
      </c>
      <c r="E49" s="6">
        <f>VALUE(MID($W49,L49+1,M49-(L49+1)))</f>
        <v>-778</v>
      </c>
      <c r="F49" s="6">
        <f>VALUE(MID($W49,M49+1,N49-(M49+1)))</f>
        <v>4403</v>
      </c>
      <c r="G49" s="6">
        <f>VALUE(MID($W49,N49+1,O49-(N49+1)))</f>
        <v>324</v>
      </c>
      <c r="H49" s="6">
        <f>VALUE(MID($W49,O49+1,P49-(O49+1)))</f>
        <v>1316</v>
      </c>
      <c r="I49" s="6">
        <f>VALUE(MID($W49,P49+1,Q49-(P49+1)))</f>
        <v>3170</v>
      </c>
      <c r="J49" s="6">
        <f>VALUE(MID($W49,Q49+1,R49-(Q49+1)))</f>
        <v>4743</v>
      </c>
      <c r="K49" s="4">
        <f>VALUE(MID(W49,R49+1,LEN(W49)-(R49)))</f>
        <v>4495</v>
      </c>
      <c r="L49" s="4">
        <f>SEARCH(",",W49,X49)</f>
        <v>16</v>
      </c>
      <c r="M49" s="4">
        <f>SEARCH(",",$W49,L49+1)</f>
        <v>22</v>
      </c>
      <c r="N49" s="4">
        <f>SEARCH(",",$W49,M49+1)</f>
        <v>28</v>
      </c>
      <c r="O49" s="4">
        <f>SEARCH(",",$W49,N49+1)</f>
        <v>33</v>
      </c>
      <c r="P49" s="4">
        <f>SEARCH(",",$W49,O49+1)</f>
        <v>39</v>
      </c>
      <c r="Q49" s="4">
        <f>SEARCH(",",$W49,P49+1)</f>
        <v>45</v>
      </c>
      <c r="R49" s="4">
        <f>SEARCH(",",$W49,Q49+1)</f>
        <v>51</v>
      </c>
      <c r="T49" t="s">
        <v>401</v>
      </c>
      <c r="U49">
        <f>SEARCH(":",T49)</f>
        <v>6</v>
      </c>
      <c r="V49" t="str">
        <f>MID(T49,U49+1,LEN(T49)-(U49))</f>
        <v xml:space="preserve"> 1294370 ** -320, -778, 4403, 324, 1316, 3170, 4743, 4495</v>
      </c>
      <c r="W49" t="str">
        <f>TRIM(V49)</f>
        <v>1294370 ** -320, -778, 4403, 324, 1316, 3170, 4743, 4495</v>
      </c>
      <c r="X49">
        <f>SEARCH("~*",W49)</f>
        <v>9</v>
      </c>
      <c r="Y49" t="str">
        <f>LEFT(W49,X49-1)</f>
        <v xml:space="preserve">1294370 </v>
      </c>
      <c r="AA49" t="str">
        <f>CONCATENATE(A49,",",D49,",",E49,",",F49,",",G49,",",H49,",",I49,",",J49,",",K49)</f>
        <v>1294370,-320,-778,4403,324,1316,3170,4743,4495</v>
      </c>
    </row>
    <row r="50" spans="1:27">
      <c r="A50" s="1">
        <f>IF(ISBLANK(T50),"",VALUE(Y50))</f>
        <v>1273912</v>
      </c>
      <c r="B50" s="1">
        <f>A50*4/10 -18</f>
        <v>509546.8</v>
      </c>
      <c r="C50" s="3">
        <f>B50/7000000</f>
        <v>7.2792399999999993E-2</v>
      </c>
      <c r="D50" s="6">
        <f>VALUE(MID(W50,$X50+2,L50-(X50+2)))</f>
        <v>-320</v>
      </c>
      <c r="E50" s="6">
        <f>VALUE(MID($W50,L50+1,M50-(L50+1)))</f>
        <v>-778</v>
      </c>
      <c r="F50" s="6">
        <f>VALUE(MID($W50,M50+1,N50-(M50+1)))</f>
        <v>4403</v>
      </c>
      <c r="G50" s="6">
        <f>VALUE(MID($W50,N50+1,O50-(N50+1)))</f>
        <v>324</v>
      </c>
      <c r="H50" s="6">
        <f>VALUE(MID($W50,O50+1,P50-(O50+1)))</f>
        <v>1316</v>
      </c>
      <c r="I50" s="6">
        <f>VALUE(MID($W50,P50+1,Q50-(P50+1)))</f>
        <v>3170</v>
      </c>
      <c r="J50" s="6">
        <f>VALUE(MID($W50,Q50+1,R50-(Q50+1)))</f>
        <v>4743</v>
      </c>
      <c r="K50" s="4">
        <f>VALUE(MID(W50,R50+1,LEN(W50)-(R50)))</f>
        <v>4495</v>
      </c>
      <c r="L50" s="4">
        <f>SEARCH(",",W50,X50)</f>
        <v>16</v>
      </c>
      <c r="M50" s="4">
        <f>SEARCH(",",$W50,L50+1)</f>
        <v>22</v>
      </c>
      <c r="N50" s="4">
        <f>SEARCH(",",$W50,M50+1)</f>
        <v>28</v>
      </c>
      <c r="O50" s="4">
        <f>SEARCH(",",$W50,N50+1)</f>
        <v>33</v>
      </c>
      <c r="P50" s="4">
        <f>SEARCH(",",$W50,O50+1)</f>
        <v>39</v>
      </c>
      <c r="Q50" s="4">
        <f>SEARCH(",",$W50,P50+1)</f>
        <v>45</v>
      </c>
      <c r="R50" s="4">
        <f>SEARCH(",",$W50,Q50+1)</f>
        <v>51</v>
      </c>
      <c r="T50" t="s">
        <v>377</v>
      </c>
      <c r="U50">
        <f>SEARCH(":",T50)</f>
        <v>6</v>
      </c>
      <c r="V50" t="str">
        <f>MID(T50,U50+1,LEN(T50)-(U50))</f>
        <v xml:space="preserve"> 1273912 ** -320, -778, 4403, 324, 1316, 3170, 4743, 4495</v>
      </c>
      <c r="W50" t="str">
        <f>TRIM(V50)</f>
        <v>1273912 ** -320, -778, 4403, 324, 1316, 3170, 4743, 4495</v>
      </c>
      <c r="X50">
        <f>SEARCH("~*",W50)</f>
        <v>9</v>
      </c>
      <c r="Y50" t="str">
        <f>LEFT(W50,X50-1)</f>
        <v xml:space="preserve">1273912 </v>
      </c>
      <c r="AA50" t="str">
        <f>CONCATENATE(A50,",",D50,",",E50,",",F50,",",G50,",",H50,",",I50,",",J50,",",K50)</f>
        <v>1273912,-320,-778,4403,324,1316,3170,4743,4495</v>
      </c>
    </row>
    <row r="51" spans="1:27">
      <c r="A51" s="1">
        <f>IF(ISBLANK(T51),"",VALUE(Y51))</f>
        <v>1224773</v>
      </c>
      <c r="B51" s="1">
        <f>A51*4/10 -18</f>
        <v>489891.2</v>
      </c>
      <c r="C51" s="3">
        <f>B51/7000000</f>
        <v>6.9984457142857143E-2</v>
      </c>
      <c r="D51" s="6">
        <f>VALUE(MID(W51,$X51+2,L51-(X51+2)))</f>
        <v>-320</v>
      </c>
      <c r="E51" s="6">
        <f>VALUE(MID($W51,L51+1,M51-(L51+1)))</f>
        <v>-778</v>
      </c>
      <c r="F51" s="6">
        <f>VALUE(MID($W51,M51+1,N51-(M51+1)))</f>
        <v>4403</v>
      </c>
      <c r="G51" s="6">
        <f>VALUE(MID($W51,N51+1,O51-(N51+1)))</f>
        <v>324</v>
      </c>
      <c r="H51" s="6">
        <f>VALUE(MID($W51,O51+1,P51-(O51+1)))</f>
        <v>1316</v>
      </c>
      <c r="I51" s="6">
        <f>VALUE(MID($W51,P51+1,Q51-(P51+1)))</f>
        <v>3170</v>
      </c>
      <c r="J51" s="6">
        <f>VALUE(MID($W51,Q51+1,R51-(Q51+1)))</f>
        <v>4743</v>
      </c>
      <c r="K51" s="4">
        <f>VALUE(MID(W51,R51+1,LEN(W51)-(R51)))</f>
        <v>4495</v>
      </c>
      <c r="L51" s="4">
        <f>SEARCH(",",W51,X51)</f>
        <v>16</v>
      </c>
      <c r="M51" s="4">
        <f>SEARCH(",",$W51,L51+1)</f>
        <v>22</v>
      </c>
      <c r="N51" s="4">
        <f>SEARCH(",",$W51,M51+1)</f>
        <v>28</v>
      </c>
      <c r="O51" s="4">
        <f>SEARCH(",",$W51,N51+1)</f>
        <v>33</v>
      </c>
      <c r="P51" s="4">
        <f>SEARCH(",",$W51,O51+1)</f>
        <v>39</v>
      </c>
      <c r="Q51" s="4">
        <f>SEARCH(",",$W51,P51+1)</f>
        <v>45</v>
      </c>
      <c r="R51" s="4">
        <f>SEARCH(",",$W51,Q51+1)</f>
        <v>51</v>
      </c>
      <c r="T51" t="s">
        <v>472</v>
      </c>
      <c r="U51">
        <f>SEARCH(":",T51)</f>
        <v>6</v>
      </c>
      <c r="V51" t="str">
        <f>MID(T51,U51+1,LEN(T51)-(U51))</f>
        <v xml:space="preserve"> 1224773 ** -320, -778, 4403, 324, 1316, 3170, 4743, 4495</v>
      </c>
      <c r="W51" t="str">
        <f>TRIM(V51)</f>
        <v>1224773 ** -320, -778, 4403, 324, 1316, 3170, 4743, 4495</v>
      </c>
      <c r="X51">
        <f>SEARCH("~*",W51)</f>
        <v>9</v>
      </c>
      <c r="Y51" t="str">
        <f>LEFT(W51,X51-1)</f>
        <v xml:space="preserve">1224773 </v>
      </c>
      <c r="AA51" t="str">
        <f>CONCATENATE(A51,",",D51,",",E51,",",F51,",",G51,",",H51,",",I51,",",J51,",",K51)</f>
        <v>1224773,-320,-778,4403,324,1316,3170,4743,4495</v>
      </c>
    </row>
    <row r="52" spans="1:27">
      <c r="A52" s="1">
        <f>IF(ISBLANK(T52),"",VALUE(Y52))</f>
        <v>1212750</v>
      </c>
      <c r="B52" s="1">
        <f>A52*4/10 -18</f>
        <v>485082</v>
      </c>
      <c r="C52" s="3">
        <f>B52/7000000</f>
        <v>6.9297428571428565E-2</v>
      </c>
      <c r="D52" s="6">
        <f>VALUE(MID(W52,$X52+2,L52-(X52+2)))</f>
        <v>-320</v>
      </c>
      <c r="E52" s="6">
        <f>VALUE(MID($W52,L52+1,M52-(L52+1)))</f>
        <v>-778</v>
      </c>
      <c r="F52" s="6">
        <f>VALUE(MID($W52,M52+1,N52-(M52+1)))</f>
        <v>4403</v>
      </c>
      <c r="G52" s="6">
        <f>VALUE(MID($W52,N52+1,O52-(N52+1)))</f>
        <v>324</v>
      </c>
      <c r="H52" s="6">
        <f>VALUE(MID($W52,O52+1,P52-(O52+1)))</f>
        <v>1316</v>
      </c>
      <c r="I52" s="6">
        <f>VALUE(MID($W52,P52+1,Q52-(P52+1)))</f>
        <v>3170</v>
      </c>
      <c r="J52" s="6">
        <f>VALUE(MID($W52,Q52+1,R52-(Q52+1)))</f>
        <v>4743</v>
      </c>
      <c r="K52" s="4">
        <f>VALUE(MID(W52,R52+1,LEN(W52)-(R52)))</f>
        <v>4495</v>
      </c>
      <c r="L52" s="4">
        <f>SEARCH(",",W52,X52)</f>
        <v>16</v>
      </c>
      <c r="M52" s="4">
        <f>SEARCH(",",$W52,L52+1)</f>
        <v>22</v>
      </c>
      <c r="N52" s="4">
        <f>SEARCH(",",$W52,M52+1)</f>
        <v>28</v>
      </c>
      <c r="O52" s="4">
        <f>SEARCH(",",$W52,N52+1)</f>
        <v>33</v>
      </c>
      <c r="P52" s="4">
        <f>SEARCH(",",$W52,O52+1)</f>
        <v>39</v>
      </c>
      <c r="Q52" s="4">
        <f>SEARCH(",",$W52,P52+1)</f>
        <v>45</v>
      </c>
      <c r="R52" s="4">
        <f>SEARCH(",",$W52,Q52+1)</f>
        <v>51</v>
      </c>
      <c r="T52" t="s">
        <v>519</v>
      </c>
      <c r="U52">
        <f>SEARCH(":",T52)</f>
        <v>6</v>
      </c>
      <c r="V52" t="str">
        <f>MID(T52,U52+1,LEN(T52)-(U52))</f>
        <v xml:space="preserve"> 1212750 ** -320, -778, 4403, 324, 1316, 3170, 4743, 4495</v>
      </c>
      <c r="W52" t="str">
        <f>TRIM(V52)</f>
        <v>1212750 ** -320, -778, 4403, 324, 1316, 3170, 4743, 4495</v>
      </c>
      <c r="X52">
        <f>SEARCH("~*",W52)</f>
        <v>9</v>
      </c>
      <c r="Y52" t="str">
        <f>LEFT(W52,X52-1)</f>
        <v xml:space="preserve">1212750 </v>
      </c>
      <c r="AA52" t="str">
        <f>CONCATENATE(A52,",",D52,",",E52,",",F52,",",G52,",",H52,",",I52,",",J52,",",K52)</f>
        <v>1212750,-320,-778,4403,324,1316,3170,4743,4495</v>
      </c>
    </row>
    <row r="53" spans="1:27">
      <c r="A53" s="1">
        <f>IF(ISBLANK(T53),"",VALUE(Y53))</f>
        <v>1208587</v>
      </c>
      <c r="B53" s="1">
        <f>A53*4/10 -18</f>
        <v>483416.8</v>
      </c>
      <c r="C53" s="3">
        <f>B53/7000000</f>
        <v>6.9059542857142858E-2</v>
      </c>
      <c r="D53" s="6">
        <f>VALUE(MID(W53,$X53+2,L53-(X53+2)))</f>
        <v>-320</v>
      </c>
      <c r="E53" s="6">
        <f>VALUE(MID($W53,L53+1,M53-(L53+1)))</f>
        <v>-778</v>
      </c>
      <c r="F53" s="6">
        <f>VALUE(MID($W53,M53+1,N53-(M53+1)))</f>
        <v>4403</v>
      </c>
      <c r="G53" s="6">
        <f>VALUE(MID($W53,N53+1,O53-(N53+1)))</f>
        <v>324</v>
      </c>
      <c r="H53" s="6">
        <f>VALUE(MID($W53,O53+1,P53-(O53+1)))</f>
        <v>1316</v>
      </c>
      <c r="I53" s="6">
        <f>VALUE(MID($W53,P53+1,Q53-(P53+1)))</f>
        <v>3170</v>
      </c>
      <c r="J53" s="6">
        <f>VALUE(MID($W53,Q53+1,R53-(Q53+1)))</f>
        <v>4743</v>
      </c>
      <c r="K53" s="4">
        <f>VALUE(MID(W53,R53+1,LEN(W53)-(R53)))</f>
        <v>4495</v>
      </c>
      <c r="L53" s="4">
        <f>SEARCH(",",W53,X53)</f>
        <v>16</v>
      </c>
      <c r="M53" s="4">
        <f>SEARCH(",",$W53,L53+1)</f>
        <v>22</v>
      </c>
      <c r="N53" s="4">
        <f>SEARCH(",",$W53,M53+1)</f>
        <v>28</v>
      </c>
      <c r="O53" s="4">
        <f>SEARCH(",",$W53,N53+1)</f>
        <v>33</v>
      </c>
      <c r="P53" s="4">
        <f>SEARCH(",",$W53,O53+1)</f>
        <v>39</v>
      </c>
      <c r="Q53" s="4">
        <f>SEARCH(",",$W53,P53+1)</f>
        <v>45</v>
      </c>
      <c r="R53" s="4">
        <f>SEARCH(",",$W53,Q53+1)</f>
        <v>51</v>
      </c>
      <c r="T53" t="s">
        <v>427</v>
      </c>
      <c r="U53">
        <f>SEARCH(":",T53)</f>
        <v>6</v>
      </c>
      <c r="V53" t="str">
        <f>MID(T53,U53+1,LEN(T53)-(U53))</f>
        <v xml:space="preserve"> 1208587 ** -320, -778, 4403, 324, 1316, 3170, 4743, 4495</v>
      </c>
      <c r="W53" t="str">
        <f>TRIM(V53)</f>
        <v>1208587 ** -320, -778, 4403, 324, 1316, 3170, 4743, 4495</v>
      </c>
      <c r="X53">
        <f>SEARCH("~*",W53)</f>
        <v>9</v>
      </c>
      <c r="Y53" t="str">
        <f>LEFT(W53,X53-1)</f>
        <v xml:space="preserve">1208587 </v>
      </c>
      <c r="AA53" t="str">
        <f>CONCATENATE(A53,",",D53,",",E53,",",F53,",",G53,",",H53,",",I53,",",J53,",",K53)</f>
        <v>1208587,-320,-778,4403,324,1316,3170,4743,4495</v>
      </c>
    </row>
    <row r="54" spans="1:27">
      <c r="A54" s="1">
        <f>IF(ISBLANK(T54),"",VALUE(Y54))</f>
        <v>1193972</v>
      </c>
      <c r="B54" s="1">
        <f>A54*4/10 -18</f>
        <v>477570.8</v>
      </c>
      <c r="C54" s="3">
        <f>B54/7000000</f>
        <v>6.8224400000000004E-2</v>
      </c>
      <c r="D54" s="6">
        <f>VALUE(MID(W54,$X54+2,L54-(X54+2)))</f>
        <v>-320</v>
      </c>
      <c r="E54" s="6">
        <f>VALUE(MID($W54,L54+1,M54-(L54+1)))</f>
        <v>-778</v>
      </c>
      <c r="F54" s="6">
        <f>VALUE(MID($W54,M54+1,N54-(M54+1)))</f>
        <v>4403</v>
      </c>
      <c r="G54" s="6">
        <f>VALUE(MID($W54,N54+1,O54-(N54+1)))</f>
        <v>324</v>
      </c>
      <c r="H54" s="6">
        <f>VALUE(MID($W54,O54+1,P54-(O54+1)))</f>
        <v>1316</v>
      </c>
      <c r="I54" s="6">
        <f>VALUE(MID($W54,P54+1,Q54-(P54+1)))</f>
        <v>3170</v>
      </c>
      <c r="J54" s="6">
        <f>VALUE(MID($W54,Q54+1,R54-(Q54+1)))</f>
        <v>4743</v>
      </c>
      <c r="K54" s="4">
        <f>VALUE(MID(W54,R54+1,LEN(W54)-(R54)))</f>
        <v>4495</v>
      </c>
      <c r="L54" s="4">
        <f>SEARCH(",",W54,X54)</f>
        <v>16</v>
      </c>
      <c r="M54" s="4">
        <f>SEARCH(",",$W54,L54+1)</f>
        <v>22</v>
      </c>
      <c r="N54" s="4">
        <f>SEARCH(",",$W54,M54+1)</f>
        <v>28</v>
      </c>
      <c r="O54" s="4">
        <f>SEARCH(",",$W54,N54+1)</f>
        <v>33</v>
      </c>
      <c r="P54" s="4">
        <f>SEARCH(",",$W54,O54+1)</f>
        <v>39</v>
      </c>
      <c r="Q54" s="4">
        <f>SEARCH(",",$W54,P54+1)</f>
        <v>45</v>
      </c>
      <c r="R54" s="4">
        <f>SEARCH(",",$W54,Q54+1)</f>
        <v>51</v>
      </c>
      <c r="T54" t="s">
        <v>445</v>
      </c>
      <c r="U54">
        <f>SEARCH(":",T54)</f>
        <v>6</v>
      </c>
      <c r="V54" t="str">
        <f>MID(T54,U54+1,LEN(T54)-(U54))</f>
        <v xml:space="preserve"> 1193972 ** -320, -778, 4403, 324, 1316, 3170, 4743, 4495</v>
      </c>
      <c r="W54" t="str">
        <f>TRIM(V54)</f>
        <v>1193972 ** -320, -778, 4403, 324, 1316, 3170, 4743, 4495</v>
      </c>
      <c r="X54">
        <f>SEARCH("~*",W54)</f>
        <v>9</v>
      </c>
      <c r="Y54" t="str">
        <f>LEFT(W54,X54-1)</f>
        <v xml:space="preserve">1193972 </v>
      </c>
      <c r="AA54" t="str">
        <f>CONCATENATE(A54,",",D54,",",E54,",",F54,",",G54,",",H54,",",I54,",",J54,",",K54)</f>
        <v>1193972,-320,-778,4403,324,1316,3170,4743,4495</v>
      </c>
    </row>
    <row r="55" spans="1:27">
      <c r="A55" s="1">
        <f>IF(ISBLANK(T55),"",VALUE(Y55))</f>
        <v>1176929</v>
      </c>
      <c r="B55" s="1">
        <f>A55*4/10 -18</f>
        <v>470753.6</v>
      </c>
      <c r="C55" s="3">
        <f>B55/7000000</f>
        <v>6.7250514285714283E-2</v>
      </c>
      <c r="D55" s="6">
        <f>VALUE(MID(W55,$X55+2,L55-(X55+2)))</f>
        <v>-320</v>
      </c>
      <c r="E55" s="6">
        <f>VALUE(MID($W55,L55+1,M55-(L55+1)))</f>
        <v>-778</v>
      </c>
      <c r="F55" s="6">
        <f>VALUE(MID($W55,M55+1,N55-(M55+1)))</f>
        <v>4403</v>
      </c>
      <c r="G55" s="6">
        <f>VALUE(MID($W55,N55+1,O55-(N55+1)))</f>
        <v>324</v>
      </c>
      <c r="H55" s="6">
        <f>VALUE(MID($W55,O55+1,P55-(O55+1)))</f>
        <v>1316</v>
      </c>
      <c r="I55" s="6">
        <f>VALUE(MID($W55,P55+1,Q55-(P55+1)))</f>
        <v>3170</v>
      </c>
      <c r="J55" s="6">
        <f>VALUE(MID($W55,Q55+1,R55-(Q55+1)))</f>
        <v>4743</v>
      </c>
      <c r="K55" s="4">
        <f>VALUE(MID(W55,R55+1,LEN(W55)-(R55)))</f>
        <v>4495</v>
      </c>
      <c r="L55" s="4">
        <f>SEARCH(",",W55,X55)</f>
        <v>16</v>
      </c>
      <c r="M55" s="4">
        <f>SEARCH(",",$W55,L55+1)</f>
        <v>22</v>
      </c>
      <c r="N55" s="4">
        <f>SEARCH(",",$W55,M55+1)</f>
        <v>28</v>
      </c>
      <c r="O55" s="4">
        <f>SEARCH(",",$W55,N55+1)</f>
        <v>33</v>
      </c>
      <c r="P55" s="4">
        <f>SEARCH(",",$W55,O55+1)</f>
        <v>39</v>
      </c>
      <c r="Q55" s="4">
        <f>SEARCH(",",$W55,P55+1)</f>
        <v>45</v>
      </c>
      <c r="R55" s="4">
        <f>SEARCH(",",$W55,Q55+1)</f>
        <v>51</v>
      </c>
      <c r="T55" t="s">
        <v>527</v>
      </c>
      <c r="U55">
        <f>SEARCH(":",T55)</f>
        <v>6</v>
      </c>
      <c r="V55" t="str">
        <f>MID(T55,U55+1,LEN(T55)-(U55))</f>
        <v xml:space="preserve"> 1176929 ** -320, -778, 4403, 324, 1316, 3170, 4743, 4495</v>
      </c>
      <c r="W55" t="str">
        <f>TRIM(V55)</f>
        <v>1176929 ** -320, -778, 4403, 324, 1316, 3170, 4743, 4495</v>
      </c>
      <c r="X55">
        <f>SEARCH("~*",W55)</f>
        <v>9</v>
      </c>
      <c r="Y55" t="str">
        <f>LEFT(W55,X55-1)</f>
        <v xml:space="preserve">1176929 </v>
      </c>
      <c r="AA55" t="str">
        <f>CONCATENATE(A55,",",D55,",",E55,",",F55,",",G55,",",H55,",",I55,",",J55,",",K55)</f>
        <v>1176929,-320,-778,4403,324,1316,3170,4743,4495</v>
      </c>
    </row>
    <row r="56" spans="1:27">
      <c r="A56" s="1">
        <f>IF(ISBLANK(T56),"",VALUE(Y56))</f>
        <v>1169776</v>
      </c>
      <c r="B56" s="1">
        <f>A56*4/10 -18</f>
        <v>467892.4</v>
      </c>
      <c r="C56" s="3">
        <f>B56/7000000</f>
        <v>6.6841771428571436E-2</v>
      </c>
      <c r="D56" s="6">
        <f>VALUE(MID(W56,$X56+2,L56-(X56+2)))</f>
        <v>-320</v>
      </c>
      <c r="E56" s="6">
        <f>VALUE(MID($W56,L56+1,M56-(L56+1)))</f>
        <v>-778</v>
      </c>
      <c r="F56" s="6">
        <f>VALUE(MID($W56,M56+1,N56-(M56+1)))</f>
        <v>4403</v>
      </c>
      <c r="G56" s="6">
        <f>VALUE(MID($W56,N56+1,O56-(N56+1)))</f>
        <v>324</v>
      </c>
      <c r="H56" s="6">
        <f>VALUE(MID($W56,O56+1,P56-(O56+1)))</f>
        <v>1316</v>
      </c>
      <c r="I56" s="6">
        <f>VALUE(MID($W56,P56+1,Q56-(P56+1)))</f>
        <v>3170</v>
      </c>
      <c r="J56" s="6">
        <f>VALUE(MID($W56,Q56+1,R56-(Q56+1)))</f>
        <v>4743</v>
      </c>
      <c r="K56" s="4">
        <f>VALUE(MID(W56,R56+1,LEN(W56)-(R56)))</f>
        <v>4495</v>
      </c>
      <c r="L56" s="4">
        <f>SEARCH(",",W56,X56)</f>
        <v>16</v>
      </c>
      <c r="M56" s="4">
        <f>SEARCH(",",$W56,L56+1)</f>
        <v>22</v>
      </c>
      <c r="N56" s="4">
        <f>SEARCH(",",$W56,M56+1)</f>
        <v>28</v>
      </c>
      <c r="O56" s="4">
        <f>SEARCH(",",$W56,N56+1)</f>
        <v>33</v>
      </c>
      <c r="P56" s="4">
        <f>SEARCH(",",$W56,O56+1)</f>
        <v>39</v>
      </c>
      <c r="Q56" s="4">
        <f>SEARCH(",",$W56,P56+1)</f>
        <v>45</v>
      </c>
      <c r="R56" s="4">
        <f>SEARCH(",",$W56,Q56+1)</f>
        <v>51</v>
      </c>
      <c r="T56" t="s">
        <v>411</v>
      </c>
      <c r="U56">
        <f>SEARCH(":",T56)</f>
        <v>6</v>
      </c>
      <c r="V56" t="str">
        <f>MID(T56,U56+1,LEN(T56)-(U56))</f>
        <v xml:space="preserve"> 1169776 ** -320, -778, 4403, 324, 1316, 3170, 4743, 4495</v>
      </c>
      <c r="W56" t="str">
        <f>TRIM(V56)</f>
        <v>1169776 ** -320, -778, 4403, 324, 1316, 3170, 4743, 4495</v>
      </c>
      <c r="X56">
        <f>SEARCH("~*",W56)</f>
        <v>9</v>
      </c>
      <c r="Y56" t="str">
        <f>LEFT(W56,X56-1)</f>
        <v xml:space="preserve">1169776 </v>
      </c>
      <c r="AA56" t="str">
        <f>CONCATENATE(A56,",",D56,",",E56,",",F56,",",G56,",",H56,",",I56,",",J56,",",K56)</f>
        <v>1169776,-320,-778,4403,324,1316,3170,4743,4495</v>
      </c>
    </row>
    <row r="57" spans="1:27">
      <c r="A57" s="1">
        <f>IF(ISBLANK(T57),"",VALUE(Y57))</f>
        <v>1153745</v>
      </c>
      <c r="B57" s="1">
        <f>A57*4/10 -18</f>
        <v>461480</v>
      </c>
      <c r="C57" s="3">
        <f>B57/7000000</f>
        <v>6.5925714285714282E-2</v>
      </c>
      <c r="D57" s="6">
        <f>VALUE(MID(W57,$X57+2,L57-(X57+2)))</f>
        <v>-320</v>
      </c>
      <c r="E57" s="6">
        <f>VALUE(MID($W57,L57+1,M57-(L57+1)))</f>
        <v>-778</v>
      </c>
      <c r="F57" s="6">
        <f>VALUE(MID($W57,M57+1,N57-(M57+1)))</f>
        <v>4403</v>
      </c>
      <c r="G57" s="6">
        <f>VALUE(MID($W57,N57+1,O57-(N57+1)))</f>
        <v>324</v>
      </c>
      <c r="H57" s="6">
        <f>VALUE(MID($W57,O57+1,P57-(O57+1)))</f>
        <v>1316</v>
      </c>
      <c r="I57" s="6">
        <f>VALUE(MID($W57,P57+1,Q57-(P57+1)))</f>
        <v>3170</v>
      </c>
      <c r="J57" s="6">
        <f>VALUE(MID($W57,Q57+1,R57-(Q57+1)))</f>
        <v>4743</v>
      </c>
      <c r="K57" s="4">
        <f>VALUE(MID(W57,R57+1,LEN(W57)-(R57)))</f>
        <v>4495</v>
      </c>
      <c r="L57" s="4">
        <f>SEARCH(",",W57,X57)</f>
        <v>16</v>
      </c>
      <c r="M57" s="4">
        <f>SEARCH(",",$W57,L57+1)</f>
        <v>22</v>
      </c>
      <c r="N57" s="4">
        <f>SEARCH(",",$W57,M57+1)</f>
        <v>28</v>
      </c>
      <c r="O57" s="4">
        <f>SEARCH(",",$W57,N57+1)</f>
        <v>33</v>
      </c>
      <c r="P57" s="4">
        <f>SEARCH(",",$W57,O57+1)</f>
        <v>39</v>
      </c>
      <c r="Q57" s="4">
        <f>SEARCH(",",$W57,P57+1)</f>
        <v>45</v>
      </c>
      <c r="R57" s="4">
        <f>SEARCH(",",$W57,Q57+1)</f>
        <v>51</v>
      </c>
      <c r="T57" t="s">
        <v>454</v>
      </c>
      <c r="U57">
        <f>SEARCH(":",T57)</f>
        <v>6</v>
      </c>
      <c r="V57" t="str">
        <f>MID(T57,U57+1,LEN(T57)-(U57))</f>
        <v xml:space="preserve"> 1153745 ** -320, -778, 4403, 324, 1316, 3170, 4743, 4495</v>
      </c>
      <c r="W57" t="str">
        <f>TRIM(V57)</f>
        <v>1153745 ** -320, -778, 4403, 324, 1316, 3170, 4743, 4495</v>
      </c>
      <c r="X57">
        <f>SEARCH("~*",W57)</f>
        <v>9</v>
      </c>
      <c r="Y57" t="str">
        <f>LEFT(W57,X57-1)</f>
        <v xml:space="preserve">1153745 </v>
      </c>
      <c r="AA57" t="str">
        <f>CONCATENATE(A57,",",D57,",",E57,",",F57,",",G57,",",H57,",",I57,",",J57,",",K57)</f>
        <v>1153745,-320,-778,4403,324,1316,3170,4743,4495</v>
      </c>
    </row>
    <row r="58" spans="1:27">
      <c r="A58" s="1">
        <f>IF(ISBLANK(T58),"",VALUE(Y58))</f>
        <v>1147073</v>
      </c>
      <c r="B58" s="1">
        <f>A58*4/10 -18</f>
        <v>458811.2</v>
      </c>
      <c r="C58" s="3">
        <f>B58/7000000</f>
        <v>6.5544457142857143E-2</v>
      </c>
      <c r="D58" s="6">
        <f>VALUE(MID(W58,$X58+2,L58-(X58+2)))</f>
        <v>-320</v>
      </c>
      <c r="E58" s="6">
        <f>VALUE(MID($W58,L58+1,M58-(L58+1)))</f>
        <v>-778</v>
      </c>
      <c r="F58" s="6">
        <f>VALUE(MID($W58,M58+1,N58-(M58+1)))</f>
        <v>4403</v>
      </c>
      <c r="G58" s="6">
        <f>VALUE(MID($W58,N58+1,O58-(N58+1)))</f>
        <v>324</v>
      </c>
      <c r="H58" s="6">
        <f>VALUE(MID($W58,O58+1,P58-(O58+1)))</f>
        <v>1316</v>
      </c>
      <c r="I58" s="6">
        <f>VALUE(MID($W58,P58+1,Q58-(P58+1)))</f>
        <v>3170</v>
      </c>
      <c r="J58" s="6">
        <f>VALUE(MID($W58,Q58+1,R58-(Q58+1)))</f>
        <v>4743</v>
      </c>
      <c r="K58" s="4">
        <f>VALUE(MID(W58,R58+1,LEN(W58)-(R58)))</f>
        <v>4495</v>
      </c>
      <c r="L58" s="4">
        <f>SEARCH(",",W58,X58)</f>
        <v>16</v>
      </c>
      <c r="M58" s="4">
        <f>SEARCH(",",$W58,L58+1)</f>
        <v>22</v>
      </c>
      <c r="N58" s="4">
        <f>SEARCH(",",$W58,M58+1)</f>
        <v>28</v>
      </c>
      <c r="O58" s="4">
        <f>SEARCH(",",$W58,N58+1)</f>
        <v>33</v>
      </c>
      <c r="P58" s="4">
        <f>SEARCH(",",$W58,O58+1)</f>
        <v>39</v>
      </c>
      <c r="Q58" s="4">
        <f>SEARCH(",",$W58,P58+1)</f>
        <v>45</v>
      </c>
      <c r="R58" s="4">
        <f>SEARCH(",",$W58,Q58+1)</f>
        <v>51</v>
      </c>
      <c r="T58" t="s">
        <v>542</v>
      </c>
      <c r="U58">
        <f>SEARCH(":",T58)</f>
        <v>6</v>
      </c>
      <c r="V58" t="str">
        <f>MID(T58,U58+1,LEN(T58)-(U58))</f>
        <v xml:space="preserve"> 1147073 ** -320, -778, 4403, 324, 1316, 3170, 4743, 4495</v>
      </c>
      <c r="W58" t="str">
        <f>TRIM(V58)</f>
        <v>1147073 ** -320, -778, 4403, 324, 1316, 3170, 4743, 4495</v>
      </c>
      <c r="X58">
        <f>SEARCH("~*",W58)</f>
        <v>9</v>
      </c>
      <c r="Y58" t="str">
        <f>LEFT(W58,X58-1)</f>
        <v xml:space="preserve">1147073 </v>
      </c>
      <c r="AA58" t="str">
        <f>CONCATENATE(A58,",",D58,",",E58,",",F58,",",G58,",",H58,",",I58,",",J58,",",K58)</f>
        <v>1147073,-320,-778,4403,324,1316,3170,4743,4495</v>
      </c>
    </row>
    <row r="59" spans="1:27">
      <c r="A59" s="1">
        <f>IF(ISBLANK(T59),"",VALUE(Y59))</f>
        <v>1147061</v>
      </c>
      <c r="B59" s="1">
        <f>A59*4/10 -18</f>
        <v>458806.4</v>
      </c>
      <c r="C59" s="3">
        <f>B59/7000000</f>
        <v>6.5543771428571429E-2</v>
      </c>
      <c r="D59" s="6">
        <f>VALUE(MID(W59,$X59+2,L59-(X59+2)))</f>
        <v>-320</v>
      </c>
      <c r="E59" s="6">
        <f>VALUE(MID($W59,L59+1,M59-(L59+1)))</f>
        <v>-778</v>
      </c>
      <c r="F59" s="6">
        <f>VALUE(MID($W59,M59+1,N59-(M59+1)))</f>
        <v>4403</v>
      </c>
      <c r="G59" s="6">
        <f>VALUE(MID($W59,N59+1,O59-(N59+1)))</f>
        <v>324</v>
      </c>
      <c r="H59" s="6">
        <f>VALUE(MID($W59,O59+1,P59-(O59+1)))</f>
        <v>1316</v>
      </c>
      <c r="I59" s="6">
        <f>VALUE(MID($W59,P59+1,Q59-(P59+1)))</f>
        <v>3170</v>
      </c>
      <c r="J59" s="6">
        <f>VALUE(MID($W59,Q59+1,R59-(Q59+1)))</f>
        <v>4743</v>
      </c>
      <c r="K59" s="4">
        <f>VALUE(MID(W59,R59+1,LEN(W59)-(R59)))</f>
        <v>4495</v>
      </c>
      <c r="L59" s="4">
        <f>SEARCH(",",W59,X59)</f>
        <v>16</v>
      </c>
      <c r="M59" s="4">
        <f>SEARCH(",",$W59,L59+1)</f>
        <v>22</v>
      </c>
      <c r="N59" s="4">
        <f>SEARCH(",",$W59,M59+1)</f>
        <v>28</v>
      </c>
      <c r="O59" s="4">
        <f>SEARCH(",",$W59,N59+1)</f>
        <v>33</v>
      </c>
      <c r="P59" s="4">
        <f>SEARCH(",",$W59,O59+1)</f>
        <v>39</v>
      </c>
      <c r="Q59" s="4">
        <f>SEARCH(",",$W59,P59+1)</f>
        <v>45</v>
      </c>
      <c r="R59" s="4">
        <f>SEARCH(",",$W59,Q59+1)</f>
        <v>51</v>
      </c>
      <c r="T59" t="s">
        <v>480</v>
      </c>
      <c r="U59">
        <f>SEARCH(":",T59)</f>
        <v>6</v>
      </c>
      <c r="V59" t="str">
        <f>MID(T59,U59+1,LEN(T59)-(U59))</f>
        <v xml:space="preserve"> 1147061 ** -320, -778, 4403, 324, 1316, 3170, 4743, 4495</v>
      </c>
      <c r="W59" t="str">
        <f>TRIM(V59)</f>
        <v>1147061 ** -320, -778, 4403, 324, 1316, 3170, 4743, 4495</v>
      </c>
      <c r="X59">
        <f>SEARCH("~*",W59)</f>
        <v>9</v>
      </c>
      <c r="Y59" t="str">
        <f>LEFT(W59,X59-1)</f>
        <v xml:space="preserve">1147061 </v>
      </c>
      <c r="AA59" t="str">
        <f>CONCATENATE(A59,",",D59,",",E59,",",F59,",",G59,",",H59,",",I59,",",J59,",",K59)</f>
        <v>1147061,-320,-778,4403,324,1316,3170,4743,4495</v>
      </c>
    </row>
    <row r="60" spans="1:27">
      <c r="A60" s="1">
        <f>IF(ISBLANK(T60),"",VALUE(Y60))</f>
        <v>1127678</v>
      </c>
      <c r="B60" s="1">
        <f>A60*4/10 -18</f>
        <v>451053.2</v>
      </c>
      <c r="C60" s="3">
        <f>B60/7000000</f>
        <v>6.4436171428571429E-2</v>
      </c>
      <c r="D60" s="6">
        <f>VALUE(MID(W60,$X60+2,L60-(X60+2)))</f>
        <v>-320</v>
      </c>
      <c r="E60" s="6">
        <f>VALUE(MID($W60,L60+1,M60-(L60+1)))</f>
        <v>-778</v>
      </c>
      <c r="F60" s="6">
        <f>VALUE(MID($W60,M60+1,N60-(M60+1)))</f>
        <v>4403</v>
      </c>
      <c r="G60" s="6">
        <f>VALUE(MID($W60,N60+1,O60-(N60+1)))</f>
        <v>324</v>
      </c>
      <c r="H60" s="6">
        <f>VALUE(MID($W60,O60+1,P60-(O60+1)))</f>
        <v>1316</v>
      </c>
      <c r="I60" s="6">
        <f>VALUE(MID($W60,P60+1,Q60-(P60+1)))</f>
        <v>3170</v>
      </c>
      <c r="J60" s="6">
        <f>VALUE(MID($W60,Q60+1,R60-(Q60+1)))</f>
        <v>4743</v>
      </c>
      <c r="K60" s="4">
        <f>VALUE(MID(W60,R60+1,LEN(W60)-(R60)))</f>
        <v>4495</v>
      </c>
      <c r="L60" s="4">
        <f>SEARCH(",",W60,X60)</f>
        <v>16</v>
      </c>
      <c r="M60" s="4">
        <f>SEARCH(",",$W60,L60+1)</f>
        <v>22</v>
      </c>
      <c r="N60" s="4">
        <f>SEARCH(",",$W60,M60+1)</f>
        <v>28</v>
      </c>
      <c r="O60" s="4">
        <f>SEARCH(",",$W60,N60+1)</f>
        <v>33</v>
      </c>
      <c r="P60" s="4">
        <f>SEARCH(",",$W60,O60+1)</f>
        <v>39</v>
      </c>
      <c r="Q60" s="4">
        <f>SEARCH(",",$W60,P60+1)</f>
        <v>45</v>
      </c>
      <c r="R60" s="4">
        <f>SEARCH(",",$W60,Q60+1)</f>
        <v>51</v>
      </c>
      <c r="T60" t="s">
        <v>497</v>
      </c>
      <c r="U60">
        <f>SEARCH(":",T60)</f>
        <v>6</v>
      </c>
      <c r="V60" t="str">
        <f>MID(T60,U60+1,LEN(T60)-(U60))</f>
        <v xml:space="preserve"> 1127678 ** -320, -778, 4403, 324, 1316, 3170, 4743, 4495</v>
      </c>
      <c r="W60" t="str">
        <f>TRIM(V60)</f>
        <v>1127678 ** -320, -778, 4403, 324, 1316, 3170, 4743, 4495</v>
      </c>
      <c r="X60">
        <f>SEARCH("~*",W60)</f>
        <v>9</v>
      </c>
      <c r="Y60" t="str">
        <f>LEFT(W60,X60-1)</f>
        <v xml:space="preserve">1127678 </v>
      </c>
      <c r="AA60" t="str">
        <f>CONCATENATE(A60,",",D60,",",E60,",",F60,",",G60,",",H60,",",I60,",",J60,",",K60)</f>
        <v>1127678,-320,-778,4403,324,1316,3170,4743,4495</v>
      </c>
    </row>
    <row r="61" spans="1:27">
      <c r="A61" s="1">
        <f>IF(ISBLANK(T61),"",VALUE(Y61))</f>
        <v>1121071</v>
      </c>
      <c r="B61" s="1">
        <f>A61*4/10 -18</f>
        <v>448410.4</v>
      </c>
      <c r="C61" s="3">
        <f>B61/7000000</f>
        <v>6.4058628571428577E-2</v>
      </c>
      <c r="D61" s="6">
        <f>VALUE(MID(W61,$X61+2,L61-(X61+2)))</f>
        <v>-320</v>
      </c>
      <c r="E61" s="6">
        <f>VALUE(MID($W61,L61+1,M61-(L61+1)))</f>
        <v>-778</v>
      </c>
      <c r="F61" s="6">
        <f>VALUE(MID($W61,M61+1,N61-(M61+1)))</f>
        <v>4403</v>
      </c>
      <c r="G61" s="6">
        <f>VALUE(MID($W61,N61+1,O61-(N61+1)))</f>
        <v>324</v>
      </c>
      <c r="H61" s="6">
        <f>VALUE(MID($W61,O61+1,P61-(O61+1)))</f>
        <v>1316</v>
      </c>
      <c r="I61" s="6">
        <f>VALUE(MID($W61,P61+1,Q61-(P61+1)))</f>
        <v>3170</v>
      </c>
      <c r="J61" s="6">
        <f>VALUE(MID($W61,Q61+1,R61-(Q61+1)))</f>
        <v>4743</v>
      </c>
      <c r="K61" s="4">
        <f>VALUE(MID(W61,R61+1,LEN(W61)-(R61)))</f>
        <v>4495</v>
      </c>
      <c r="L61" s="4">
        <f>SEARCH(",",W61,X61)</f>
        <v>16</v>
      </c>
      <c r="M61" s="4">
        <f>SEARCH(",",$W61,L61+1)</f>
        <v>22</v>
      </c>
      <c r="N61" s="4">
        <f>SEARCH(",",$W61,M61+1)</f>
        <v>28</v>
      </c>
      <c r="O61" s="4">
        <f>SEARCH(",",$W61,N61+1)</f>
        <v>33</v>
      </c>
      <c r="P61" s="4">
        <f>SEARCH(",",$W61,O61+1)</f>
        <v>39</v>
      </c>
      <c r="Q61" s="4">
        <f>SEARCH(",",$W61,P61+1)</f>
        <v>45</v>
      </c>
      <c r="R61" s="4">
        <f>SEARCH(",",$W61,Q61+1)</f>
        <v>51</v>
      </c>
      <c r="T61" t="s">
        <v>494</v>
      </c>
      <c r="U61">
        <f>SEARCH(":",T61)</f>
        <v>6</v>
      </c>
      <c r="V61" t="str">
        <f>MID(T61,U61+1,LEN(T61)-(U61))</f>
        <v xml:space="preserve"> 1121071 ** -320, -778, 4403, 324, 1316, 3170, 4743, 4495</v>
      </c>
      <c r="W61" t="str">
        <f>TRIM(V61)</f>
        <v>1121071 ** -320, -778, 4403, 324, 1316, 3170, 4743, 4495</v>
      </c>
      <c r="X61">
        <f>SEARCH("~*",W61)</f>
        <v>9</v>
      </c>
      <c r="Y61" t="str">
        <f>LEFT(W61,X61-1)</f>
        <v xml:space="preserve">1121071 </v>
      </c>
      <c r="AA61" t="str">
        <f>CONCATENATE(A61,",",D61,",",E61,",",F61,",",G61,",",H61,",",I61,",",J61,",",K61)</f>
        <v>1121071,-320,-778,4403,324,1316,3170,4743,4495</v>
      </c>
    </row>
    <row r="62" spans="1:27">
      <c r="A62" s="1">
        <f>IF(ISBLANK(T62),"",VALUE(Y62))</f>
        <v>1096769</v>
      </c>
      <c r="B62" s="1">
        <f>A62*4/10 -18</f>
        <v>438689.6</v>
      </c>
      <c r="C62" s="3">
        <f>B62/7000000</f>
        <v>6.2669942857142849E-2</v>
      </c>
      <c r="D62" s="6">
        <f>VALUE(MID(W62,$X62+2,L62-(X62+2)))</f>
        <v>-320</v>
      </c>
      <c r="E62" s="6">
        <f>VALUE(MID($W62,L62+1,M62-(L62+1)))</f>
        <v>-778</v>
      </c>
      <c r="F62" s="6">
        <f>VALUE(MID($W62,M62+1,N62-(M62+1)))</f>
        <v>4403</v>
      </c>
      <c r="G62" s="6">
        <f>VALUE(MID($W62,N62+1,O62-(N62+1)))</f>
        <v>324</v>
      </c>
      <c r="H62" s="6">
        <f>VALUE(MID($W62,O62+1,P62-(O62+1)))</f>
        <v>1316</v>
      </c>
      <c r="I62" s="6">
        <f>VALUE(MID($W62,P62+1,Q62-(P62+1)))</f>
        <v>3170</v>
      </c>
      <c r="J62" s="6">
        <f>VALUE(MID($W62,Q62+1,R62-(Q62+1)))</f>
        <v>4743</v>
      </c>
      <c r="K62" s="4">
        <f>VALUE(MID(W62,R62+1,LEN(W62)-(R62)))</f>
        <v>4495</v>
      </c>
      <c r="L62" s="4">
        <f>SEARCH(",",W62,X62)</f>
        <v>16</v>
      </c>
      <c r="M62" s="4">
        <f>SEARCH(",",$W62,L62+1)</f>
        <v>22</v>
      </c>
      <c r="N62" s="4">
        <f>SEARCH(",",$W62,M62+1)</f>
        <v>28</v>
      </c>
      <c r="O62" s="4">
        <f>SEARCH(",",$W62,N62+1)</f>
        <v>33</v>
      </c>
      <c r="P62" s="4">
        <f>SEARCH(",",$W62,O62+1)</f>
        <v>39</v>
      </c>
      <c r="Q62" s="4">
        <f>SEARCH(",",$W62,P62+1)</f>
        <v>45</v>
      </c>
      <c r="R62" s="4">
        <f>SEARCH(",",$W62,Q62+1)</f>
        <v>51</v>
      </c>
      <c r="T62" t="s">
        <v>307</v>
      </c>
      <c r="U62">
        <f>SEARCH(":",T62)</f>
        <v>6</v>
      </c>
      <c r="V62" t="str">
        <f>MID(T62,U62+1,LEN(T62)-(U62))</f>
        <v xml:space="preserve"> 1096769 ** -320, -778, 4403, 324, 1316, 3170, 4743, 4495</v>
      </c>
      <c r="W62" t="str">
        <f>TRIM(V62)</f>
        <v>1096769 ** -320, -778, 4403, 324, 1316, 3170, 4743, 4495</v>
      </c>
      <c r="X62">
        <f>SEARCH("~*",W62)</f>
        <v>9</v>
      </c>
      <c r="Y62" t="str">
        <f>LEFT(W62,X62-1)</f>
        <v xml:space="preserve">1096769 </v>
      </c>
      <c r="AA62" t="str">
        <f>CONCATENATE(A62,",",D62,",",E62,",",F62,",",G62,",",H62,",",I62,",",J62,",",K62)</f>
        <v>1096769,-320,-778,4403,324,1316,3170,4743,4495</v>
      </c>
    </row>
    <row r="63" spans="1:27">
      <c r="A63" s="1">
        <f>IF(ISBLANK(T63),"",VALUE(Y63))</f>
        <v>1093763</v>
      </c>
      <c r="B63" s="1">
        <f>A63*4/10 -18</f>
        <v>437487.2</v>
      </c>
      <c r="C63" s="3">
        <f>B63/7000000</f>
        <v>6.2498171428571433E-2</v>
      </c>
      <c r="D63" s="6">
        <f>VALUE(MID(W63,$X63+2,L63-(X63+2)))</f>
        <v>-320</v>
      </c>
      <c r="E63" s="6">
        <f>VALUE(MID($W63,L63+1,M63-(L63+1)))</f>
        <v>-778</v>
      </c>
      <c r="F63" s="6">
        <f>VALUE(MID($W63,M63+1,N63-(M63+1)))</f>
        <v>4403</v>
      </c>
      <c r="G63" s="6">
        <f>VALUE(MID($W63,N63+1,O63-(N63+1)))</f>
        <v>324</v>
      </c>
      <c r="H63" s="6">
        <f>VALUE(MID($W63,O63+1,P63-(O63+1)))</f>
        <v>1316</v>
      </c>
      <c r="I63" s="6">
        <f>VALUE(MID($W63,P63+1,Q63-(P63+1)))</f>
        <v>3170</v>
      </c>
      <c r="J63" s="6">
        <f>VALUE(MID($W63,Q63+1,R63-(Q63+1)))</f>
        <v>4743</v>
      </c>
      <c r="K63" s="4">
        <f>VALUE(MID(W63,R63+1,LEN(W63)-(R63)))</f>
        <v>4495</v>
      </c>
      <c r="L63" s="4">
        <f>SEARCH(",",W63,X63)</f>
        <v>16</v>
      </c>
      <c r="M63" s="4">
        <f>SEARCH(",",$W63,L63+1)</f>
        <v>22</v>
      </c>
      <c r="N63" s="4">
        <f>SEARCH(",",$W63,M63+1)</f>
        <v>28</v>
      </c>
      <c r="O63" s="4">
        <f>SEARCH(",",$W63,N63+1)</f>
        <v>33</v>
      </c>
      <c r="P63" s="4">
        <f>SEARCH(",",$W63,O63+1)</f>
        <v>39</v>
      </c>
      <c r="Q63" s="4">
        <f>SEARCH(",",$W63,P63+1)</f>
        <v>45</v>
      </c>
      <c r="R63" s="4">
        <f>SEARCH(",",$W63,Q63+1)</f>
        <v>51</v>
      </c>
      <c r="T63" t="s">
        <v>405</v>
      </c>
      <c r="U63">
        <f>SEARCH(":",T63)</f>
        <v>6</v>
      </c>
      <c r="V63" t="str">
        <f>MID(T63,U63+1,LEN(T63)-(U63))</f>
        <v xml:space="preserve"> 1093763 ** -320, -778, 4403, 324, 1316, 3170, 4743, 4495</v>
      </c>
      <c r="W63" t="str">
        <f>TRIM(V63)</f>
        <v>1093763 ** -320, -778, 4403, 324, 1316, 3170, 4743, 4495</v>
      </c>
      <c r="X63">
        <f>SEARCH("~*",W63)</f>
        <v>9</v>
      </c>
      <c r="Y63" t="str">
        <f>LEFT(W63,X63-1)</f>
        <v xml:space="preserve">1093763 </v>
      </c>
      <c r="AA63" t="str">
        <f>CONCATENATE(A63,",",D63,",",E63,",",F63,",",G63,",",H63,",",I63,",",J63,",",K63)</f>
        <v>1093763,-320,-778,4403,324,1316,3170,4743,4495</v>
      </c>
    </row>
    <row r="64" spans="1:27">
      <c r="A64" s="1">
        <f>IF(ISBLANK(T64),"",VALUE(Y64))</f>
        <v>1089968</v>
      </c>
      <c r="B64" s="1">
        <f>A64*4/10 -18</f>
        <v>435969.2</v>
      </c>
      <c r="C64" s="3">
        <f>B64/7000000</f>
        <v>6.228131428571429E-2</v>
      </c>
      <c r="D64" s="6">
        <f>VALUE(MID(W64,$X64+2,L64-(X64+2)))</f>
        <v>-320</v>
      </c>
      <c r="E64" s="6">
        <f>VALUE(MID($W64,L64+1,M64-(L64+1)))</f>
        <v>-778</v>
      </c>
      <c r="F64" s="6">
        <f>VALUE(MID($W64,M64+1,N64-(M64+1)))</f>
        <v>4403</v>
      </c>
      <c r="G64" s="6">
        <f>VALUE(MID($W64,N64+1,O64-(N64+1)))</f>
        <v>324</v>
      </c>
      <c r="H64" s="6">
        <f>VALUE(MID($W64,O64+1,P64-(O64+1)))</f>
        <v>1316</v>
      </c>
      <c r="I64" s="6">
        <f>VALUE(MID($W64,P64+1,Q64-(P64+1)))</f>
        <v>3170</v>
      </c>
      <c r="J64" s="6">
        <f>VALUE(MID($W64,Q64+1,R64-(Q64+1)))</f>
        <v>4743</v>
      </c>
      <c r="K64" s="4">
        <f>VALUE(MID(W64,R64+1,LEN(W64)-(R64)))</f>
        <v>4495</v>
      </c>
      <c r="L64" s="4">
        <f>SEARCH(",",W64,X64)</f>
        <v>16</v>
      </c>
      <c r="M64" s="4">
        <f>SEARCH(",",$W64,L64+1)</f>
        <v>22</v>
      </c>
      <c r="N64" s="4">
        <f>SEARCH(",",$W64,M64+1)</f>
        <v>28</v>
      </c>
      <c r="O64" s="4">
        <f>SEARCH(",",$W64,N64+1)</f>
        <v>33</v>
      </c>
      <c r="P64" s="4">
        <f>SEARCH(",",$W64,O64+1)</f>
        <v>39</v>
      </c>
      <c r="Q64" s="4">
        <f>SEARCH(",",$W64,P64+1)</f>
        <v>45</v>
      </c>
      <c r="R64" s="4">
        <f>SEARCH(",",$W64,Q64+1)</f>
        <v>51</v>
      </c>
      <c r="T64" t="s">
        <v>539</v>
      </c>
      <c r="U64">
        <f>SEARCH(":",T64)</f>
        <v>6</v>
      </c>
      <c r="V64" t="str">
        <f>MID(T64,U64+1,LEN(T64)-(U64))</f>
        <v xml:space="preserve"> 1089968 ** -320, -778, 4403, 324, 1316, 3170, 4743, 4495</v>
      </c>
      <c r="W64" t="str">
        <f>TRIM(V64)</f>
        <v>1089968 ** -320, -778, 4403, 324, 1316, 3170, 4743, 4495</v>
      </c>
      <c r="X64">
        <f>SEARCH("~*",W64)</f>
        <v>9</v>
      </c>
      <c r="Y64" t="str">
        <f>LEFT(W64,X64-1)</f>
        <v xml:space="preserve">1089968 </v>
      </c>
      <c r="AA64" t="str">
        <f>CONCATENATE(A64,",",D64,",",E64,",",F64,",",G64,",",H64,",",I64,",",J64,",",K64)</f>
        <v>1089968,-320,-778,4403,324,1316,3170,4743,4495</v>
      </c>
    </row>
    <row r="65" spans="1:27">
      <c r="A65" s="1">
        <f>IF(ISBLANK(T65),"",VALUE(Y65))</f>
        <v>1089867</v>
      </c>
      <c r="B65" s="1">
        <f>A65*4/10 -18</f>
        <v>435928.8</v>
      </c>
      <c r="C65" s="3">
        <f>B65/7000000</f>
        <v>6.2275542857142853E-2</v>
      </c>
      <c r="D65" s="6">
        <f>VALUE(MID(W65,$X65+2,L65-(X65+2)))</f>
        <v>-320</v>
      </c>
      <c r="E65" s="6">
        <f>VALUE(MID($W65,L65+1,M65-(L65+1)))</f>
        <v>-778</v>
      </c>
      <c r="F65" s="6">
        <f>VALUE(MID($W65,M65+1,N65-(M65+1)))</f>
        <v>4403</v>
      </c>
      <c r="G65" s="6">
        <f>VALUE(MID($W65,N65+1,O65-(N65+1)))</f>
        <v>324</v>
      </c>
      <c r="H65" s="6">
        <f>VALUE(MID($W65,O65+1,P65-(O65+1)))</f>
        <v>1316</v>
      </c>
      <c r="I65" s="6">
        <f>VALUE(MID($W65,P65+1,Q65-(P65+1)))</f>
        <v>3170</v>
      </c>
      <c r="J65" s="6">
        <f>VALUE(MID($W65,Q65+1,R65-(Q65+1)))</f>
        <v>4743</v>
      </c>
      <c r="K65" s="4">
        <f>VALUE(MID(W65,R65+1,LEN(W65)-(R65)))</f>
        <v>4495</v>
      </c>
      <c r="L65" s="4">
        <f>SEARCH(",",W65,X65)</f>
        <v>16</v>
      </c>
      <c r="M65" s="4">
        <f>SEARCH(",",$W65,L65+1)</f>
        <v>22</v>
      </c>
      <c r="N65" s="4">
        <f>SEARCH(",",$W65,M65+1)</f>
        <v>28</v>
      </c>
      <c r="O65" s="4">
        <f>SEARCH(",",$W65,N65+1)</f>
        <v>33</v>
      </c>
      <c r="P65" s="4">
        <f>SEARCH(",",$W65,O65+1)</f>
        <v>39</v>
      </c>
      <c r="Q65" s="4">
        <f>SEARCH(",",$W65,P65+1)</f>
        <v>45</v>
      </c>
      <c r="R65" s="4">
        <f>SEARCH(",",$W65,Q65+1)</f>
        <v>51</v>
      </c>
      <c r="T65" t="s">
        <v>326</v>
      </c>
      <c r="U65">
        <f>SEARCH(":",T65)</f>
        <v>6</v>
      </c>
      <c r="V65" t="str">
        <f>MID(T65,U65+1,LEN(T65)-(U65))</f>
        <v xml:space="preserve"> 1089867 ** -320, -778, 4403, 324, 1316, 3170, 4743, 4495</v>
      </c>
      <c r="W65" t="str">
        <f>TRIM(V65)</f>
        <v>1089867 ** -320, -778, 4403, 324, 1316, 3170, 4743, 4495</v>
      </c>
      <c r="X65">
        <f>SEARCH("~*",W65)</f>
        <v>9</v>
      </c>
      <c r="Y65" t="str">
        <f>LEFT(W65,X65-1)</f>
        <v xml:space="preserve">1089867 </v>
      </c>
      <c r="AA65" t="str">
        <f>CONCATENATE(A65,",",D65,",",E65,",",F65,",",G65,",",H65,",",I65,",",J65,",",K65)</f>
        <v>1089867,-320,-778,4403,324,1316,3170,4743,4495</v>
      </c>
    </row>
    <row r="66" spans="1:27">
      <c r="A66" s="1">
        <f>IF(ISBLANK(T66),"",VALUE(Y66))</f>
        <v>1088405</v>
      </c>
      <c r="B66" s="1">
        <f>A66*4/10 -18</f>
        <v>435344</v>
      </c>
      <c r="C66" s="3">
        <f>B66/7000000</f>
        <v>6.2191999999999997E-2</v>
      </c>
      <c r="D66" s="6">
        <f>VALUE(MID(W66,$X66+2,L66-(X66+2)))</f>
        <v>-320</v>
      </c>
      <c r="E66" s="6">
        <f>VALUE(MID($W66,L66+1,M66-(L66+1)))</f>
        <v>-778</v>
      </c>
      <c r="F66" s="6">
        <f>VALUE(MID($W66,M66+1,N66-(M66+1)))</f>
        <v>4403</v>
      </c>
      <c r="G66" s="6">
        <f>VALUE(MID($W66,N66+1,O66-(N66+1)))</f>
        <v>324</v>
      </c>
      <c r="H66" s="6">
        <f>VALUE(MID($W66,O66+1,P66-(O66+1)))</f>
        <v>1316</v>
      </c>
      <c r="I66" s="6">
        <f>VALUE(MID($W66,P66+1,Q66-(P66+1)))</f>
        <v>3170</v>
      </c>
      <c r="J66" s="6">
        <f>VALUE(MID($W66,Q66+1,R66-(Q66+1)))</f>
        <v>4743</v>
      </c>
      <c r="K66" s="4">
        <f>VALUE(MID(W66,R66+1,LEN(W66)-(R66)))</f>
        <v>4495</v>
      </c>
      <c r="L66" s="4">
        <f>SEARCH(",",W66,X66)</f>
        <v>16</v>
      </c>
      <c r="M66" s="4">
        <f>SEARCH(",",$W66,L66+1)</f>
        <v>22</v>
      </c>
      <c r="N66" s="4">
        <f>SEARCH(",",$W66,M66+1)</f>
        <v>28</v>
      </c>
      <c r="O66" s="4">
        <f>SEARCH(",",$W66,N66+1)</f>
        <v>33</v>
      </c>
      <c r="P66" s="4">
        <f>SEARCH(",",$W66,O66+1)</f>
        <v>39</v>
      </c>
      <c r="Q66" s="4">
        <f>SEARCH(",",$W66,P66+1)</f>
        <v>45</v>
      </c>
      <c r="R66" s="4">
        <f>SEARCH(",",$W66,Q66+1)</f>
        <v>51</v>
      </c>
      <c r="T66" t="s">
        <v>461</v>
      </c>
      <c r="U66">
        <f>SEARCH(":",T66)</f>
        <v>6</v>
      </c>
      <c r="V66" t="str">
        <f>MID(T66,U66+1,LEN(T66)-(U66))</f>
        <v xml:space="preserve"> 1088405 ** -320, -778, 4403, 324, 1316, 3170, 4743, 4495</v>
      </c>
      <c r="W66" t="str">
        <f>TRIM(V66)</f>
        <v>1088405 ** -320, -778, 4403, 324, 1316, 3170, 4743, 4495</v>
      </c>
      <c r="X66">
        <f>SEARCH("~*",W66)</f>
        <v>9</v>
      </c>
      <c r="Y66" t="str">
        <f>LEFT(W66,X66-1)</f>
        <v xml:space="preserve">1088405 </v>
      </c>
      <c r="AA66" t="str">
        <f>CONCATENATE(A66,",",D66,",",E66,",",F66,",",G66,",",H66,",",I66,",",J66,",",K66)</f>
        <v>1088405,-320,-778,4403,324,1316,3170,4743,4495</v>
      </c>
    </row>
    <row r="67" spans="1:27">
      <c r="A67" s="1">
        <f>IF(ISBLANK(T67),"",VALUE(Y67))</f>
        <v>1079616</v>
      </c>
      <c r="B67" s="1">
        <f>A67*4/10 -18</f>
        <v>431828.4</v>
      </c>
      <c r="C67" s="3">
        <f>B67/7000000</f>
        <v>6.1689771428571433E-2</v>
      </c>
      <c r="D67" s="6">
        <f>VALUE(MID(W67,$X67+2,L67-(X67+2)))</f>
        <v>-320</v>
      </c>
      <c r="E67" s="6">
        <f>VALUE(MID($W67,L67+1,M67-(L67+1)))</f>
        <v>-778</v>
      </c>
      <c r="F67" s="6">
        <f>VALUE(MID($W67,M67+1,N67-(M67+1)))</f>
        <v>4403</v>
      </c>
      <c r="G67" s="6">
        <f>VALUE(MID($W67,N67+1,O67-(N67+1)))</f>
        <v>324</v>
      </c>
      <c r="H67" s="6">
        <f>VALUE(MID($W67,O67+1,P67-(O67+1)))</f>
        <v>1316</v>
      </c>
      <c r="I67" s="6">
        <f>VALUE(MID($W67,P67+1,Q67-(P67+1)))</f>
        <v>3170</v>
      </c>
      <c r="J67" s="6">
        <f>VALUE(MID($W67,Q67+1,R67-(Q67+1)))</f>
        <v>4743</v>
      </c>
      <c r="K67" s="4">
        <f>VALUE(MID(W67,R67+1,LEN(W67)-(R67)))</f>
        <v>4495</v>
      </c>
      <c r="L67" s="4">
        <f>SEARCH(",",W67,X67)</f>
        <v>16</v>
      </c>
      <c r="M67" s="4">
        <f>SEARCH(",",$W67,L67+1)</f>
        <v>22</v>
      </c>
      <c r="N67" s="4">
        <f>SEARCH(",",$W67,M67+1)</f>
        <v>28</v>
      </c>
      <c r="O67" s="4">
        <f>SEARCH(",",$W67,N67+1)</f>
        <v>33</v>
      </c>
      <c r="P67" s="4">
        <f>SEARCH(",",$W67,O67+1)</f>
        <v>39</v>
      </c>
      <c r="Q67" s="4">
        <f>SEARCH(",",$W67,P67+1)</f>
        <v>45</v>
      </c>
      <c r="R67" s="4">
        <f>SEARCH(",",$W67,Q67+1)</f>
        <v>51</v>
      </c>
      <c r="T67" t="s">
        <v>566</v>
      </c>
      <c r="U67">
        <f>SEARCH(":",T67)</f>
        <v>6</v>
      </c>
      <c r="V67" t="str">
        <f>MID(T67,U67+1,LEN(T67)-(U67))</f>
        <v xml:space="preserve"> 1079616 ** -320, -778, 4403, 324, 1316, 3170, 4743, 4495</v>
      </c>
      <c r="W67" t="str">
        <f>TRIM(V67)</f>
        <v>1079616 ** -320, -778, 4403, 324, 1316, 3170, 4743, 4495</v>
      </c>
      <c r="X67">
        <f>SEARCH("~*",W67)</f>
        <v>9</v>
      </c>
      <c r="Y67" t="str">
        <f>LEFT(W67,X67-1)</f>
        <v xml:space="preserve">1079616 </v>
      </c>
      <c r="AA67" t="str">
        <f>CONCATENATE(A67,",",D67,",",E67,",",F67,",",G67,",",H67,",",I67,",",J67,",",K67)</f>
        <v>1079616,-320,-778,4403,324,1316,3170,4743,4495</v>
      </c>
    </row>
    <row r="68" spans="1:27">
      <c r="A68" s="1">
        <f>IF(ISBLANK(T68),"",VALUE(Y68))</f>
        <v>1074120</v>
      </c>
      <c r="B68" s="1">
        <f>A68*4/10 -18</f>
        <v>429630</v>
      </c>
      <c r="C68" s="3">
        <f>B68/7000000</f>
        <v>6.1375714285714283E-2</v>
      </c>
      <c r="D68" s="6">
        <f>VALUE(MID(W68,$X68+2,L68-(X68+2)))</f>
        <v>-320</v>
      </c>
      <c r="E68" s="6">
        <f>VALUE(MID($W68,L68+1,M68-(L68+1)))</f>
        <v>-778</v>
      </c>
      <c r="F68" s="6">
        <f>VALUE(MID($W68,M68+1,N68-(M68+1)))</f>
        <v>4403</v>
      </c>
      <c r="G68" s="6">
        <f>VALUE(MID($W68,N68+1,O68-(N68+1)))</f>
        <v>324</v>
      </c>
      <c r="H68" s="6">
        <f>VALUE(MID($W68,O68+1,P68-(O68+1)))</f>
        <v>1316</v>
      </c>
      <c r="I68" s="6">
        <f>VALUE(MID($W68,P68+1,Q68-(P68+1)))</f>
        <v>3170</v>
      </c>
      <c r="J68" s="6">
        <f>VALUE(MID($W68,Q68+1,R68-(Q68+1)))</f>
        <v>4743</v>
      </c>
      <c r="K68" s="4">
        <f>VALUE(MID(W68,R68+1,LEN(W68)-(R68)))</f>
        <v>4495</v>
      </c>
      <c r="L68" s="4">
        <f>SEARCH(",",W68,X68)</f>
        <v>16</v>
      </c>
      <c r="M68" s="4">
        <f>SEARCH(",",$W68,L68+1)</f>
        <v>22</v>
      </c>
      <c r="N68" s="4">
        <f>SEARCH(",",$W68,M68+1)</f>
        <v>28</v>
      </c>
      <c r="O68" s="4">
        <f>SEARCH(",",$W68,N68+1)</f>
        <v>33</v>
      </c>
      <c r="P68" s="4">
        <f>SEARCH(",",$W68,O68+1)</f>
        <v>39</v>
      </c>
      <c r="Q68" s="4">
        <f>SEARCH(",",$W68,P68+1)</f>
        <v>45</v>
      </c>
      <c r="R68" s="4">
        <f>SEARCH(",",$W68,Q68+1)</f>
        <v>51</v>
      </c>
      <c r="T68" t="s">
        <v>309</v>
      </c>
      <c r="U68">
        <f>SEARCH(":",T68)</f>
        <v>6</v>
      </c>
      <c r="V68" t="str">
        <f>MID(T68,U68+1,LEN(T68)-(U68))</f>
        <v xml:space="preserve"> 1074120 ** -320, -778, 4403, 324, 1316, 3170, 4743, 4495</v>
      </c>
      <c r="W68" t="str">
        <f>TRIM(V68)</f>
        <v>1074120 ** -320, -778, 4403, 324, 1316, 3170, 4743, 4495</v>
      </c>
      <c r="X68">
        <f>SEARCH("~*",W68)</f>
        <v>9</v>
      </c>
      <c r="Y68" t="str">
        <f>LEFT(W68,X68-1)</f>
        <v xml:space="preserve">1074120 </v>
      </c>
      <c r="AA68" t="str">
        <f>CONCATENATE(A68,",",D68,",",E68,",",F68,",",G68,",",H68,",",I68,",",J68,",",K68)</f>
        <v>1074120,-320,-778,4403,324,1316,3170,4743,4495</v>
      </c>
    </row>
    <row r="69" spans="1:27">
      <c r="A69" s="1">
        <f>IF(ISBLANK(T69),"",VALUE(Y69))</f>
        <v>1049014</v>
      </c>
      <c r="B69" s="1">
        <f>A69*4/10 -18</f>
        <v>419587.6</v>
      </c>
      <c r="C69" s="3">
        <f>B69/7000000</f>
        <v>5.9941085714285712E-2</v>
      </c>
      <c r="D69" s="6">
        <f>VALUE(MID(W69,$X69+2,L69-(X69+2)))</f>
        <v>-320</v>
      </c>
      <c r="E69" s="6">
        <f>VALUE(MID($W69,L69+1,M69-(L69+1)))</f>
        <v>-778</v>
      </c>
      <c r="F69" s="6">
        <f>VALUE(MID($W69,M69+1,N69-(M69+1)))</f>
        <v>4403</v>
      </c>
      <c r="G69" s="6">
        <f>VALUE(MID($W69,N69+1,O69-(N69+1)))</f>
        <v>324</v>
      </c>
      <c r="H69" s="6">
        <f>VALUE(MID($W69,O69+1,P69-(O69+1)))</f>
        <v>1316</v>
      </c>
      <c r="I69" s="6">
        <f>VALUE(MID($W69,P69+1,Q69-(P69+1)))</f>
        <v>3170</v>
      </c>
      <c r="J69" s="6">
        <f>VALUE(MID($W69,Q69+1,R69-(Q69+1)))</f>
        <v>4743</v>
      </c>
      <c r="K69" s="4">
        <f>VALUE(MID(W69,R69+1,LEN(W69)-(R69)))</f>
        <v>4495</v>
      </c>
      <c r="L69" s="4">
        <f>SEARCH(",",W69,X69)</f>
        <v>16</v>
      </c>
      <c r="M69" s="4">
        <f>SEARCH(",",$W69,L69+1)</f>
        <v>22</v>
      </c>
      <c r="N69" s="4">
        <f>SEARCH(",",$W69,M69+1)</f>
        <v>28</v>
      </c>
      <c r="O69" s="4">
        <f>SEARCH(",",$W69,N69+1)</f>
        <v>33</v>
      </c>
      <c r="P69" s="4">
        <f>SEARCH(",",$W69,O69+1)</f>
        <v>39</v>
      </c>
      <c r="Q69" s="4">
        <f>SEARCH(",",$W69,P69+1)</f>
        <v>45</v>
      </c>
      <c r="R69" s="4">
        <f>SEARCH(",",$W69,Q69+1)</f>
        <v>51</v>
      </c>
      <c r="T69" t="s">
        <v>458</v>
      </c>
      <c r="U69">
        <f>SEARCH(":",T69)</f>
        <v>6</v>
      </c>
      <c r="V69" t="str">
        <f>MID(T69,U69+1,LEN(T69)-(U69))</f>
        <v xml:space="preserve"> 1049014 ** -320, -778, 4403, 324, 1316, 3170, 4743, 4495</v>
      </c>
      <c r="W69" t="str">
        <f>TRIM(V69)</f>
        <v>1049014 ** -320, -778, 4403, 324, 1316, 3170, 4743, 4495</v>
      </c>
      <c r="X69">
        <f>SEARCH("~*",W69)</f>
        <v>9</v>
      </c>
      <c r="Y69" t="str">
        <f>LEFT(W69,X69-1)</f>
        <v xml:space="preserve">1049014 </v>
      </c>
      <c r="AA69" t="str">
        <f>CONCATENATE(A69,",",D69,",",E69,",",F69,",",G69,",",H69,",",I69,",",J69,",",K69)</f>
        <v>1049014,-320,-778,4403,324,1316,3170,4743,4495</v>
      </c>
    </row>
    <row r="70" spans="1:27">
      <c r="A70" s="1">
        <f>IF(ISBLANK(T70),"",VALUE(Y70))</f>
        <v>1039533</v>
      </c>
      <c r="B70" s="1">
        <f>A70*4/10 -18</f>
        <v>415795.20000000001</v>
      </c>
      <c r="C70" s="3">
        <f>B70/7000000</f>
        <v>5.9399314285714287E-2</v>
      </c>
      <c r="D70" s="6">
        <f>VALUE(MID(W70,$X70+2,L70-(X70+2)))</f>
        <v>-320</v>
      </c>
      <c r="E70" s="6">
        <f>VALUE(MID($W70,L70+1,M70-(L70+1)))</f>
        <v>-778</v>
      </c>
      <c r="F70" s="6">
        <f>VALUE(MID($W70,M70+1,N70-(M70+1)))</f>
        <v>4403</v>
      </c>
      <c r="G70" s="6">
        <f>VALUE(MID($W70,N70+1,O70-(N70+1)))</f>
        <v>324</v>
      </c>
      <c r="H70" s="6">
        <f>VALUE(MID($W70,O70+1,P70-(O70+1)))</f>
        <v>1316</v>
      </c>
      <c r="I70" s="6">
        <f>VALUE(MID($W70,P70+1,Q70-(P70+1)))</f>
        <v>3170</v>
      </c>
      <c r="J70" s="6">
        <f>VALUE(MID($W70,Q70+1,R70-(Q70+1)))</f>
        <v>4743</v>
      </c>
      <c r="K70" s="4">
        <f>VALUE(MID(W70,R70+1,LEN(W70)-(R70)))</f>
        <v>4495</v>
      </c>
      <c r="L70" s="4">
        <f>SEARCH(",",W70,X70)</f>
        <v>16</v>
      </c>
      <c r="M70" s="4">
        <f>SEARCH(",",$W70,L70+1)</f>
        <v>22</v>
      </c>
      <c r="N70" s="4">
        <f>SEARCH(",",$W70,M70+1)</f>
        <v>28</v>
      </c>
      <c r="O70" s="4">
        <f>SEARCH(",",$W70,N70+1)</f>
        <v>33</v>
      </c>
      <c r="P70" s="4">
        <f>SEARCH(",",$W70,O70+1)</f>
        <v>39</v>
      </c>
      <c r="Q70" s="4">
        <f>SEARCH(",",$W70,P70+1)</f>
        <v>45</v>
      </c>
      <c r="R70" s="4">
        <f>SEARCH(",",$W70,Q70+1)</f>
        <v>51</v>
      </c>
      <c r="T70" t="s">
        <v>346</v>
      </c>
      <c r="U70">
        <f>SEARCH(":",T70)</f>
        <v>6</v>
      </c>
      <c r="V70" t="str">
        <f>MID(T70,U70+1,LEN(T70)-(U70))</f>
        <v xml:space="preserve"> 1039533 ** -320, -778, 4403, 324, 1316, 3170, 4743, 4495</v>
      </c>
      <c r="W70" t="str">
        <f>TRIM(V70)</f>
        <v>1039533 ** -320, -778, 4403, 324, 1316, 3170, 4743, 4495</v>
      </c>
      <c r="X70">
        <f>SEARCH("~*",W70)</f>
        <v>9</v>
      </c>
      <c r="Y70" t="str">
        <f>LEFT(W70,X70-1)</f>
        <v xml:space="preserve">1039533 </v>
      </c>
      <c r="AA70" t="str">
        <f>CONCATENATE(A70,",",D70,",",E70,",",F70,",",G70,",",H70,",",I70,",",J70,",",K70)</f>
        <v>1039533,-320,-778,4403,324,1316,3170,4743,4495</v>
      </c>
    </row>
    <row r="71" spans="1:27">
      <c r="A71" s="1">
        <f>IF(ISBLANK(T71),"",VALUE(Y71))</f>
        <v>1039277</v>
      </c>
      <c r="B71" s="1">
        <f>A71*4/10 -18</f>
        <v>415692.79999999999</v>
      </c>
      <c r="C71" s="3">
        <f>B71/7000000</f>
        <v>5.9384685714285713E-2</v>
      </c>
      <c r="D71" s="6">
        <f>VALUE(MID(W71,$X71+2,L71-(X71+2)))</f>
        <v>-320</v>
      </c>
      <c r="E71" s="6">
        <f>VALUE(MID($W71,L71+1,M71-(L71+1)))</f>
        <v>-778</v>
      </c>
      <c r="F71" s="6">
        <f>VALUE(MID($W71,M71+1,N71-(M71+1)))</f>
        <v>4403</v>
      </c>
      <c r="G71" s="6">
        <f>VALUE(MID($W71,N71+1,O71-(N71+1)))</f>
        <v>324</v>
      </c>
      <c r="H71" s="6">
        <f>VALUE(MID($W71,O71+1,P71-(O71+1)))</f>
        <v>1316</v>
      </c>
      <c r="I71" s="6">
        <f>VALUE(MID($W71,P71+1,Q71-(P71+1)))</f>
        <v>3170</v>
      </c>
      <c r="J71" s="6">
        <f>VALUE(MID($W71,Q71+1,R71-(Q71+1)))</f>
        <v>4743</v>
      </c>
      <c r="K71" s="4">
        <f>VALUE(MID(W71,R71+1,LEN(W71)-(R71)))</f>
        <v>4495</v>
      </c>
      <c r="L71" s="4">
        <f>SEARCH(",",W71,X71)</f>
        <v>16</v>
      </c>
      <c r="M71" s="4">
        <f>SEARCH(",",$W71,L71+1)</f>
        <v>22</v>
      </c>
      <c r="N71" s="4">
        <f>SEARCH(",",$W71,M71+1)</f>
        <v>28</v>
      </c>
      <c r="O71" s="4">
        <f>SEARCH(",",$W71,N71+1)</f>
        <v>33</v>
      </c>
      <c r="P71" s="4">
        <f>SEARCH(",",$W71,O71+1)</f>
        <v>39</v>
      </c>
      <c r="Q71" s="4">
        <f>SEARCH(",",$W71,P71+1)</f>
        <v>45</v>
      </c>
      <c r="R71" s="4">
        <f>SEARCH(",",$W71,Q71+1)</f>
        <v>51</v>
      </c>
      <c r="T71" t="s">
        <v>378</v>
      </c>
      <c r="U71">
        <f>SEARCH(":",T71)</f>
        <v>6</v>
      </c>
      <c r="V71" t="str">
        <f>MID(T71,U71+1,LEN(T71)-(U71))</f>
        <v xml:space="preserve"> 1039277 ** -320, -778, 4403, 324, 1316, 3170, 4743, 4495</v>
      </c>
      <c r="W71" t="str">
        <f>TRIM(V71)</f>
        <v>1039277 ** -320, -778, 4403, 324, 1316, 3170, 4743, 4495</v>
      </c>
      <c r="X71">
        <f>SEARCH("~*",W71)</f>
        <v>9</v>
      </c>
      <c r="Y71" t="str">
        <f>LEFT(W71,X71-1)</f>
        <v xml:space="preserve">1039277 </v>
      </c>
      <c r="AA71" t="str">
        <f>CONCATENATE(A71,",",D71,",",E71,",",F71,",",G71,",",H71,",",I71,",",J71,",",K71)</f>
        <v>1039277,-320,-778,4403,324,1316,3170,4743,4495</v>
      </c>
    </row>
    <row r="72" spans="1:27">
      <c r="A72" s="1">
        <f>IF(ISBLANK(T72),"",VALUE(Y72))</f>
        <v>1038081</v>
      </c>
      <c r="B72" s="1">
        <f>A72*4/10 -18</f>
        <v>415214.4</v>
      </c>
      <c r="C72" s="3">
        <f>B72/7000000</f>
        <v>5.9316342857142858E-2</v>
      </c>
      <c r="D72" s="6">
        <f>VALUE(MID(W72,$X72+2,L72-(X72+2)))</f>
        <v>-320</v>
      </c>
      <c r="E72" s="6">
        <f>VALUE(MID($W72,L72+1,M72-(L72+1)))</f>
        <v>-778</v>
      </c>
      <c r="F72" s="6">
        <f>VALUE(MID($W72,M72+1,N72-(M72+1)))</f>
        <v>4403</v>
      </c>
      <c r="G72" s="6">
        <f>VALUE(MID($W72,N72+1,O72-(N72+1)))</f>
        <v>324</v>
      </c>
      <c r="H72" s="6">
        <f>VALUE(MID($W72,O72+1,P72-(O72+1)))</f>
        <v>1316</v>
      </c>
      <c r="I72" s="6">
        <f>VALUE(MID($W72,P72+1,Q72-(P72+1)))</f>
        <v>3170</v>
      </c>
      <c r="J72" s="6">
        <f>VALUE(MID($W72,Q72+1,R72-(Q72+1)))</f>
        <v>4743</v>
      </c>
      <c r="K72" s="4">
        <f>VALUE(MID(W72,R72+1,LEN(W72)-(R72)))</f>
        <v>4495</v>
      </c>
      <c r="L72" s="4">
        <f>SEARCH(",",W72,X72)</f>
        <v>16</v>
      </c>
      <c r="M72" s="4">
        <f>SEARCH(",",$W72,L72+1)</f>
        <v>22</v>
      </c>
      <c r="N72" s="4">
        <f>SEARCH(",",$W72,M72+1)</f>
        <v>28</v>
      </c>
      <c r="O72" s="4">
        <f>SEARCH(",",$W72,N72+1)</f>
        <v>33</v>
      </c>
      <c r="P72" s="4">
        <f>SEARCH(",",$W72,O72+1)</f>
        <v>39</v>
      </c>
      <c r="Q72" s="4">
        <f>SEARCH(",",$W72,P72+1)</f>
        <v>45</v>
      </c>
      <c r="R72" s="4">
        <f>SEARCH(",",$W72,Q72+1)</f>
        <v>51</v>
      </c>
      <c r="T72" t="s">
        <v>453</v>
      </c>
      <c r="U72">
        <f>SEARCH(":",T72)</f>
        <v>6</v>
      </c>
      <c r="V72" t="str">
        <f>MID(T72,U72+1,LEN(T72)-(U72))</f>
        <v xml:space="preserve"> 1038081 ** -320, -778, 4403, 324, 1316, 3170, 4743, 4495</v>
      </c>
      <c r="W72" t="str">
        <f>TRIM(V72)</f>
        <v>1038081 ** -320, -778, 4403, 324, 1316, 3170, 4743, 4495</v>
      </c>
      <c r="X72">
        <f>SEARCH("~*",W72)</f>
        <v>9</v>
      </c>
      <c r="Y72" t="str">
        <f>LEFT(W72,X72-1)</f>
        <v xml:space="preserve">1038081 </v>
      </c>
      <c r="AA72" t="str">
        <f>CONCATENATE(A72,",",D72,",",E72,",",F72,",",G72,",",H72,",",I72,",",J72,",",K72)</f>
        <v>1038081,-320,-778,4403,324,1316,3170,4743,4495</v>
      </c>
    </row>
    <row r="73" spans="1:27">
      <c r="A73" s="1">
        <f>IF(ISBLANK(T73),"",VALUE(Y73))</f>
        <v>1014248</v>
      </c>
      <c r="B73" s="1">
        <f>A73*4/10 -18</f>
        <v>405681.2</v>
      </c>
      <c r="C73" s="3">
        <f>B73/7000000</f>
        <v>5.7954457142857144E-2</v>
      </c>
      <c r="D73" s="6">
        <f>VALUE(MID(W73,$X73+2,L73-(X73+2)))</f>
        <v>-320</v>
      </c>
      <c r="E73" s="6">
        <f>VALUE(MID($W73,L73+1,M73-(L73+1)))</f>
        <v>-778</v>
      </c>
      <c r="F73" s="6">
        <f>VALUE(MID($W73,M73+1,N73-(M73+1)))</f>
        <v>4403</v>
      </c>
      <c r="G73" s="6">
        <f>VALUE(MID($W73,N73+1,O73-(N73+1)))</f>
        <v>324</v>
      </c>
      <c r="H73" s="6">
        <f>VALUE(MID($W73,O73+1,P73-(O73+1)))</f>
        <v>1316</v>
      </c>
      <c r="I73" s="6">
        <f>VALUE(MID($W73,P73+1,Q73-(P73+1)))</f>
        <v>3170</v>
      </c>
      <c r="J73" s="6">
        <f>VALUE(MID($W73,Q73+1,R73-(Q73+1)))</f>
        <v>4743</v>
      </c>
      <c r="K73" s="4">
        <f>VALUE(MID(W73,R73+1,LEN(W73)-(R73)))</f>
        <v>4495</v>
      </c>
      <c r="L73" s="4">
        <f>SEARCH(",",W73,X73)</f>
        <v>16</v>
      </c>
      <c r="M73" s="4">
        <f>SEARCH(",",$W73,L73+1)</f>
        <v>22</v>
      </c>
      <c r="N73" s="4">
        <f>SEARCH(",",$W73,M73+1)</f>
        <v>28</v>
      </c>
      <c r="O73" s="4">
        <f>SEARCH(",",$W73,N73+1)</f>
        <v>33</v>
      </c>
      <c r="P73" s="4">
        <f>SEARCH(",",$W73,O73+1)</f>
        <v>39</v>
      </c>
      <c r="Q73" s="4">
        <f>SEARCH(",",$W73,P73+1)</f>
        <v>45</v>
      </c>
      <c r="R73" s="4">
        <f>SEARCH(",",$W73,Q73+1)</f>
        <v>51</v>
      </c>
      <c r="T73" t="s">
        <v>564</v>
      </c>
      <c r="U73">
        <f>SEARCH(":",T73)</f>
        <v>6</v>
      </c>
      <c r="V73" t="str">
        <f>MID(T73,U73+1,LEN(T73)-(U73))</f>
        <v xml:space="preserve"> 1014248 ** -320, -778, 4403, 324, 1316, 3170, 4743, 4495</v>
      </c>
      <c r="W73" t="str">
        <f>TRIM(V73)</f>
        <v>1014248 ** -320, -778, 4403, 324, 1316, 3170, 4743, 4495</v>
      </c>
      <c r="X73">
        <f>SEARCH("~*",W73)</f>
        <v>9</v>
      </c>
      <c r="Y73" t="str">
        <f>LEFT(W73,X73-1)</f>
        <v xml:space="preserve">1014248 </v>
      </c>
      <c r="AA73" t="str">
        <f>CONCATENATE(A73,",",D73,",",E73,",",F73,",",G73,",",H73,",",I73,",",J73,",",K73)</f>
        <v>1014248,-320,-778,4403,324,1316,3170,4743,4495</v>
      </c>
    </row>
    <row r="74" spans="1:27">
      <c r="A74" s="1">
        <f>IF(ISBLANK(T74),"",VALUE(Y74))</f>
        <v>997282</v>
      </c>
      <c r="B74" s="1">
        <f>A74*4/10 -18</f>
        <v>398894.8</v>
      </c>
      <c r="C74" s="3">
        <f>B74/7000000</f>
        <v>5.6984971428571424E-2</v>
      </c>
      <c r="D74" s="6">
        <f>VALUE(MID(W74,$X74+2,L74-(X74+2)))</f>
        <v>-320</v>
      </c>
      <c r="E74" s="6">
        <f>VALUE(MID($W74,L74+1,M74-(L74+1)))</f>
        <v>-778</v>
      </c>
      <c r="F74" s="6">
        <f>VALUE(MID($W74,M74+1,N74-(M74+1)))</f>
        <v>4403</v>
      </c>
      <c r="G74" s="6">
        <f>VALUE(MID($W74,N74+1,O74-(N74+1)))</f>
        <v>324</v>
      </c>
      <c r="H74" s="6">
        <f>VALUE(MID($W74,O74+1,P74-(O74+1)))</f>
        <v>1316</v>
      </c>
      <c r="I74" s="6">
        <f>VALUE(MID($W74,P74+1,Q74-(P74+1)))</f>
        <v>3170</v>
      </c>
      <c r="J74" s="6">
        <f>VALUE(MID($W74,Q74+1,R74-(Q74+1)))</f>
        <v>4743</v>
      </c>
      <c r="K74" s="4">
        <f>VALUE(MID(W74,R74+1,LEN(W74)-(R74)))</f>
        <v>4495</v>
      </c>
      <c r="L74" s="4">
        <f>SEARCH(",",W74,X74)</f>
        <v>15</v>
      </c>
      <c r="M74" s="4">
        <f>SEARCH(",",$W74,L74+1)</f>
        <v>21</v>
      </c>
      <c r="N74" s="4">
        <f>SEARCH(",",$W74,M74+1)</f>
        <v>27</v>
      </c>
      <c r="O74" s="4">
        <f>SEARCH(",",$W74,N74+1)</f>
        <v>32</v>
      </c>
      <c r="P74" s="4">
        <f>SEARCH(",",$W74,O74+1)</f>
        <v>38</v>
      </c>
      <c r="Q74" s="4">
        <f>SEARCH(",",$W74,P74+1)</f>
        <v>44</v>
      </c>
      <c r="R74" s="4">
        <f>SEARCH(",",$W74,Q74+1)</f>
        <v>50</v>
      </c>
      <c r="T74" t="s">
        <v>331</v>
      </c>
      <c r="U74">
        <f>SEARCH(":",T74)</f>
        <v>6</v>
      </c>
      <c r="V74" t="str">
        <f>MID(T74,U74+1,LEN(T74)-(U74))</f>
        <v xml:space="preserve"> 997282 ** -320, -778, 4403, 324, 1316, 3170, 4743, 4495</v>
      </c>
      <c r="W74" t="str">
        <f>TRIM(V74)</f>
        <v>997282 ** -320, -778, 4403, 324, 1316, 3170, 4743, 4495</v>
      </c>
      <c r="X74">
        <f>SEARCH("~*",W74)</f>
        <v>8</v>
      </c>
      <c r="Y74" t="str">
        <f>LEFT(W74,X74-1)</f>
        <v xml:space="preserve">997282 </v>
      </c>
      <c r="AA74" t="str">
        <f>CONCATENATE(A74,",",D74,",",E74,",",F74,",",G74,",",H74,",",I74,",",J74,",",K74)</f>
        <v>997282,-320,-778,4403,324,1316,3170,4743,4495</v>
      </c>
    </row>
    <row r="75" spans="1:27">
      <c r="A75" s="1">
        <f>IF(ISBLANK(T75),"",VALUE(Y75))</f>
        <v>994066</v>
      </c>
      <c r="B75" s="1">
        <f>A75*4/10 -18</f>
        <v>397608.4</v>
      </c>
      <c r="C75" s="3">
        <f>B75/7000000</f>
        <v>5.6801200000000003E-2</v>
      </c>
      <c r="D75" s="6">
        <f>VALUE(MID(W75,$X75+2,L75-(X75+2)))</f>
        <v>-320</v>
      </c>
      <c r="E75" s="6">
        <f>VALUE(MID($W75,L75+1,M75-(L75+1)))</f>
        <v>-778</v>
      </c>
      <c r="F75" s="6">
        <f>VALUE(MID($W75,M75+1,N75-(M75+1)))</f>
        <v>4403</v>
      </c>
      <c r="G75" s="6">
        <f>VALUE(MID($W75,N75+1,O75-(N75+1)))</f>
        <v>324</v>
      </c>
      <c r="H75" s="6">
        <f>VALUE(MID($W75,O75+1,P75-(O75+1)))</f>
        <v>1316</v>
      </c>
      <c r="I75" s="6">
        <f>VALUE(MID($W75,P75+1,Q75-(P75+1)))</f>
        <v>3170</v>
      </c>
      <c r="J75" s="6">
        <f>VALUE(MID($W75,Q75+1,R75-(Q75+1)))</f>
        <v>4743</v>
      </c>
      <c r="K75" s="4">
        <f>VALUE(MID(W75,R75+1,LEN(W75)-(R75)))</f>
        <v>4495</v>
      </c>
      <c r="L75" s="4">
        <f>SEARCH(",",W75,X75)</f>
        <v>15</v>
      </c>
      <c r="M75" s="4">
        <f>SEARCH(",",$W75,L75+1)</f>
        <v>21</v>
      </c>
      <c r="N75" s="4">
        <f>SEARCH(",",$W75,M75+1)</f>
        <v>27</v>
      </c>
      <c r="O75" s="4">
        <f>SEARCH(",",$W75,N75+1)</f>
        <v>32</v>
      </c>
      <c r="P75" s="4">
        <f>SEARCH(",",$W75,O75+1)</f>
        <v>38</v>
      </c>
      <c r="Q75" s="4">
        <f>SEARCH(",",$W75,P75+1)</f>
        <v>44</v>
      </c>
      <c r="R75" s="4">
        <f>SEARCH(",",$W75,Q75+1)</f>
        <v>50</v>
      </c>
      <c r="T75" t="s">
        <v>312</v>
      </c>
      <c r="U75">
        <f>SEARCH(":",T75)</f>
        <v>6</v>
      </c>
      <c r="V75" t="str">
        <f>MID(T75,U75+1,LEN(T75)-(U75))</f>
        <v xml:space="preserve"> 994066 ** -320, -778, 4403, 324, 1316, 3170, 4743, 4495</v>
      </c>
      <c r="W75" t="str">
        <f>TRIM(V75)</f>
        <v>994066 ** -320, -778, 4403, 324, 1316, 3170, 4743, 4495</v>
      </c>
      <c r="X75">
        <f>SEARCH("~*",W75)</f>
        <v>8</v>
      </c>
      <c r="Y75" t="str">
        <f>LEFT(W75,X75-1)</f>
        <v xml:space="preserve">994066 </v>
      </c>
      <c r="AA75" t="str">
        <f>CONCATENATE(A75,",",D75,",",E75,",",F75,",",G75,",",H75,",",I75,",",J75,",",K75)</f>
        <v>994066,-320,-778,4403,324,1316,3170,4743,4495</v>
      </c>
    </row>
    <row r="76" spans="1:27">
      <c r="A76" s="1">
        <f>IF(ISBLANK(T76),"",VALUE(Y76))</f>
        <v>983627</v>
      </c>
      <c r="B76" s="1">
        <f>A76*4/10 -18</f>
        <v>393432.8</v>
      </c>
      <c r="C76" s="3">
        <f>B76/7000000</f>
        <v>5.6204685714285711E-2</v>
      </c>
      <c r="D76" s="6">
        <f>VALUE(MID(W76,$X76+2,L76-(X76+2)))</f>
        <v>-320</v>
      </c>
      <c r="E76" s="6">
        <f>VALUE(MID($W76,L76+1,M76-(L76+1)))</f>
        <v>-778</v>
      </c>
      <c r="F76" s="6">
        <f>VALUE(MID($W76,M76+1,N76-(M76+1)))</f>
        <v>4403</v>
      </c>
      <c r="G76" s="6">
        <f>VALUE(MID($W76,N76+1,O76-(N76+1)))</f>
        <v>324</v>
      </c>
      <c r="H76" s="6">
        <f>VALUE(MID($W76,O76+1,P76-(O76+1)))</f>
        <v>1316</v>
      </c>
      <c r="I76" s="6">
        <f>VALUE(MID($W76,P76+1,Q76-(P76+1)))</f>
        <v>3170</v>
      </c>
      <c r="J76" s="6">
        <f>VALUE(MID($W76,Q76+1,R76-(Q76+1)))</f>
        <v>4743</v>
      </c>
      <c r="K76" s="4">
        <f>VALUE(MID(W76,R76+1,LEN(W76)-(R76)))</f>
        <v>4495</v>
      </c>
      <c r="L76" s="4">
        <f>SEARCH(",",W76,X76)</f>
        <v>15</v>
      </c>
      <c r="M76" s="4">
        <f>SEARCH(",",$W76,L76+1)</f>
        <v>21</v>
      </c>
      <c r="N76" s="4">
        <f>SEARCH(",",$W76,M76+1)</f>
        <v>27</v>
      </c>
      <c r="O76" s="4">
        <f>SEARCH(",",$W76,N76+1)</f>
        <v>32</v>
      </c>
      <c r="P76" s="4">
        <f>SEARCH(",",$W76,O76+1)</f>
        <v>38</v>
      </c>
      <c r="Q76" s="4">
        <f>SEARCH(",",$W76,P76+1)</f>
        <v>44</v>
      </c>
      <c r="R76" s="4">
        <f>SEARCH(",",$W76,Q76+1)</f>
        <v>50</v>
      </c>
      <c r="T76" t="s">
        <v>371</v>
      </c>
      <c r="U76">
        <f>SEARCH(":",T76)</f>
        <v>6</v>
      </c>
      <c r="V76" t="str">
        <f>MID(T76,U76+1,LEN(T76)-(U76))</f>
        <v xml:space="preserve"> 983627 ** -320, -778, 4403, 324, 1316, 3170, 4743, 4495</v>
      </c>
      <c r="W76" t="str">
        <f>TRIM(V76)</f>
        <v>983627 ** -320, -778, 4403, 324, 1316, 3170, 4743, 4495</v>
      </c>
      <c r="X76">
        <f>SEARCH("~*",W76)</f>
        <v>8</v>
      </c>
      <c r="Y76" t="str">
        <f>LEFT(W76,X76-1)</f>
        <v xml:space="preserve">983627 </v>
      </c>
      <c r="AA76" t="str">
        <f>CONCATENATE(A76,",",D76,",",E76,",",F76,",",G76,",",H76,",",I76,",",J76,",",K76)</f>
        <v>983627,-320,-778,4403,324,1316,3170,4743,4495</v>
      </c>
    </row>
    <row r="77" spans="1:27">
      <c r="A77" s="1">
        <f>IF(ISBLANK(T77),"",VALUE(Y77))</f>
        <v>979112</v>
      </c>
      <c r="B77" s="1">
        <f>A77*4/10 -18</f>
        <v>391626.8</v>
      </c>
      <c r="C77" s="3">
        <f>B77/7000000</f>
        <v>5.594668571428571E-2</v>
      </c>
      <c r="D77" s="6">
        <f>VALUE(MID(W77,$X77+2,L77-(X77+2)))</f>
        <v>-320</v>
      </c>
      <c r="E77" s="6">
        <f>VALUE(MID($W77,L77+1,M77-(L77+1)))</f>
        <v>-778</v>
      </c>
      <c r="F77" s="6">
        <f>VALUE(MID($W77,M77+1,N77-(M77+1)))</f>
        <v>4403</v>
      </c>
      <c r="G77" s="6">
        <f>VALUE(MID($W77,N77+1,O77-(N77+1)))</f>
        <v>324</v>
      </c>
      <c r="H77" s="6">
        <f>VALUE(MID($W77,O77+1,P77-(O77+1)))</f>
        <v>1316</v>
      </c>
      <c r="I77" s="6">
        <f>VALUE(MID($W77,P77+1,Q77-(P77+1)))</f>
        <v>3170</v>
      </c>
      <c r="J77" s="6">
        <f>VALUE(MID($W77,Q77+1,R77-(Q77+1)))</f>
        <v>4743</v>
      </c>
      <c r="K77" s="4">
        <f>VALUE(MID(W77,R77+1,LEN(W77)-(R77)))</f>
        <v>4495</v>
      </c>
      <c r="L77" s="4">
        <f>SEARCH(",",W77,X77)</f>
        <v>15</v>
      </c>
      <c r="M77" s="4">
        <f>SEARCH(",",$W77,L77+1)</f>
        <v>21</v>
      </c>
      <c r="N77" s="4">
        <f>SEARCH(",",$W77,M77+1)</f>
        <v>27</v>
      </c>
      <c r="O77" s="4">
        <f>SEARCH(",",$W77,N77+1)</f>
        <v>32</v>
      </c>
      <c r="P77" s="4">
        <f>SEARCH(",",$W77,O77+1)</f>
        <v>38</v>
      </c>
      <c r="Q77" s="4">
        <f>SEARCH(",",$W77,P77+1)</f>
        <v>44</v>
      </c>
      <c r="R77" s="4">
        <f>SEARCH(",",$W77,Q77+1)</f>
        <v>50</v>
      </c>
      <c r="T77" t="s">
        <v>452</v>
      </c>
      <c r="U77">
        <f>SEARCH(":",T77)</f>
        <v>6</v>
      </c>
      <c r="V77" t="str">
        <f>MID(T77,U77+1,LEN(T77)-(U77))</f>
        <v xml:space="preserve"> 979112 ** -320, -778, 4403, 324, 1316, 3170, 4743, 4495</v>
      </c>
      <c r="W77" t="str">
        <f>TRIM(V77)</f>
        <v>979112 ** -320, -778, 4403, 324, 1316, 3170, 4743, 4495</v>
      </c>
      <c r="X77">
        <f>SEARCH("~*",W77)</f>
        <v>8</v>
      </c>
      <c r="Y77" t="str">
        <f>LEFT(W77,X77-1)</f>
        <v xml:space="preserve">979112 </v>
      </c>
      <c r="AA77" t="str">
        <f>CONCATENATE(A77,",",D77,",",E77,",",F77,",",G77,",",H77,",",I77,",",J77,",",K77)</f>
        <v>979112,-320,-778,4403,324,1316,3170,4743,4495</v>
      </c>
    </row>
    <row r="78" spans="1:27">
      <c r="A78" s="1">
        <f>IF(ISBLANK(T78),"",VALUE(Y78))</f>
        <v>974726</v>
      </c>
      <c r="B78" s="1">
        <f>A78*4/10 -18</f>
        <v>389872.4</v>
      </c>
      <c r="C78" s="3">
        <f>B78/7000000</f>
        <v>5.5696057142857143E-2</v>
      </c>
      <c r="D78" s="6">
        <f>VALUE(MID(W78,$X78+2,L78-(X78+2)))</f>
        <v>-320</v>
      </c>
      <c r="E78" s="6">
        <f>VALUE(MID($W78,L78+1,M78-(L78+1)))</f>
        <v>-778</v>
      </c>
      <c r="F78" s="6">
        <f>VALUE(MID($W78,M78+1,N78-(M78+1)))</f>
        <v>4403</v>
      </c>
      <c r="G78" s="6">
        <f>VALUE(MID($W78,N78+1,O78-(N78+1)))</f>
        <v>324</v>
      </c>
      <c r="H78" s="6">
        <f>VALUE(MID($W78,O78+1,P78-(O78+1)))</f>
        <v>1316</v>
      </c>
      <c r="I78" s="6">
        <f>VALUE(MID($W78,P78+1,Q78-(P78+1)))</f>
        <v>3170</v>
      </c>
      <c r="J78" s="6">
        <f>VALUE(MID($W78,Q78+1,R78-(Q78+1)))</f>
        <v>4743</v>
      </c>
      <c r="K78" s="4">
        <f>VALUE(MID(W78,R78+1,LEN(W78)-(R78)))</f>
        <v>4495</v>
      </c>
      <c r="L78" s="4">
        <f>SEARCH(",",W78,X78)</f>
        <v>15</v>
      </c>
      <c r="M78" s="4">
        <f>SEARCH(",",$W78,L78+1)</f>
        <v>21</v>
      </c>
      <c r="N78" s="4">
        <f>SEARCH(",",$W78,M78+1)</f>
        <v>27</v>
      </c>
      <c r="O78" s="4">
        <f>SEARCH(",",$W78,N78+1)</f>
        <v>32</v>
      </c>
      <c r="P78" s="4">
        <f>SEARCH(",",$W78,O78+1)</f>
        <v>38</v>
      </c>
      <c r="Q78" s="4">
        <f>SEARCH(",",$W78,P78+1)</f>
        <v>44</v>
      </c>
      <c r="R78" s="4">
        <f>SEARCH(",",$W78,Q78+1)</f>
        <v>50</v>
      </c>
      <c r="T78" t="s">
        <v>316</v>
      </c>
      <c r="U78">
        <f>SEARCH(":",T78)</f>
        <v>6</v>
      </c>
      <c r="V78" t="str">
        <f>MID(T78,U78+1,LEN(T78)-(U78))</f>
        <v xml:space="preserve"> 974726 ** -320, -778, 4403, 324, 1316, 3170, 4743, 4495</v>
      </c>
      <c r="W78" t="str">
        <f>TRIM(V78)</f>
        <v>974726 ** -320, -778, 4403, 324, 1316, 3170, 4743, 4495</v>
      </c>
      <c r="X78">
        <f>SEARCH("~*",W78)</f>
        <v>8</v>
      </c>
      <c r="Y78" t="str">
        <f>LEFT(W78,X78-1)</f>
        <v xml:space="preserve">974726 </v>
      </c>
      <c r="AA78" t="str">
        <f>CONCATENATE(A78,",",D78,",",E78,",",F78,",",G78,",",H78,",",I78,",",J78,",",K78)</f>
        <v>974726,-320,-778,4403,324,1316,3170,4743,4495</v>
      </c>
    </row>
    <row r="79" spans="1:27">
      <c r="A79" s="1">
        <f>IF(ISBLANK(T79),"",VALUE(Y79))</f>
        <v>974552</v>
      </c>
      <c r="B79" s="1">
        <f>A79*4/10 -18</f>
        <v>389802.8</v>
      </c>
      <c r="C79" s="3">
        <f>B79/7000000</f>
        <v>5.5686114285714287E-2</v>
      </c>
      <c r="D79" s="6">
        <f>VALUE(MID(W79,$X79+2,L79-(X79+2)))</f>
        <v>-320</v>
      </c>
      <c r="E79" s="6">
        <f>VALUE(MID($W79,L79+1,M79-(L79+1)))</f>
        <v>-778</v>
      </c>
      <c r="F79" s="6">
        <f>VALUE(MID($W79,M79+1,N79-(M79+1)))</f>
        <v>4403</v>
      </c>
      <c r="G79" s="6">
        <f>VALUE(MID($W79,N79+1,O79-(N79+1)))</f>
        <v>324</v>
      </c>
      <c r="H79" s="6">
        <f>VALUE(MID($W79,O79+1,P79-(O79+1)))</f>
        <v>1316</v>
      </c>
      <c r="I79" s="6">
        <f>VALUE(MID($W79,P79+1,Q79-(P79+1)))</f>
        <v>3170</v>
      </c>
      <c r="J79" s="6">
        <f>VALUE(MID($W79,Q79+1,R79-(Q79+1)))</f>
        <v>4743</v>
      </c>
      <c r="K79" s="4">
        <f>VALUE(MID(W79,R79+1,LEN(W79)-(R79)))</f>
        <v>4495</v>
      </c>
      <c r="L79" s="4">
        <f>SEARCH(",",W79,X79)</f>
        <v>15</v>
      </c>
      <c r="M79" s="4">
        <f>SEARCH(",",$W79,L79+1)</f>
        <v>21</v>
      </c>
      <c r="N79" s="4">
        <f>SEARCH(",",$W79,M79+1)</f>
        <v>27</v>
      </c>
      <c r="O79" s="4">
        <f>SEARCH(",",$W79,N79+1)</f>
        <v>32</v>
      </c>
      <c r="P79" s="4">
        <f>SEARCH(",",$W79,O79+1)</f>
        <v>38</v>
      </c>
      <c r="Q79" s="4">
        <f>SEARCH(",",$W79,P79+1)</f>
        <v>44</v>
      </c>
      <c r="R79" s="4">
        <f>SEARCH(",",$W79,Q79+1)</f>
        <v>50</v>
      </c>
      <c r="T79" t="s">
        <v>349</v>
      </c>
      <c r="U79">
        <f>SEARCH(":",T79)</f>
        <v>6</v>
      </c>
      <c r="V79" t="str">
        <f>MID(T79,U79+1,LEN(T79)-(U79))</f>
        <v xml:space="preserve"> 974552 ** -320, -778, 4403, 324, 1316, 3170, 4743, 4495</v>
      </c>
      <c r="W79" t="str">
        <f>TRIM(V79)</f>
        <v>974552 ** -320, -778, 4403, 324, 1316, 3170, 4743, 4495</v>
      </c>
      <c r="X79">
        <f>SEARCH("~*",W79)</f>
        <v>8</v>
      </c>
      <c r="Y79" t="str">
        <f>LEFT(W79,X79-1)</f>
        <v xml:space="preserve">974552 </v>
      </c>
      <c r="AA79" t="str">
        <f>CONCATENATE(A79,",",D79,",",E79,",",F79,",",G79,",",H79,",",I79,",",J79,",",K79)</f>
        <v>974552,-320,-778,4403,324,1316,3170,4743,4495</v>
      </c>
    </row>
    <row r="80" spans="1:27">
      <c r="A80" s="1">
        <f>IF(ISBLANK(T80),"",VALUE(Y80))</f>
        <v>970660</v>
      </c>
      <c r="B80" s="1">
        <f>A80*4/10 -18</f>
        <v>388246</v>
      </c>
      <c r="C80" s="3">
        <f>B80/7000000</f>
        <v>5.5463714285714283E-2</v>
      </c>
      <c r="D80" s="6">
        <f>VALUE(MID(W80,$X80+2,L80-(X80+2)))</f>
        <v>-320</v>
      </c>
      <c r="E80" s="6">
        <f>VALUE(MID($W80,L80+1,M80-(L80+1)))</f>
        <v>-778</v>
      </c>
      <c r="F80" s="6">
        <f>VALUE(MID($W80,M80+1,N80-(M80+1)))</f>
        <v>4403</v>
      </c>
      <c r="G80" s="6">
        <f>VALUE(MID($W80,N80+1,O80-(N80+1)))</f>
        <v>324</v>
      </c>
      <c r="H80" s="6">
        <f>VALUE(MID($W80,O80+1,P80-(O80+1)))</f>
        <v>1316</v>
      </c>
      <c r="I80" s="6">
        <f>VALUE(MID($W80,P80+1,Q80-(P80+1)))</f>
        <v>3170</v>
      </c>
      <c r="J80" s="6">
        <f>VALUE(MID($W80,Q80+1,R80-(Q80+1)))</f>
        <v>4743</v>
      </c>
      <c r="K80" s="4">
        <f>VALUE(MID(W80,R80+1,LEN(W80)-(R80)))</f>
        <v>4495</v>
      </c>
      <c r="L80" s="4">
        <f>SEARCH(",",W80,X80)</f>
        <v>15</v>
      </c>
      <c r="M80" s="4">
        <f>SEARCH(",",$W80,L80+1)</f>
        <v>21</v>
      </c>
      <c r="N80" s="4">
        <f>SEARCH(",",$W80,M80+1)</f>
        <v>27</v>
      </c>
      <c r="O80" s="4">
        <f>SEARCH(",",$W80,N80+1)</f>
        <v>32</v>
      </c>
      <c r="P80" s="4">
        <f>SEARCH(",",$W80,O80+1)</f>
        <v>38</v>
      </c>
      <c r="Q80" s="4">
        <f>SEARCH(",",$W80,P80+1)</f>
        <v>44</v>
      </c>
      <c r="R80" s="4">
        <f>SEARCH(",",$W80,Q80+1)</f>
        <v>50</v>
      </c>
      <c r="T80" t="s">
        <v>431</v>
      </c>
      <c r="U80">
        <f>SEARCH(":",T80)</f>
        <v>6</v>
      </c>
      <c r="V80" t="str">
        <f>MID(T80,U80+1,LEN(T80)-(U80))</f>
        <v xml:space="preserve"> 970660 ** -320, -778, 4403, 324, 1316, 3170, 4743, 4495</v>
      </c>
      <c r="W80" t="str">
        <f>TRIM(V80)</f>
        <v>970660 ** -320, -778, 4403, 324, 1316, 3170, 4743, 4495</v>
      </c>
      <c r="X80">
        <f>SEARCH("~*",W80)</f>
        <v>8</v>
      </c>
      <c r="Y80" t="str">
        <f>LEFT(W80,X80-1)</f>
        <v xml:space="preserve">970660 </v>
      </c>
      <c r="AA80" t="str">
        <f>CONCATENATE(A80,",",D80,",",E80,",",F80,",",G80,",",H80,",",I80,",",J80,",",K80)</f>
        <v>970660,-320,-778,4403,324,1316,3170,4743,4495</v>
      </c>
    </row>
    <row r="81" spans="1:27">
      <c r="A81" s="1">
        <f>IF(ISBLANK(T81),"",VALUE(Y81))</f>
        <v>967558</v>
      </c>
      <c r="B81" s="1">
        <f>A81*4/10 -18</f>
        <v>387005.2</v>
      </c>
      <c r="C81" s="3">
        <f>B81/7000000</f>
        <v>5.5286457142857147E-2</v>
      </c>
      <c r="D81" s="6">
        <f>VALUE(MID(W81,$X81+2,L81-(X81+2)))</f>
        <v>-320</v>
      </c>
      <c r="E81" s="6">
        <f>VALUE(MID($W81,L81+1,M81-(L81+1)))</f>
        <v>-778</v>
      </c>
      <c r="F81" s="6">
        <f>VALUE(MID($W81,M81+1,N81-(M81+1)))</f>
        <v>4403</v>
      </c>
      <c r="G81" s="6">
        <f>VALUE(MID($W81,N81+1,O81-(N81+1)))</f>
        <v>324</v>
      </c>
      <c r="H81" s="6">
        <f>VALUE(MID($W81,O81+1,P81-(O81+1)))</f>
        <v>1316</v>
      </c>
      <c r="I81" s="6">
        <f>VALUE(MID($W81,P81+1,Q81-(P81+1)))</f>
        <v>3170</v>
      </c>
      <c r="J81" s="6">
        <f>VALUE(MID($W81,Q81+1,R81-(Q81+1)))</f>
        <v>4743</v>
      </c>
      <c r="K81" s="4">
        <f>VALUE(MID(W81,R81+1,LEN(W81)-(R81)))</f>
        <v>4495</v>
      </c>
      <c r="L81" s="4">
        <f>SEARCH(",",W81,X81)</f>
        <v>15</v>
      </c>
      <c r="M81" s="4">
        <f>SEARCH(",",$W81,L81+1)</f>
        <v>21</v>
      </c>
      <c r="N81" s="4">
        <f>SEARCH(",",$W81,M81+1)</f>
        <v>27</v>
      </c>
      <c r="O81" s="4">
        <f>SEARCH(",",$W81,N81+1)</f>
        <v>32</v>
      </c>
      <c r="P81" s="4">
        <f>SEARCH(",",$W81,O81+1)</f>
        <v>38</v>
      </c>
      <c r="Q81" s="4">
        <f>SEARCH(",",$W81,P81+1)</f>
        <v>44</v>
      </c>
      <c r="R81" s="4">
        <f>SEARCH(",",$W81,Q81+1)</f>
        <v>50</v>
      </c>
      <c r="T81" t="s">
        <v>556</v>
      </c>
      <c r="U81">
        <f>SEARCH(":",T81)</f>
        <v>6</v>
      </c>
      <c r="V81" t="str">
        <f>MID(T81,U81+1,LEN(T81)-(U81))</f>
        <v xml:space="preserve"> 967558 ** -320, -778, 4403, 324, 1316, 3170, 4743, 4495</v>
      </c>
      <c r="W81" t="str">
        <f>TRIM(V81)</f>
        <v>967558 ** -320, -778, 4403, 324, 1316, 3170, 4743, 4495</v>
      </c>
      <c r="X81">
        <f>SEARCH("~*",W81)</f>
        <v>8</v>
      </c>
      <c r="Y81" t="str">
        <f>LEFT(W81,X81-1)</f>
        <v xml:space="preserve">967558 </v>
      </c>
      <c r="AA81" t="str">
        <f>CONCATENATE(A81,",",D81,",",E81,",",F81,",",G81,",",H81,",",I81,",",J81,",",K81)</f>
        <v>967558,-320,-778,4403,324,1316,3170,4743,4495</v>
      </c>
    </row>
    <row r="82" spans="1:27">
      <c r="A82" s="1">
        <f>IF(ISBLANK(T82),"",VALUE(Y82))</f>
        <v>961342</v>
      </c>
      <c r="B82" s="1">
        <f>A82*4/10 -18</f>
        <v>384518.8</v>
      </c>
      <c r="C82" s="3">
        <f>B82/7000000</f>
        <v>5.493125714285714E-2</v>
      </c>
      <c r="D82" s="6">
        <f>VALUE(MID(W82,$X82+2,L82-(X82+2)))</f>
        <v>-320</v>
      </c>
      <c r="E82" s="6">
        <f>VALUE(MID($W82,L82+1,M82-(L82+1)))</f>
        <v>-778</v>
      </c>
      <c r="F82" s="6">
        <f>VALUE(MID($W82,M82+1,N82-(M82+1)))</f>
        <v>4403</v>
      </c>
      <c r="G82" s="6">
        <f>VALUE(MID($W82,N82+1,O82-(N82+1)))</f>
        <v>324</v>
      </c>
      <c r="H82" s="6">
        <f>VALUE(MID($W82,O82+1,P82-(O82+1)))</f>
        <v>1316</v>
      </c>
      <c r="I82" s="6">
        <f>VALUE(MID($W82,P82+1,Q82-(P82+1)))</f>
        <v>3170</v>
      </c>
      <c r="J82" s="6">
        <f>VALUE(MID($W82,Q82+1,R82-(Q82+1)))</f>
        <v>4743</v>
      </c>
      <c r="K82" s="4">
        <f>VALUE(MID(W82,R82+1,LEN(W82)-(R82)))</f>
        <v>4495</v>
      </c>
      <c r="L82" s="4">
        <f>SEARCH(",",W82,X82)</f>
        <v>15</v>
      </c>
      <c r="M82" s="4">
        <f>SEARCH(",",$W82,L82+1)</f>
        <v>21</v>
      </c>
      <c r="N82" s="4">
        <f>SEARCH(",",$W82,M82+1)</f>
        <v>27</v>
      </c>
      <c r="O82" s="4">
        <f>SEARCH(",",$W82,N82+1)</f>
        <v>32</v>
      </c>
      <c r="P82" s="4">
        <f>SEARCH(",",$W82,O82+1)</f>
        <v>38</v>
      </c>
      <c r="Q82" s="4">
        <f>SEARCH(",",$W82,P82+1)</f>
        <v>44</v>
      </c>
      <c r="R82" s="4">
        <f>SEARCH(",",$W82,Q82+1)</f>
        <v>50</v>
      </c>
      <c r="T82" t="s">
        <v>408</v>
      </c>
      <c r="U82">
        <f>SEARCH(":",T82)</f>
        <v>6</v>
      </c>
      <c r="V82" t="str">
        <f>MID(T82,U82+1,LEN(T82)-(U82))</f>
        <v xml:space="preserve"> 961342 ** -320, -778, 4403, 324, 1316, 3170, 4743, 4495</v>
      </c>
      <c r="W82" t="str">
        <f>TRIM(V82)</f>
        <v>961342 ** -320, -778, 4403, 324, 1316, 3170, 4743, 4495</v>
      </c>
      <c r="X82">
        <f>SEARCH("~*",W82)</f>
        <v>8</v>
      </c>
      <c r="Y82" t="str">
        <f>LEFT(W82,X82-1)</f>
        <v xml:space="preserve">961342 </v>
      </c>
      <c r="AA82" t="str">
        <f>CONCATENATE(A82,",",D82,",",E82,",",F82,",",G82,",",H82,",",I82,",",J82,",",K82)</f>
        <v>961342,-320,-778,4403,324,1316,3170,4743,4495</v>
      </c>
    </row>
    <row r="83" spans="1:27">
      <c r="A83" s="1">
        <f>IF(ISBLANK(T83),"",VALUE(Y83))</f>
        <v>959953</v>
      </c>
      <c r="B83" s="1">
        <f>A83*4/10 -18</f>
        <v>383963.2</v>
      </c>
      <c r="C83" s="3">
        <f>B83/7000000</f>
        <v>5.4851885714285717E-2</v>
      </c>
      <c r="D83" s="6">
        <f>VALUE(MID(W83,$X83+2,L83-(X83+2)))</f>
        <v>-320</v>
      </c>
      <c r="E83" s="6">
        <f>VALUE(MID($W83,L83+1,M83-(L83+1)))</f>
        <v>-778</v>
      </c>
      <c r="F83" s="6">
        <f>VALUE(MID($W83,M83+1,N83-(M83+1)))</f>
        <v>4403</v>
      </c>
      <c r="G83" s="6">
        <f>VALUE(MID($W83,N83+1,O83-(N83+1)))</f>
        <v>324</v>
      </c>
      <c r="H83" s="6">
        <f>VALUE(MID($W83,O83+1,P83-(O83+1)))</f>
        <v>1316</v>
      </c>
      <c r="I83" s="6">
        <f>VALUE(MID($W83,P83+1,Q83-(P83+1)))</f>
        <v>3170</v>
      </c>
      <c r="J83" s="6">
        <f>VALUE(MID($W83,Q83+1,R83-(Q83+1)))</f>
        <v>4743</v>
      </c>
      <c r="K83" s="4">
        <f>VALUE(MID(W83,R83+1,LEN(W83)-(R83)))</f>
        <v>4495</v>
      </c>
      <c r="L83" s="4">
        <f>SEARCH(",",W83,X83)</f>
        <v>15</v>
      </c>
      <c r="M83" s="4">
        <f>SEARCH(",",$W83,L83+1)</f>
        <v>21</v>
      </c>
      <c r="N83" s="4">
        <f>SEARCH(",",$W83,M83+1)</f>
        <v>27</v>
      </c>
      <c r="O83" s="4">
        <f>SEARCH(",",$W83,N83+1)</f>
        <v>32</v>
      </c>
      <c r="P83" s="4">
        <f>SEARCH(",",$W83,O83+1)</f>
        <v>38</v>
      </c>
      <c r="Q83" s="4">
        <f>SEARCH(",",$W83,P83+1)</f>
        <v>44</v>
      </c>
      <c r="R83" s="4">
        <f>SEARCH(",",$W83,Q83+1)</f>
        <v>50</v>
      </c>
      <c r="T83" t="s">
        <v>488</v>
      </c>
      <c r="U83">
        <f>SEARCH(":",T83)</f>
        <v>6</v>
      </c>
      <c r="V83" t="str">
        <f>MID(T83,U83+1,LEN(T83)-(U83))</f>
        <v xml:space="preserve"> 959953 ** -320, -778, 4403, 324, 1316, 3170, 4743, 4495</v>
      </c>
      <c r="W83" t="str">
        <f>TRIM(V83)</f>
        <v>959953 ** -320, -778, 4403, 324, 1316, 3170, 4743, 4495</v>
      </c>
      <c r="X83">
        <f>SEARCH("~*",W83)</f>
        <v>8</v>
      </c>
      <c r="Y83" t="str">
        <f>LEFT(W83,X83-1)</f>
        <v xml:space="preserve">959953 </v>
      </c>
      <c r="AA83" t="str">
        <f>CONCATENATE(A83,",",D83,",",E83,",",F83,",",G83,",",H83,",",I83,",",J83,",",K83)</f>
        <v>959953,-320,-778,4403,324,1316,3170,4743,4495</v>
      </c>
    </row>
    <row r="84" spans="1:27">
      <c r="A84" s="1">
        <f>IF(ISBLANK(T84),"",VALUE(Y84))</f>
        <v>948475</v>
      </c>
      <c r="B84" s="1">
        <f>A84*4/10 -18</f>
        <v>379372</v>
      </c>
      <c r="C84" s="3">
        <f>B84/7000000</f>
        <v>5.4196000000000001E-2</v>
      </c>
      <c r="D84" s="6">
        <f>VALUE(MID(W84,$X84+2,L84-(X84+2)))</f>
        <v>-320</v>
      </c>
      <c r="E84" s="6">
        <f>VALUE(MID($W84,L84+1,M84-(L84+1)))</f>
        <v>-778</v>
      </c>
      <c r="F84" s="6">
        <f>VALUE(MID($W84,M84+1,N84-(M84+1)))</f>
        <v>4403</v>
      </c>
      <c r="G84" s="6">
        <f>VALUE(MID($W84,N84+1,O84-(N84+1)))</f>
        <v>324</v>
      </c>
      <c r="H84" s="6">
        <f>VALUE(MID($W84,O84+1,P84-(O84+1)))</f>
        <v>1316</v>
      </c>
      <c r="I84" s="6">
        <f>VALUE(MID($W84,P84+1,Q84-(P84+1)))</f>
        <v>3170</v>
      </c>
      <c r="J84" s="6">
        <f>VALUE(MID($W84,Q84+1,R84-(Q84+1)))</f>
        <v>4743</v>
      </c>
      <c r="K84" s="4">
        <f>VALUE(MID(W84,R84+1,LEN(W84)-(R84)))</f>
        <v>4495</v>
      </c>
      <c r="L84" s="4">
        <f>SEARCH(",",W84,X84)</f>
        <v>15</v>
      </c>
      <c r="M84" s="4">
        <f>SEARCH(",",$W84,L84+1)</f>
        <v>21</v>
      </c>
      <c r="N84" s="4">
        <f>SEARCH(",",$W84,M84+1)</f>
        <v>27</v>
      </c>
      <c r="O84" s="4">
        <f>SEARCH(",",$W84,N84+1)</f>
        <v>32</v>
      </c>
      <c r="P84" s="4">
        <f>SEARCH(",",$W84,O84+1)</f>
        <v>38</v>
      </c>
      <c r="Q84" s="4">
        <f>SEARCH(",",$W84,P84+1)</f>
        <v>44</v>
      </c>
      <c r="R84" s="4">
        <f>SEARCH(",",$W84,Q84+1)</f>
        <v>50</v>
      </c>
      <c r="T84" t="s">
        <v>328</v>
      </c>
      <c r="U84">
        <f>SEARCH(":",T84)</f>
        <v>6</v>
      </c>
      <c r="V84" t="str">
        <f>MID(T84,U84+1,LEN(T84)-(U84))</f>
        <v xml:space="preserve"> 948475 ** -320, -778, 4403, 324, 1316, 3170, 4743, 4495</v>
      </c>
      <c r="W84" t="str">
        <f>TRIM(V84)</f>
        <v>948475 ** -320, -778, 4403, 324, 1316, 3170, 4743, 4495</v>
      </c>
      <c r="X84">
        <f>SEARCH("~*",W84)</f>
        <v>8</v>
      </c>
      <c r="Y84" t="str">
        <f>LEFT(W84,X84-1)</f>
        <v xml:space="preserve">948475 </v>
      </c>
      <c r="AA84" t="str">
        <f>CONCATENATE(A84,",",D84,",",E84,",",F84,",",G84,",",H84,",",I84,",",J84,",",K84)</f>
        <v>948475,-320,-778,4403,324,1316,3170,4743,4495</v>
      </c>
    </row>
    <row r="85" spans="1:27">
      <c r="A85" s="1">
        <f>IF(ISBLANK(T85),"",VALUE(Y85))</f>
        <v>938642</v>
      </c>
      <c r="B85" s="1">
        <f>A85*4/10 -18</f>
        <v>375438.8</v>
      </c>
      <c r="C85" s="3">
        <f>B85/7000000</f>
        <v>5.3634114285714282E-2</v>
      </c>
      <c r="D85" s="6">
        <f>VALUE(MID(W85,$X85+2,L85-(X85+2)))</f>
        <v>-320</v>
      </c>
      <c r="E85" s="6">
        <f>VALUE(MID($W85,L85+1,M85-(L85+1)))</f>
        <v>-778</v>
      </c>
      <c r="F85" s="6">
        <f>VALUE(MID($W85,M85+1,N85-(M85+1)))</f>
        <v>4403</v>
      </c>
      <c r="G85" s="6">
        <f>VALUE(MID($W85,N85+1,O85-(N85+1)))</f>
        <v>324</v>
      </c>
      <c r="H85" s="6">
        <f>VALUE(MID($W85,O85+1,P85-(O85+1)))</f>
        <v>1316</v>
      </c>
      <c r="I85" s="6">
        <f>VALUE(MID($W85,P85+1,Q85-(P85+1)))</f>
        <v>3170</v>
      </c>
      <c r="J85" s="6">
        <f>VALUE(MID($W85,Q85+1,R85-(Q85+1)))</f>
        <v>4743</v>
      </c>
      <c r="K85" s="4">
        <f>VALUE(MID(W85,R85+1,LEN(W85)-(R85)))</f>
        <v>4495</v>
      </c>
      <c r="L85" s="4">
        <f>SEARCH(",",W85,X85)</f>
        <v>15</v>
      </c>
      <c r="M85" s="4">
        <f>SEARCH(",",$W85,L85+1)</f>
        <v>21</v>
      </c>
      <c r="N85" s="4">
        <f>SEARCH(",",$W85,M85+1)</f>
        <v>27</v>
      </c>
      <c r="O85" s="4">
        <f>SEARCH(",",$W85,N85+1)</f>
        <v>32</v>
      </c>
      <c r="P85" s="4">
        <f>SEARCH(",",$W85,O85+1)</f>
        <v>38</v>
      </c>
      <c r="Q85" s="4">
        <f>SEARCH(",",$W85,P85+1)</f>
        <v>44</v>
      </c>
      <c r="R85" s="4">
        <f>SEARCH(",",$W85,Q85+1)</f>
        <v>50</v>
      </c>
      <c r="T85" t="s">
        <v>317</v>
      </c>
      <c r="U85">
        <f>SEARCH(":",T85)</f>
        <v>6</v>
      </c>
      <c r="V85" t="str">
        <f>MID(T85,U85+1,LEN(T85)-(U85))</f>
        <v xml:space="preserve"> 938642 ** -320, -778, 4403, 324, 1316, 3170, 4743, 4495</v>
      </c>
      <c r="W85" t="str">
        <f>TRIM(V85)</f>
        <v>938642 ** -320, -778, 4403, 324, 1316, 3170, 4743, 4495</v>
      </c>
      <c r="X85">
        <f>SEARCH("~*",W85)</f>
        <v>8</v>
      </c>
      <c r="Y85" t="str">
        <f>LEFT(W85,X85-1)</f>
        <v xml:space="preserve">938642 </v>
      </c>
      <c r="AA85" t="str">
        <f>CONCATENATE(A85,",",D85,",",E85,",",F85,",",G85,",",H85,",",I85,",",J85,",",K85)</f>
        <v>938642,-320,-778,4403,324,1316,3170,4743,4495</v>
      </c>
    </row>
    <row r="86" spans="1:27">
      <c r="A86" s="1">
        <f>IF(ISBLANK(T86),"",VALUE(Y86))</f>
        <v>913923</v>
      </c>
      <c r="B86" s="1">
        <f>A86*4/10 -18</f>
        <v>365551.2</v>
      </c>
      <c r="C86" s="3">
        <f>B86/7000000</f>
        <v>5.22216E-2</v>
      </c>
      <c r="D86" s="6">
        <f>VALUE(MID(W86,$X86+2,L86-(X86+2)))</f>
        <v>-320</v>
      </c>
      <c r="E86" s="6">
        <f>VALUE(MID($W86,L86+1,M86-(L86+1)))</f>
        <v>-778</v>
      </c>
      <c r="F86" s="6">
        <f>VALUE(MID($W86,M86+1,N86-(M86+1)))</f>
        <v>4403</v>
      </c>
      <c r="G86" s="6">
        <f>VALUE(MID($W86,N86+1,O86-(N86+1)))</f>
        <v>324</v>
      </c>
      <c r="H86" s="6">
        <f>VALUE(MID($W86,O86+1,P86-(O86+1)))</f>
        <v>1316</v>
      </c>
      <c r="I86" s="6">
        <f>VALUE(MID($W86,P86+1,Q86-(P86+1)))</f>
        <v>3170</v>
      </c>
      <c r="J86" s="6">
        <f>VALUE(MID($W86,Q86+1,R86-(Q86+1)))</f>
        <v>4743</v>
      </c>
      <c r="K86" s="4">
        <f>VALUE(MID(W86,R86+1,LEN(W86)-(R86)))</f>
        <v>4495</v>
      </c>
      <c r="L86" s="4">
        <f>SEARCH(",",W86,X86)</f>
        <v>15</v>
      </c>
      <c r="M86" s="4">
        <f>SEARCH(",",$W86,L86+1)</f>
        <v>21</v>
      </c>
      <c r="N86" s="4">
        <f>SEARCH(",",$W86,M86+1)</f>
        <v>27</v>
      </c>
      <c r="O86" s="4">
        <f>SEARCH(",",$W86,N86+1)</f>
        <v>32</v>
      </c>
      <c r="P86" s="4">
        <f>SEARCH(",",$W86,O86+1)</f>
        <v>38</v>
      </c>
      <c r="Q86" s="4">
        <f>SEARCH(",",$W86,P86+1)</f>
        <v>44</v>
      </c>
      <c r="R86" s="4">
        <f>SEARCH(",",$W86,Q86+1)</f>
        <v>50</v>
      </c>
      <c r="T86" t="s">
        <v>297</v>
      </c>
      <c r="U86">
        <f>SEARCH(":",T86)</f>
        <v>6</v>
      </c>
      <c r="V86" t="str">
        <f>MID(T86,U86+1,LEN(T86)-(U86))</f>
        <v xml:space="preserve"> 913923 ** -320, -778, 4403, 324, 1316, 3170, 4743, 4495</v>
      </c>
      <c r="W86" t="str">
        <f>TRIM(V86)</f>
        <v>913923 ** -320, -778, 4403, 324, 1316, 3170, 4743, 4495</v>
      </c>
      <c r="X86">
        <f>SEARCH("~*",W86)</f>
        <v>8</v>
      </c>
      <c r="Y86" t="str">
        <f>LEFT(W86,X86-1)</f>
        <v xml:space="preserve">913923 </v>
      </c>
      <c r="AA86" t="str">
        <f>CONCATENATE(A86,",",D86,",",E86,",",F86,",",G86,",",H86,",",I86,",",J86,",",K86)</f>
        <v>913923,-320,-778,4403,324,1316,3170,4743,4495</v>
      </c>
    </row>
    <row r="87" spans="1:27">
      <c r="A87" s="1">
        <f>IF(ISBLANK(T87),"",VALUE(Y87))</f>
        <v>900587</v>
      </c>
      <c r="B87" s="1">
        <f>A87*4/10 -18</f>
        <v>360216.8</v>
      </c>
      <c r="C87" s="3">
        <f>B87/7000000</f>
        <v>5.1459542857142854E-2</v>
      </c>
      <c r="D87" s="6">
        <f>VALUE(MID(W87,$X87+2,L87-(X87+2)))</f>
        <v>-320</v>
      </c>
      <c r="E87" s="6">
        <f>VALUE(MID($W87,L87+1,M87-(L87+1)))</f>
        <v>-778</v>
      </c>
      <c r="F87" s="6">
        <f>VALUE(MID($W87,M87+1,N87-(M87+1)))</f>
        <v>4403</v>
      </c>
      <c r="G87" s="6">
        <f>VALUE(MID($W87,N87+1,O87-(N87+1)))</f>
        <v>324</v>
      </c>
      <c r="H87" s="6">
        <f>VALUE(MID($W87,O87+1,P87-(O87+1)))</f>
        <v>1316</v>
      </c>
      <c r="I87" s="6">
        <f>VALUE(MID($W87,P87+1,Q87-(P87+1)))</f>
        <v>3170</v>
      </c>
      <c r="J87" s="6">
        <f>VALUE(MID($W87,Q87+1,R87-(Q87+1)))</f>
        <v>4743</v>
      </c>
      <c r="K87" s="4">
        <f>VALUE(MID(W87,R87+1,LEN(W87)-(R87)))</f>
        <v>4495</v>
      </c>
      <c r="L87" s="4">
        <f>SEARCH(",",W87,X87)</f>
        <v>15</v>
      </c>
      <c r="M87" s="4">
        <f>SEARCH(",",$W87,L87+1)</f>
        <v>21</v>
      </c>
      <c r="N87" s="4">
        <f>SEARCH(",",$W87,M87+1)</f>
        <v>27</v>
      </c>
      <c r="O87" s="4">
        <f>SEARCH(",",$W87,N87+1)</f>
        <v>32</v>
      </c>
      <c r="P87" s="4">
        <f>SEARCH(",",$W87,O87+1)</f>
        <v>38</v>
      </c>
      <c r="Q87" s="4">
        <f>SEARCH(",",$W87,P87+1)</f>
        <v>44</v>
      </c>
      <c r="R87" s="4">
        <f>SEARCH(",",$W87,Q87+1)</f>
        <v>50</v>
      </c>
      <c r="T87" t="s">
        <v>567</v>
      </c>
      <c r="U87">
        <f>SEARCH(":",T87)</f>
        <v>6</v>
      </c>
      <c r="V87" t="str">
        <f>MID(T87,U87+1,LEN(T87)-(U87))</f>
        <v xml:space="preserve"> 900587 ** -320, -778, 4403, 324, 1316, 3170, 4743, 4495</v>
      </c>
      <c r="W87" t="str">
        <f>TRIM(V87)</f>
        <v>900587 ** -320, -778, 4403, 324, 1316, 3170, 4743, 4495</v>
      </c>
      <c r="X87">
        <f>SEARCH("~*",W87)</f>
        <v>8</v>
      </c>
      <c r="Y87" t="str">
        <f>LEFT(W87,X87-1)</f>
        <v xml:space="preserve">900587 </v>
      </c>
      <c r="AA87" t="str">
        <f>CONCATENATE(A87,",",D87,",",E87,",",F87,",",G87,",",H87,",",I87,",",J87,",",K87)</f>
        <v>900587,-320,-778,4403,324,1316,3170,4743,4495</v>
      </c>
    </row>
    <row r="88" spans="1:27">
      <c r="A88" s="1">
        <f>IF(ISBLANK(T88),"",VALUE(Y88))</f>
        <v>887813</v>
      </c>
      <c r="B88" s="1">
        <f>A88*4/10 -18</f>
        <v>355107.2</v>
      </c>
      <c r="C88" s="3">
        <f>B88/7000000</f>
        <v>5.07296E-2</v>
      </c>
      <c r="D88" s="6">
        <f>VALUE(MID(W88,$X88+2,L88-(X88+2)))</f>
        <v>-320</v>
      </c>
      <c r="E88" s="6">
        <f>VALUE(MID($W88,L88+1,M88-(L88+1)))</f>
        <v>-778</v>
      </c>
      <c r="F88" s="6">
        <f>VALUE(MID($W88,M88+1,N88-(M88+1)))</f>
        <v>4403</v>
      </c>
      <c r="G88" s="6">
        <f>VALUE(MID($W88,N88+1,O88-(N88+1)))</f>
        <v>324</v>
      </c>
      <c r="H88" s="6">
        <f>VALUE(MID($W88,O88+1,P88-(O88+1)))</f>
        <v>1316</v>
      </c>
      <c r="I88" s="6">
        <f>VALUE(MID($W88,P88+1,Q88-(P88+1)))</f>
        <v>3170</v>
      </c>
      <c r="J88" s="6">
        <f>VALUE(MID($W88,Q88+1,R88-(Q88+1)))</f>
        <v>4743</v>
      </c>
      <c r="K88" s="4">
        <f>VALUE(MID(W88,R88+1,LEN(W88)-(R88)))</f>
        <v>4495</v>
      </c>
      <c r="L88" s="4">
        <f>SEARCH(",",W88,X88)</f>
        <v>15</v>
      </c>
      <c r="M88" s="4">
        <f>SEARCH(",",$W88,L88+1)</f>
        <v>21</v>
      </c>
      <c r="N88" s="4">
        <f>SEARCH(",",$W88,M88+1)</f>
        <v>27</v>
      </c>
      <c r="O88" s="4">
        <f>SEARCH(",",$W88,N88+1)</f>
        <v>32</v>
      </c>
      <c r="P88" s="4">
        <f>SEARCH(",",$W88,O88+1)</f>
        <v>38</v>
      </c>
      <c r="Q88" s="4">
        <f>SEARCH(",",$W88,P88+1)</f>
        <v>44</v>
      </c>
      <c r="R88" s="4">
        <f>SEARCH(",",$W88,Q88+1)</f>
        <v>50</v>
      </c>
      <c r="T88" t="s">
        <v>348</v>
      </c>
      <c r="U88">
        <f>SEARCH(":",T88)</f>
        <v>6</v>
      </c>
      <c r="V88" t="str">
        <f>MID(T88,U88+1,LEN(T88)-(U88))</f>
        <v xml:space="preserve"> 887813 ** -320, -778, 4403, 324, 1316, 3170, 4743, 4495</v>
      </c>
      <c r="W88" t="str">
        <f>TRIM(V88)</f>
        <v>887813 ** -320, -778, 4403, 324, 1316, 3170, 4743, 4495</v>
      </c>
      <c r="X88">
        <f>SEARCH("~*",W88)</f>
        <v>8</v>
      </c>
      <c r="Y88" t="str">
        <f>LEFT(W88,X88-1)</f>
        <v xml:space="preserve">887813 </v>
      </c>
      <c r="AA88" t="str">
        <f>CONCATENATE(A88,",",D88,",",E88,",",F88,",",G88,",",H88,",",I88,",",J88,",",K88)</f>
        <v>887813,-320,-778,4403,324,1316,3170,4743,4495</v>
      </c>
    </row>
    <row r="89" spans="1:27">
      <c r="A89" s="1">
        <f>IF(ISBLANK(T89),"",VALUE(Y89))</f>
        <v>884645</v>
      </c>
      <c r="B89" s="1">
        <f>A89*4/10 -18</f>
        <v>353840</v>
      </c>
      <c r="C89" s="3">
        <f>B89/7000000</f>
        <v>5.0548571428571429E-2</v>
      </c>
      <c r="D89" s="6">
        <f>VALUE(MID(W89,$X89+2,L89-(X89+2)))</f>
        <v>-320</v>
      </c>
      <c r="E89" s="6">
        <f>VALUE(MID($W89,L89+1,M89-(L89+1)))</f>
        <v>-778</v>
      </c>
      <c r="F89" s="6">
        <f>VALUE(MID($W89,M89+1,N89-(M89+1)))</f>
        <v>4403</v>
      </c>
      <c r="G89" s="6">
        <f>VALUE(MID($W89,N89+1,O89-(N89+1)))</f>
        <v>324</v>
      </c>
      <c r="H89" s="6">
        <f>VALUE(MID($W89,O89+1,P89-(O89+1)))</f>
        <v>1316</v>
      </c>
      <c r="I89" s="6">
        <f>VALUE(MID($W89,P89+1,Q89-(P89+1)))</f>
        <v>3170</v>
      </c>
      <c r="J89" s="6">
        <f>VALUE(MID($W89,Q89+1,R89-(Q89+1)))</f>
        <v>4743</v>
      </c>
      <c r="K89" s="4">
        <f>VALUE(MID(W89,R89+1,LEN(W89)-(R89)))</f>
        <v>4495</v>
      </c>
      <c r="L89" s="4">
        <f>SEARCH(",",W89,X89)</f>
        <v>15</v>
      </c>
      <c r="M89" s="4">
        <f>SEARCH(",",$W89,L89+1)</f>
        <v>21</v>
      </c>
      <c r="N89" s="4">
        <f>SEARCH(",",$W89,M89+1)</f>
        <v>27</v>
      </c>
      <c r="O89" s="4">
        <f>SEARCH(",",$W89,N89+1)</f>
        <v>32</v>
      </c>
      <c r="P89" s="4">
        <f>SEARCH(",",$W89,O89+1)</f>
        <v>38</v>
      </c>
      <c r="Q89" s="4">
        <f>SEARCH(",",$W89,P89+1)</f>
        <v>44</v>
      </c>
      <c r="R89" s="4">
        <f>SEARCH(",",$W89,Q89+1)</f>
        <v>50</v>
      </c>
      <c r="T89" t="s">
        <v>501</v>
      </c>
      <c r="U89">
        <f>SEARCH(":",T89)</f>
        <v>6</v>
      </c>
      <c r="V89" t="str">
        <f>MID(T89,U89+1,LEN(T89)-(U89))</f>
        <v xml:space="preserve"> 884645 ** -320, -778, 4403, 324, 1316, 3170, 4743, 4495</v>
      </c>
      <c r="W89" t="str">
        <f>TRIM(V89)</f>
        <v>884645 ** -320, -778, 4403, 324, 1316, 3170, 4743, 4495</v>
      </c>
      <c r="X89">
        <f>SEARCH("~*",W89)</f>
        <v>8</v>
      </c>
      <c r="Y89" t="str">
        <f>LEFT(W89,X89-1)</f>
        <v xml:space="preserve">884645 </v>
      </c>
      <c r="AA89" t="str">
        <f>CONCATENATE(A89,",",D89,",",E89,",",F89,",",G89,",",H89,",",I89,",",J89,",",K89)</f>
        <v>884645,-320,-778,4403,324,1316,3170,4743,4495</v>
      </c>
    </row>
    <row r="90" spans="1:27">
      <c r="A90" s="1">
        <f>IF(ISBLANK(T90),"",VALUE(Y90))</f>
        <v>884066</v>
      </c>
      <c r="B90" s="1">
        <f>A90*4/10 -18</f>
        <v>353608.4</v>
      </c>
      <c r="C90" s="3">
        <f>B90/7000000</f>
        <v>5.051548571428572E-2</v>
      </c>
      <c r="D90" s="6">
        <f>VALUE(MID(W90,$X90+2,L90-(X90+2)))</f>
        <v>-320</v>
      </c>
      <c r="E90" s="6">
        <f>VALUE(MID($W90,L90+1,M90-(L90+1)))</f>
        <v>-778</v>
      </c>
      <c r="F90" s="6">
        <f>VALUE(MID($W90,M90+1,N90-(M90+1)))</f>
        <v>4403</v>
      </c>
      <c r="G90" s="6">
        <f>VALUE(MID($W90,N90+1,O90-(N90+1)))</f>
        <v>324</v>
      </c>
      <c r="H90" s="6">
        <f>VALUE(MID($W90,O90+1,P90-(O90+1)))</f>
        <v>1316</v>
      </c>
      <c r="I90" s="6">
        <f>VALUE(MID($W90,P90+1,Q90-(P90+1)))</f>
        <v>3170</v>
      </c>
      <c r="J90" s="6">
        <f>VALUE(MID($W90,Q90+1,R90-(Q90+1)))</f>
        <v>4743</v>
      </c>
      <c r="K90" s="4">
        <f>VALUE(MID(W90,R90+1,LEN(W90)-(R90)))</f>
        <v>4495</v>
      </c>
      <c r="L90" s="4">
        <f>SEARCH(",",W90,X90)</f>
        <v>15</v>
      </c>
      <c r="M90" s="4">
        <f>SEARCH(",",$W90,L90+1)</f>
        <v>21</v>
      </c>
      <c r="N90" s="4">
        <f>SEARCH(",",$W90,M90+1)</f>
        <v>27</v>
      </c>
      <c r="O90" s="4">
        <f>SEARCH(",",$W90,N90+1)</f>
        <v>32</v>
      </c>
      <c r="P90" s="4">
        <f>SEARCH(",",$W90,O90+1)</f>
        <v>38</v>
      </c>
      <c r="Q90" s="4">
        <f>SEARCH(",",$W90,P90+1)</f>
        <v>44</v>
      </c>
      <c r="R90" s="4">
        <f>SEARCH(",",$W90,Q90+1)</f>
        <v>50</v>
      </c>
      <c r="T90" t="s">
        <v>528</v>
      </c>
      <c r="U90">
        <f>SEARCH(":",T90)</f>
        <v>6</v>
      </c>
      <c r="V90" t="str">
        <f>MID(T90,U90+1,LEN(T90)-(U90))</f>
        <v xml:space="preserve"> 884066 ** -320, -778, 4403, 324, 1316, 3170, 4743, 4495</v>
      </c>
      <c r="W90" t="str">
        <f>TRIM(V90)</f>
        <v>884066 ** -320, -778, 4403, 324, 1316, 3170, 4743, 4495</v>
      </c>
      <c r="X90">
        <f>SEARCH("~*",W90)</f>
        <v>8</v>
      </c>
      <c r="Y90" t="str">
        <f>LEFT(W90,X90-1)</f>
        <v xml:space="preserve">884066 </v>
      </c>
      <c r="AA90" t="str">
        <f>CONCATENATE(A90,",",D90,",",E90,",",F90,",",G90,",",H90,",",I90,",",J90,",",K90)</f>
        <v>884066,-320,-778,4403,324,1316,3170,4743,4495</v>
      </c>
    </row>
    <row r="91" spans="1:27">
      <c r="A91" s="1">
        <f>IF(ISBLANK(T91),"",VALUE(Y91))</f>
        <v>875296</v>
      </c>
      <c r="B91" s="1">
        <f>A91*4/10 -18</f>
        <v>350100.4</v>
      </c>
      <c r="C91" s="3">
        <f>B91/7000000</f>
        <v>5.001434285714286E-2</v>
      </c>
      <c r="D91" s="6">
        <f>VALUE(MID(W91,$X91+2,L91-(X91+2)))</f>
        <v>-320</v>
      </c>
      <c r="E91" s="6">
        <f>VALUE(MID($W91,L91+1,M91-(L91+1)))</f>
        <v>-778</v>
      </c>
      <c r="F91" s="6">
        <f>VALUE(MID($W91,M91+1,N91-(M91+1)))</f>
        <v>4403</v>
      </c>
      <c r="G91" s="6">
        <f>VALUE(MID($W91,N91+1,O91-(N91+1)))</f>
        <v>324</v>
      </c>
      <c r="H91" s="6">
        <f>VALUE(MID($W91,O91+1,P91-(O91+1)))</f>
        <v>1316</v>
      </c>
      <c r="I91" s="6">
        <f>VALUE(MID($W91,P91+1,Q91-(P91+1)))</f>
        <v>3170</v>
      </c>
      <c r="J91" s="6">
        <f>VALUE(MID($W91,Q91+1,R91-(Q91+1)))</f>
        <v>4743</v>
      </c>
      <c r="K91" s="4">
        <f>VALUE(MID(W91,R91+1,LEN(W91)-(R91)))</f>
        <v>4495</v>
      </c>
      <c r="L91" s="4">
        <f>SEARCH(",",W91,X91)</f>
        <v>15</v>
      </c>
      <c r="M91" s="4">
        <f>SEARCH(",",$W91,L91+1)</f>
        <v>21</v>
      </c>
      <c r="N91" s="4">
        <f>SEARCH(",",$W91,M91+1)</f>
        <v>27</v>
      </c>
      <c r="O91" s="4">
        <f>SEARCH(",",$W91,N91+1)</f>
        <v>32</v>
      </c>
      <c r="P91" s="4">
        <f>SEARCH(",",$W91,O91+1)</f>
        <v>38</v>
      </c>
      <c r="Q91" s="4">
        <f>SEARCH(",",$W91,P91+1)</f>
        <v>44</v>
      </c>
      <c r="R91" s="4">
        <f>SEARCH(",",$W91,Q91+1)</f>
        <v>50</v>
      </c>
      <c r="T91" t="s">
        <v>443</v>
      </c>
      <c r="U91">
        <f>SEARCH(":",T91)</f>
        <v>6</v>
      </c>
      <c r="V91" t="str">
        <f>MID(T91,U91+1,LEN(T91)-(U91))</f>
        <v xml:space="preserve"> 875296 ** -320, -778, 4403, 324, 1316, 3170, 4743, 4495</v>
      </c>
      <c r="W91" t="str">
        <f>TRIM(V91)</f>
        <v>875296 ** -320, -778, 4403, 324, 1316, 3170, 4743, 4495</v>
      </c>
      <c r="X91">
        <f>SEARCH("~*",W91)</f>
        <v>8</v>
      </c>
      <c r="Y91" t="str">
        <f>LEFT(W91,X91-1)</f>
        <v xml:space="preserve">875296 </v>
      </c>
      <c r="AA91" t="str">
        <f>CONCATENATE(A91,",",D91,",",E91,",",F91,",",G91,",",H91,",",I91,",",J91,",",K91)</f>
        <v>875296,-320,-778,4403,324,1316,3170,4743,4495</v>
      </c>
    </row>
    <row r="92" spans="1:27">
      <c r="A92" s="1">
        <f>IF(ISBLANK(T92),"",VALUE(Y92))</f>
        <v>847060</v>
      </c>
      <c r="B92" s="1">
        <f>A92*4/10 -18</f>
        <v>338806</v>
      </c>
      <c r="C92" s="3">
        <f>B92/7000000</f>
        <v>4.8400857142857141E-2</v>
      </c>
      <c r="D92" s="6">
        <f>VALUE(MID(W92,$X92+2,L92-(X92+2)))</f>
        <v>-320</v>
      </c>
      <c r="E92" s="6">
        <f>VALUE(MID($W92,L92+1,M92-(L92+1)))</f>
        <v>-778</v>
      </c>
      <c r="F92" s="6">
        <f>VALUE(MID($W92,M92+1,N92-(M92+1)))</f>
        <v>4403</v>
      </c>
      <c r="G92" s="6">
        <f>VALUE(MID($W92,N92+1,O92-(N92+1)))</f>
        <v>324</v>
      </c>
      <c r="H92" s="6">
        <f>VALUE(MID($W92,O92+1,P92-(O92+1)))</f>
        <v>1316</v>
      </c>
      <c r="I92" s="6">
        <f>VALUE(MID($W92,P92+1,Q92-(P92+1)))</f>
        <v>3170</v>
      </c>
      <c r="J92" s="6">
        <f>VALUE(MID($W92,Q92+1,R92-(Q92+1)))</f>
        <v>4743</v>
      </c>
      <c r="K92" s="4">
        <f>VALUE(MID(W92,R92+1,LEN(W92)-(R92)))</f>
        <v>4495</v>
      </c>
      <c r="L92" s="4">
        <f>SEARCH(",",W92,X92)</f>
        <v>15</v>
      </c>
      <c r="M92" s="4">
        <f>SEARCH(",",$W92,L92+1)</f>
        <v>21</v>
      </c>
      <c r="N92" s="4">
        <f>SEARCH(",",$W92,M92+1)</f>
        <v>27</v>
      </c>
      <c r="O92" s="4">
        <f>SEARCH(",",$W92,N92+1)</f>
        <v>32</v>
      </c>
      <c r="P92" s="4">
        <f>SEARCH(",",$W92,O92+1)</f>
        <v>38</v>
      </c>
      <c r="Q92" s="4">
        <f>SEARCH(",",$W92,P92+1)</f>
        <v>44</v>
      </c>
      <c r="R92" s="4">
        <f>SEARCH(",",$W92,Q92+1)</f>
        <v>50</v>
      </c>
      <c r="T92" t="s">
        <v>364</v>
      </c>
      <c r="U92">
        <f>SEARCH(":",T92)</f>
        <v>6</v>
      </c>
      <c r="V92" t="str">
        <f>MID(T92,U92+1,LEN(T92)-(U92))</f>
        <v xml:space="preserve"> 847060 ** -320, -778, 4403, 324, 1316, 3170, 4743, 4495</v>
      </c>
      <c r="W92" t="str">
        <f>TRIM(V92)</f>
        <v>847060 ** -320, -778, 4403, 324, 1316, 3170, 4743, 4495</v>
      </c>
      <c r="X92">
        <f>SEARCH("~*",W92)</f>
        <v>8</v>
      </c>
      <c r="Y92" t="str">
        <f>LEFT(W92,X92-1)</f>
        <v xml:space="preserve">847060 </v>
      </c>
      <c r="AA92" t="str">
        <f>CONCATENATE(A92,",",D92,",",E92,",",F92,",",G92,",",H92,",",I92,",",J92,",",K92)</f>
        <v>847060,-320,-778,4403,324,1316,3170,4743,4495</v>
      </c>
    </row>
    <row r="93" spans="1:27">
      <c r="A93" s="1">
        <f>IF(ISBLANK(T93),"",VALUE(Y93))</f>
        <v>842968</v>
      </c>
      <c r="B93" s="1">
        <f>A93*4/10 -18</f>
        <v>337169.2</v>
      </c>
      <c r="C93" s="3">
        <f>B93/7000000</f>
        <v>4.8167028571428572E-2</v>
      </c>
      <c r="D93" s="6">
        <f>VALUE(MID(W93,$X93+2,L93-(X93+2)))</f>
        <v>-320</v>
      </c>
      <c r="E93" s="6">
        <f>VALUE(MID($W93,L93+1,M93-(L93+1)))</f>
        <v>-778</v>
      </c>
      <c r="F93" s="6">
        <f>VALUE(MID($W93,M93+1,N93-(M93+1)))</f>
        <v>4403</v>
      </c>
      <c r="G93" s="6">
        <f>VALUE(MID($W93,N93+1,O93-(N93+1)))</f>
        <v>324</v>
      </c>
      <c r="H93" s="6">
        <f>VALUE(MID($W93,O93+1,P93-(O93+1)))</f>
        <v>1316</v>
      </c>
      <c r="I93" s="6">
        <f>VALUE(MID($W93,P93+1,Q93-(P93+1)))</f>
        <v>3170</v>
      </c>
      <c r="J93" s="6">
        <f>VALUE(MID($W93,Q93+1,R93-(Q93+1)))</f>
        <v>4743</v>
      </c>
      <c r="K93" s="4">
        <f>VALUE(MID(W93,R93+1,LEN(W93)-(R93)))</f>
        <v>4495</v>
      </c>
      <c r="L93" s="4">
        <f>SEARCH(",",W93,X93)</f>
        <v>15</v>
      </c>
      <c r="M93" s="4">
        <f>SEARCH(",",$W93,L93+1)</f>
        <v>21</v>
      </c>
      <c r="N93" s="4">
        <f>SEARCH(",",$W93,M93+1)</f>
        <v>27</v>
      </c>
      <c r="O93" s="4">
        <f>SEARCH(",",$W93,N93+1)</f>
        <v>32</v>
      </c>
      <c r="P93" s="4">
        <f>SEARCH(",",$W93,O93+1)</f>
        <v>38</v>
      </c>
      <c r="Q93" s="4">
        <f>SEARCH(",",$W93,P93+1)</f>
        <v>44</v>
      </c>
      <c r="R93" s="4">
        <f>SEARCH(",",$W93,Q93+1)</f>
        <v>50</v>
      </c>
      <c r="T93" t="s">
        <v>440</v>
      </c>
      <c r="U93">
        <f>SEARCH(":",T93)</f>
        <v>6</v>
      </c>
      <c r="V93" t="str">
        <f>MID(T93,U93+1,LEN(T93)-(U93))</f>
        <v xml:space="preserve"> 842968 ** -320, -778, 4403, 324, 1316, 3170, 4743, 4495</v>
      </c>
      <c r="W93" t="str">
        <f>TRIM(V93)</f>
        <v>842968 ** -320, -778, 4403, 324, 1316, 3170, 4743, 4495</v>
      </c>
      <c r="X93">
        <f>SEARCH("~*",W93)</f>
        <v>8</v>
      </c>
      <c r="Y93" t="str">
        <f>LEFT(W93,X93-1)</f>
        <v xml:space="preserve">842968 </v>
      </c>
      <c r="AA93" t="str">
        <f>CONCATENATE(A93,",",D93,",",E93,",",F93,",",G93,",",H93,",",I93,",",J93,",",K93)</f>
        <v>842968,-320,-778,4403,324,1316,3170,4743,4495</v>
      </c>
    </row>
    <row r="94" spans="1:27">
      <c r="A94" s="1">
        <f>IF(ISBLANK(T94),"",VALUE(Y94))</f>
        <v>827196</v>
      </c>
      <c r="B94" s="1">
        <f>A94*4/10 -18</f>
        <v>330860.40000000002</v>
      </c>
      <c r="C94" s="3">
        <f>B94/7000000</f>
        <v>4.7265771428571433E-2</v>
      </c>
      <c r="D94" s="6">
        <f>VALUE(MID(W94,$X94+2,L94-(X94+2)))</f>
        <v>-320</v>
      </c>
      <c r="E94" s="6">
        <f>VALUE(MID($W94,L94+1,M94-(L94+1)))</f>
        <v>-778</v>
      </c>
      <c r="F94" s="6">
        <f>VALUE(MID($W94,M94+1,N94-(M94+1)))</f>
        <v>4403</v>
      </c>
      <c r="G94" s="6">
        <f>VALUE(MID($W94,N94+1,O94-(N94+1)))</f>
        <v>324</v>
      </c>
      <c r="H94" s="6">
        <f>VALUE(MID($W94,O94+1,P94-(O94+1)))</f>
        <v>1316</v>
      </c>
      <c r="I94" s="6">
        <f>VALUE(MID($W94,P94+1,Q94-(P94+1)))</f>
        <v>3170</v>
      </c>
      <c r="J94" s="6">
        <f>VALUE(MID($W94,Q94+1,R94-(Q94+1)))</f>
        <v>4743</v>
      </c>
      <c r="K94" s="4">
        <f>VALUE(MID(W94,R94+1,LEN(W94)-(R94)))</f>
        <v>4495</v>
      </c>
      <c r="L94" s="4">
        <f>SEARCH(",",W94,X94)</f>
        <v>15</v>
      </c>
      <c r="M94" s="4">
        <f>SEARCH(",",$W94,L94+1)</f>
        <v>21</v>
      </c>
      <c r="N94" s="4">
        <f>SEARCH(",",$W94,M94+1)</f>
        <v>27</v>
      </c>
      <c r="O94" s="4">
        <f>SEARCH(",",$W94,N94+1)</f>
        <v>32</v>
      </c>
      <c r="P94" s="4">
        <f>SEARCH(",",$W94,O94+1)</f>
        <v>38</v>
      </c>
      <c r="Q94" s="4">
        <f>SEARCH(",",$W94,P94+1)</f>
        <v>44</v>
      </c>
      <c r="R94" s="4">
        <f>SEARCH(",",$W94,Q94+1)</f>
        <v>50</v>
      </c>
      <c r="T94" t="s">
        <v>436</v>
      </c>
      <c r="U94">
        <f>SEARCH(":",T94)</f>
        <v>6</v>
      </c>
      <c r="V94" t="str">
        <f>MID(T94,U94+1,LEN(T94)-(U94))</f>
        <v xml:space="preserve"> 827196 ** -320, -778, 4403, 324, 1316, 3170, 4743, 4495</v>
      </c>
      <c r="W94" t="str">
        <f>TRIM(V94)</f>
        <v>827196 ** -320, -778, 4403, 324, 1316, 3170, 4743, 4495</v>
      </c>
      <c r="X94">
        <f>SEARCH("~*",W94)</f>
        <v>8</v>
      </c>
      <c r="Y94" t="str">
        <f>LEFT(W94,X94-1)</f>
        <v xml:space="preserve">827196 </v>
      </c>
      <c r="AA94" t="str">
        <f>CONCATENATE(A94,",",D94,",",E94,",",F94,",",G94,",",H94,",",I94,",",J94,",",K94)</f>
        <v>827196,-320,-778,4403,324,1316,3170,4743,4495</v>
      </c>
    </row>
    <row r="95" spans="1:27">
      <c r="A95" s="1">
        <f>IF(ISBLANK(T95),"",VALUE(Y95))</f>
        <v>825244</v>
      </c>
      <c r="B95" s="1">
        <f>A95*4/10 -18</f>
        <v>330079.59999999998</v>
      </c>
      <c r="C95" s="3">
        <f>B95/7000000</f>
        <v>4.7154228571428571E-2</v>
      </c>
      <c r="D95" s="6">
        <f>VALUE(MID(W95,$X95+2,L95-(X95+2)))</f>
        <v>-320</v>
      </c>
      <c r="E95" s="6">
        <f>VALUE(MID($W95,L95+1,M95-(L95+1)))</f>
        <v>-778</v>
      </c>
      <c r="F95" s="6">
        <f>VALUE(MID($W95,M95+1,N95-(M95+1)))</f>
        <v>4403</v>
      </c>
      <c r="G95" s="6">
        <f>VALUE(MID($W95,N95+1,O95-(N95+1)))</f>
        <v>324</v>
      </c>
      <c r="H95" s="6">
        <f>VALUE(MID($W95,O95+1,P95-(O95+1)))</f>
        <v>1316</v>
      </c>
      <c r="I95" s="6">
        <f>VALUE(MID($W95,P95+1,Q95-(P95+1)))</f>
        <v>3170</v>
      </c>
      <c r="J95" s="6">
        <f>VALUE(MID($W95,Q95+1,R95-(Q95+1)))</f>
        <v>4743</v>
      </c>
      <c r="K95" s="4">
        <f>VALUE(MID(W95,R95+1,LEN(W95)-(R95)))</f>
        <v>4495</v>
      </c>
      <c r="L95" s="4">
        <f>SEARCH(",",W95,X95)</f>
        <v>15</v>
      </c>
      <c r="M95" s="4">
        <f>SEARCH(",",$W95,L95+1)</f>
        <v>21</v>
      </c>
      <c r="N95" s="4">
        <f>SEARCH(",",$W95,M95+1)</f>
        <v>27</v>
      </c>
      <c r="O95" s="4">
        <f>SEARCH(",",$W95,N95+1)</f>
        <v>32</v>
      </c>
      <c r="P95" s="4">
        <f>SEARCH(",",$W95,O95+1)</f>
        <v>38</v>
      </c>
      <c r="Q95" s="4">
        <f>SEARCH(",",$W95,P95+1)</f>
        <v>44</v>
      </c>
      <c r="R95" s="4">
        <f>SEARCH(",",$W95,Q95+1)</f>
        <v>50</v>
      </c>
      <c r="T95" t="s">
        <v>538</v>
      </c>
      <c r="U95">
        <f>SEARCH(":",T95)</f>
        <v>6</v>
      </c>
      <c r="V95" t="str">
        <f>MID(T95,U95+1,LEN(T95)-(U95))</f>
        <v xml:space="preserve"> 825244 ** -320, -778, 4403, 324, 1316, 3170, 4743, 4495</v>
      </c>
      <c r="W95" t="str">
        <f>TRIM(V95)</f>
        <v>825244 ** -320, -778, 4403, 324, 1316, 3170, 4743, 4495</v>
      </c>
      <c r="X95">
        <f>SEARCH("~*",W95)</f>
        <v>8</v>
      </c>
      <c r="Y95" t="str">
        <f>LEFT(W95,X95-1)</f>
        <v xml:space="preserve">825244 </v>
      </c>
      <c r="AA95" t="str">
        <f>CONCATENATE(A95,",",D95,",",E95,",",F95,",",G95,",",H95,",",I95,",",J95,",",K95)</f>
        <v>825244,-320,-778,4403,324,1316,3170,4743,4495</v>
      </c>
    </row>
    <row r="96" spans="1:27">
      <c r="A96" s="1">
        <f>IF(ISBLANK(T96),"",VALUE(Y96))</f>
        <v>822645</v>
      </c>
      <c r="B96" s="1">
        <f>A96*4/10 -18</f>
        <v>329040</v>
      </c>
      <c r="C96" s="3">
        <f>B96/7000000</f>
        <v>4.7005714285714283E-2</v>
      </c>
      <c r="D96" s="6">
        <f>VALUE(MID(W96,$X96+2,L96-(X96+2)))</f>
        <v>-320</v>
      </c>
      <c r="E96" s="6">
        <f>VALUE(MID($W96,L96+1,M96-(L96+1)))</f>
        <v>-778</v>
      </c>
      <c r="F96" s="6">
        <f>VALUE(MID($W96,M96+1,N96-(M96+1)))</f>
        <v>4403</v>
      </c>
      <c r="G96" s="6">
        <f>VALUE(MID($W96,N96+1,O96-(N96+1)))</f>
        <v>324</v>
      </c>
      <c r="H96" s="6">
        <f>VALUE(MID($W96,O96+1,P96-(O96+1)))</f>
        <v>1316</v>
      </c>
      <c r="I96" s="6">
        <f>VALUE(MID($W96,P96+1,Q96-(P96+1)))</f>
        <v>3170</v>
      </c>
      <c r="J96" s="6">
        <f>VALUE(MID($W96,Q96+1,R96-(Q96+1)))</f>
        <v>4743</v>
      </c>
      <c r="K96" s="4">
        <f>VALUE(MID(W96,R96+1,LEN(W96)-(R96)))</f>
        <v>4495</v>
      </c>
      <c r="L96" s="4">
        <f>SEARCH(",",W96,X96)</f>
        <v>15</v>
      </c>
      <c r="M96" s="4">
        <f>SEARCH(",",$W96,L96+1)</f>
        <v>21</v>
      </c>
      <c r="N96" s="4">
        <f>SEARCH(",",$W96,M96+1)</f>
        <v>27</v>
      </c>
      <c r="O96" s="4">
        <f>SEARCH(",",$W96,N96+1)</f>
        <v>32</v>
      </c>
      <c r="P96" s="4">
        <f>SEARCH(",",$W96,O96+1)</f>
        <v>38</v>
      </c>
      <c r="Q96" s="4">
        <f>SEARCH(",",$W96,P96+1)</f>
        <v>44</v>
      </c>
      <c r="R96" s="4">
        <f>SEARCH(",",$W96,Q96+1)</f>
        <v>50</v>
      </c>
      <c r="T96" t="s">
        <v>516</v>
      </c>
      <c r="U96">
        <f>SEARCH(":",T96)</f>
        <v>6</v>
      </c>
      <c r="V96" t="str">
        <f>MID(T96,U96+1,LEN(T96)-(U96))</f>
        <v xml:space="preserve"> 822645 ** -320, -778, 4403, 324, 1316, 3170, 4743, 4495</v>
      </c>
      <c r="W96" t="str">
        <f>TRIM(V96)</f>
        <v>822645 ** -320, -778, 4403, 324, 1316, 3170, 4743, 4495</v>
      </c>
      <c r="X96">
        <f>SEARCH("~*",W96)</f>
        <v>8</v>
      </c>
      <c r="Y96" t="str">
        <f>LEFT(W96,X96-1)</f>
        <v xml:space="preserve">822645 </v>
      </c>
      <c r="AA96" t="str">
        <f>CONCATENATE(A96,",",D96,",",E96,",",F96,",",G96,",",H96,",",I96,",",J96,",",K96)</f>
        <v>822645,-320,-778,4403,324,1316,3170,4743,4495</v>
      </c>
    </row>
    <row r="97" spans="1:27">
      <c r="A97" s="1">
        <f>IF(ISBLANK(T97),"",VALUE(Y97))</f>
        <v>811093</v>
      </c>
      <c r="B97" s="1">
        <f>A97*4/10 -18</f>
        <v>324419.20000000001</v>
      </c>
      <c r="C97" s="3">
        <f>B97/7000000</f>
        <v>4.6345600000000001E-2</v>
      </c>
      <c r="D97" s="6">
        <f>VALUE(MID(W97,$X97+2,L97-(X97+2)))</f>
        <v>-320</v>
      </c>
      <c r="E97" s="6">
        <f>VALUE(MID($W97,L97+1,M97-(L97+1)))</f>
        <v>-778</v>
      </c>
      <c r="F97" s="6">
        <f>VALUE(MID($W97,M97+1,N97-(M97+1)))</f>
        <v>4403</v>
      </c>
      <c r="G97" s="6">
        <f>VALUE(MID($W97,N97+1,O97-(N97+1)))</f>
        <v>324</v>
      </c>
      <c r="H97" s="6">
        <f>VALUE(MID($W97,O97+1,P97-(O97+1)))</f>
        <v>1316</v>
      </c>
      <c r="I97" s="6">
        <f>VALUE(MID($W97,P97+1,Q97-(P97+1)))</f>
        <v>3170</v>
      </c>
      <c r="J97" s="6">
        <f>VALUE(MID($W97,Q97+1,R97-(Q97+1)))</f>
        <v>4743</v>
      </c>
      <c r="K97" s="4">
        <f>VALUE(MID(W97,R97+1,LEN(W97)-(R97)))</f>
        <v>4495</v>
      </c>
      <c r="L97" s="4">
        <f>SEARCH(",",W97,X97)</f>
        <v>15</v>
      </c>
      <c r="M97" s="4">
        <f>SEARCH(",",$W97,L97+1)</f>
        <v>21</v>
      </c>
      <c r="N97" s="4">
        <f>SEARCH(",",$W97,M97+1)</f>
        <v>27</v>
      </c>
      <c r="O97" s="4">
        <f>SEARCH(",",$W97,N97+1)</f>
        <v>32</v>
      </c>
      <c r="P97" s="4">
        <f>SEARCH(",",$W97,O97+1)</f>
        <v>38</v>
      </c>
      <c r="Q97" s="4">
        <f>SEARCH(",",$W97,P97+1)</f>
        <v>44</v>
      </c>
      <c r="R97" s="4">
        <f>SEARCH(",",$W97,Q97+1)</f>
        <v>50</v>
      </c>
      <c r="T97" t="s">
        <v>442</v>
      </c>
      <c r="U97">
        <f>SEARCH(":",T97)</f>
        <v>6</v>
      </c>
      <c r="V97" t="str">
        <f>MID(T97,U97+1,LEN(T97)-(U97))</f>
        <v xml:space="preserve"> 811093 ** -320, -778, 4403, 324, 1316, 3170, 4743, 4495</v>
      </c>
      <c r="W97" t="str">
        <f>TRIM(V97)</f>
        <v>811093 ** -320, -778, 4403, 324, 1316, 3170, 4743, 4495</v>
      </c>
      <c r="X97">
        <f>SEARCH("~*",W97)</f>
        <v>8</v>
      </c>
      <c r="Y97" t="str">
        <f>LEFT(W97,X97-1)</f>
        <v xml:space="preserve">811093 </v>
      </c>
      <c r="AA97" t="str">
        <f>CONCATENATE(A97,",",D97,",",E97,",",F97,",",G97,",",H97,",",I97,",",J97,",",K97)</f>
        <v>811093,-320,-778,4403,324,1316,3170,4743,4495</v>
      </c>
    </row>
    <row r="98" spans="1:27">
      <c r="A98" s="1">
        <f>IF(ISBLANK(T98),"",VALUE(Y98))</f>
        <v>803072</v>
      </c>
      <c r="B98" s="1">
        <f>A98*4/10 -18</f>
        <v>321210.8</v>
      </c>
      <c r="C98" s="3">
        <f>B98/7000000</f>
        <v>4.5887257142857144E-2</v>
      </c>
      <c r="D98" s="6">
        <f>VALUE(MID(W98,$X98+2,L98-(X98+2)))</f>
        <v>-320</v>
      </c>
      <c r="E98" s="6">
        <f>VALUE(MID($W98,L98+1,M98-(L98+1)))</f>
        <v>-778</v>
      </c>
      <c r="F98" s="6">
        <f>VALUE(MID($W98,M98+1,N98-(M98+1)))</f>
        <v>4403</v>
      </c>
      <c r="G98" s="6">
        <f>VALUE(MID($W98,N98+1,O98-(N98+1)))</f>
        <v>324</v>
      </c>
      <c r="H98" s="6">
        <f>VALUE(MID($W98,O98+1,P98-(O98+1)))</f>
        <v>1316</v>
      </c>
      <c r="I98" s="6">
        <f>VALUE(MID($W98,P98+1,Q98-(P98+1)))</f>
        <v>3170</v>
      </c>
      <c r="J98" s="6">
        <f>VALUE(MID($W98,Q98+1,R98-(Q98+1)))</f>
        <v>4743</v>
      </c>
      <c r="K98" s="4">
        <f>VALUE(MID(W98,R98+1,LEN(W98)-(R98)))</f>
        <v>4495</v>
      </c>
      <c r="L98" s="4">
        <f>SEARCH(",",W98,X98)</f>
        <v>15</v>
      </c>
      <c r="M98" s="4">
        <f>SEARCH(",",$W98,L98+1)</f>
        <v>21</v>
      </c>
      <c r="N98" s="4">
        <f>SEARCH(",",$W98,M98+1)</f>
        <v>27</v>
      </c>
      <c r="O98" s="4">
        <f>SEARCH(",",$W98,N98+1)</f>
        <v>32</v>
      </c>
      <c r="P98" s="4">
        <f>SEARCH(",",$W98,O98+1)</f>
        <v>38</v>
      </c>
      <c r="Q98" s="4">
        <f>SEARCH(",",$W98,P98+1)</f>
        <v>44</v>
      </c>
      <c r="R98" s="4">
        <f>SEARCH(",",$W98,Q98+1)</f>
        <v>50</v>
      </c>
      <c r="T98" t="s">
        <v>434</v>
      </c>
      <c r="U98">
        <f>SEARCH(":",T98)</f>
        <v>6</v>
      </c>
      <c r="V98" t="str">
        <f>MID(T98,U98+1,LEN(T98)-(U98))</f>
        <v xml:space="preserve"> 803072 ** -320, -778, 4403, 324, 1316, 3170, 4743, 4495</v>
      </c>
      <c r="W98" t="str">
        <f>TRIM(V98)</f>
        <v>803072 ** -320, -778, 4403, 324, 1316, 3170, 4743, 4495</v>
      </c>
      <c r="X98">
        <f>SEARCH("~*",W98)</f>
        <v>8</v>
      </c>
      <c r="Y98" t="str">
        <f>LEFT(W98,X98-1)</f>
        <v xml:space="preserve">803072 </v>
      </c>
      <c r="AA98" t="str">
        <f>CONCATENATE(A98,",",D98,",",E98,",",F98,",",G98,",",H98,",",I98,",",J98,",",K98)</f>
        <v>803072,-320,-778,4403,324,1316,3170,4743,4495</v>
      </c>
    </row>
    <row r="99" spans="1:27">
      <c r="A99" s="1">
        <f>IF(ISBLANK(T99),"",VALUE(Y99))</f>
        <v>799329</v>
      </c>
      <c r="B99" s="1">
        <f>A99*4/10 -18</f>
        <v>319713.59999999998</v>
      </c>
      <c r="C99" s="3">
        <f>B99/7000000</f>
        <v>4.5673371428571426E-2</v>
      </c>
      <c r="D99" s="6">
        <f>VALUE(MID(W99,$X99+2,L99-(X99+2)))</f>
        <v>-320</v>
      </c>
      <c r="E99" s="6">
        <f>VALUE(MID($W99,L99+1,M99-(L99+1)))</f>
        <v>-778</v>
      </c>
      <c r="F99" s="6">
        <f>VALUE(MID($W99,M99+1,N99-(M99+1)))</f>
        <v>4403</v>
      </c>
      <c r="G99" s="6">
        <f>VALUE(MID($W99,N99+1,O99-(N99+1)))</f>
        <v>324</v>
      </c>
      <c r="H99" s="6">
        <f>VALUE(MID($W99,O99+1,P99-(O99+1)))</f>
        <v>1316</v>
      </c>
      <c r="I99" s="6">
        <f>VALUE(MID($W99,P99+1,Q99-(P99+1)))</f>
        <v>3170</v>
      </c>
      <c r="J99" s="6">
        <f>VALUE(MID($W99,Q99+1,R99-(Q99+1)))</f>
        <v>4743</v>
      </c>
      <c r="K99" s="4">
        <f>VALUE(MID(W99,R99+1,LEN(W99)-(R99)))</f>
        <v>4495</v>
      </c>
      <c r="L99" s="4">
        <f>SEARCH(",",W99,X99)</f>
        <v>15</v>
      </c>
      <c r="M99" s="4">
        <f>SEARCH(",",$W99,L99+1)</f>
        <v>21</v>
      </c>
      <c r="N99" s="4">
        <f>SEARCH(",",$W99,M99+1)</f>
        <v>27</v>
      </c>
      <c r="O99" s="4">
        <f>SEARCH(",",$W99,N99+1)</f>
        <v>32</v>
      </c>
      <c r="P99" s="4">
        <f>SEARCH(",",$W99,O99+1)</f>
        <v>38</v>
      </c>
      <c r="Q99" s="4">
        <f>SEARCH(",",$W99,P99+1)</f>
        <v>44</v>
      </c>
      <c r="R99" s="4">
        <f>SEARCH(",",$W99,Q99+1)</f>
        <v>50</v>
      </c>
      <c r="T99" t="s">
        <v>342</v>
      </c>
      <c r="U99">
        <f>SEARCH(":",T99)</f>
        <v>6</v>
      </c>
      <c r="V99" t="str">
        <f>MID(T99,U99+1,LEN(T99)-(U99))</f>
        <v xml:space="preserve"> 799329 ** -320, -778, 4403, 324, 1316, 3170, 4743, 4495</v>
      </c>
      <c r="W99" t="str">
        <f>TRIM(V99)</f>
        <v>799329 ** -320, -778, 4403, 324, 1316, 3170, 4743, 4495</v>
      </c>
      <c r="X99">
        <f>SEARCH("~*",W99)</f>
        <v>8</v>
      </c>
      <c r="Y99" t="str">
        <f>LEFT(W99,X99-1)</f>
        <v xml:space="preserve">799329 </v>
      </c>
      <c r="AA99" t="str">
        <f>CONCATENATE(A99,",",D99,",",E99,",",F99,",",G99,",",H99,",",I99,",",J99,",",K99)</f>
        <v>799329,-320,-778,4403,324,1316,3170,4743,4495</v>
      </c>
    </row>
    <row r="100" spans="1:27">
      <c r="A100" s="1">
        <f>IF(ISBLANK(T100),"",VALUE(Y100))</f>
        <v>796186</v>
      </c>
      <c r="B100" s="1">
        <f>A100*4/10 -18</f>
        <v>318456.40000000002</v>
      </c>
      <c r="C100" s="3">
        <f>B100/7000000</f>
        <v>4.5493771428571431E-2</v>
      </c>
      <c r="D100" s="6">
        <f>VALUE(MID(W100,$X100+2,L100-(X100+2)))</f>
        <v>-320</v>
      </c>
      <c r="E100" s="6">
        <f>VALUE(MID($W100,L100+1,M100-(L100+1)))</f>
        <v>-778</v>
      </c>
      <c r="F100" s="6">
        <f>VALUE(MID($W100,M100+1,N100-(M100+1)))</f>
        <v>4403</v>
      </c>
      <c r="G100" s="6">
        <f>VALUE(MID($W100,N100+1,O100-(N100+1)))</f>
        <v>324</v>
      </c>
      <c r="H100" s="6">
        <f>VALUE(MID($W100,O100+1,P100-(O100+1)))</f>
        <v>1316</v>
      </c>
      <c r="I100" s="6">
        <f>VALUE(MID($W100,P100+1,Q100-(P100+1)))</f>
        <v>3170</v>
      </c>
      <c r="J100" s="6">
        <f>VALUE(MID($W100,Q100+1,R100-(Q100+1)))</f>
        <v>4743</v>
      </c>
      <c r="K100" s="4">
        <f>VALUE(MID(W100,R100+1,LEN(W100)-(R100)))</f>
        <v>4495</v>
      </c>
      <c r="L100" s="4">
        <f>SEARCH(",",W100,X100)</f>
        <v>15</v>
      </c>
      <c r="M100" s="4">
        <f>SEARCH(",",$W100,L100+1)</f>
        <v>21</v>
      </c>
      <c r="N100" s="4">
        <f>SEARCH(",",$W100,M100+1)</f>
        <v>27</v>
      </c>
      <c r="O100" s="4">
        <f>SEARCH(",",$W100,N100+1)</f>
        <v>32</v>
      </c>
      <c r="P100" s="4">
        <f>SEARCH(",",$W100,O100+1)</f>
        <v>38</v>
      </c>
      <c r="Q100" s="4">
        <f>SEARCH(",",$W100,P100+1)</f>
        <v>44</v>
      </c>
      <c r="R100" s="4">
        <f>SEARCH(",",$W100,Q100+1)</f>
        <v>50</v>
      </c>
      <c r="T100" t="s">
        <v>321</v>
      </c>
      <c r="U100">
        <f>SEARCH(":",T100)</f>
        <v>6</v>
      </c>
      <c r="V100" t="str">
        <f>MID(T100,U100+1,LEN(T100)-(U100))</f>
        <v xml:space="preserve"> 796186 ** -320, -778, 4403, 324, 1316, 3170, 4743, 4495</v>
      </c>
      <c r="W100" t="str">
        <f>TRIM(V100)</f>
        <v>796186 ** -320, -778, 4403, 324, 1316, 3170, 4743, 4495</v>
      </c>
      <c r="X100">
        <f>SEARCH("~*",W100)</f>
        <v>8</v>
      </c>
      <c r="Y100" t="str">
        <f>LEFT(W100,X100-1)</f>
        <v xml:space="preserve">796186 </v>
      </c>
      <c r="AA100" t="str">
        <f>CONCATENATE(A100,",",D100,",",E100,",",F100,",",G100,",",H100,",",I100,",",J100,",",K100)</f>
        <v>796186,-320,-778,4403,324,1316,3170,4743,4495</v>
      </c>
    </row>
    <row r="101" spans="1:27">
      <c r="A101" s="1">
        <f>IF(ISBLANK(T101),"",VALUE(Y101))</f>
        <v>790971</v>
      </c>
      <c r="B101" s="1">
        <f>A101*4/10 -18</f>
        <v>316370.40000000002</v>
      </c>
      <c r="C101" s="3">
        <f>B101/7000000</f>
        <v>4.5195771428571431E-2</v>
      </c>
      <c r="D101" s="6">
        <f>VALUE(MID(W101,$X101+2,L101-(X101+2)))</f>
        <v>-320</v>
      </c>
      <c r="E101" s="6">
        <f>VALUE(MID($W101,L101+1,M101-(L101+1)))</f>
        <v>-778</v>
      </c>
      <c r="F101" s="6">
        <f>VALUE(MID($W101,M101+1,N101-(M101+1)))</f>
        <v>4403</v>
      </c>
      <c r="G101" s="6">
        <f>VALUE(MID($W101,N101+1,O101-(N101+1)))</f>
        <v>324</v>
      </c>
      <c r="H101" s="6">
        <f>VALUE(MID($W101,O101+1,P101-(O101+1)))</f>
        <v>1316</v>
      </c>
      <c r="I101" s="6">
        <f>VALUE(MID($W101,P101+1,Q101-(P101+1)))</f>
        <v>3170</v>
      </c>
      <c r="J101" s="6">
        <f>VALUE(MID($W101,Q101+1,R101-(Q101+1)))</f>
        <v>4743</v>
      </c>
      <c r="K101" s="4">
        <f>VALUE(MID(W101,R101+1,LEN(W101)-(R101)))</f>
        <v>4495</v>
      </c>
      <c r="L101" s="4">
        <f>SEARCH(",",W101,X101)</f>
        <v>15</v>
      </c>
      <c r="M101" s="4">
        <f>SEARCH(",",$W101,L101+1)</f>
        <v>21</v>
      </c>
      <c r="N101" s="4">
        <f>SEARCH(",",$W101,M101+1)</f>
        <v>27</v>
      </c>
      <c r="O101" s="4">
        <f>SEARCH(",",$W101,N101+1)</f>
        <v>32</v>
      </c>
      <c r="P101" s="4">
        <f>SEARCH(",",$W101,O101+1)</f>
        <v>38</v>
      </c>
      <c r="Q101" s="4">
        <f>SEARCH(",",$W101,P101+1)</f>
        <v>44</v>
      </c>
      <c r="R101" s="4">
        <f>SEARCH(",",$W101,Q101+1)</f>
        <v>50</v>
      </c>
      <c r="T101" t="s">
        <v>391</v>
      </c>
      <c r="U101">
        <f>SEARCH(":",T101)</f>
        <v>6</v>
      </c>
      <c r="V101" t="str">
        <f>MID(T101,U101+1,LEN(T101)-(U101))</f>
        <v xml:space="preserve"> 790971 ** -320, -778, 4403, 324, 1316, 3170, 4743, 4495</v>
      </c>
      <c r="W101" t="str">
        <f>TRIM(V101)</f>
        <v>790971 ** -320, -778, 4403, 324, 1316, 3170, 4743, 4495</v>
      </c>
      <c r="X101">
        <f>SEARCH("~*",W101)</f>
        <v>8</v>
      </c>
      <c r="Y101" t="str">
        <f>LEFT(W101,X101-1)</f>
        <v xml:space="preserve">790971 </v>
      </c>
      <c r="AA101" t="str">
        <f>CONCATENATE(A101,",",D101,",",E101,",",F101,",",G101,",",H101,",",I101,",",J101,",",K101)</f>
        <v>790971,-320,-778,4403,324,1316,3170,4743,4495</v>
      </c>
    </row>
    <row r="102" spans="1:27">
      <c r="A102" s="1">
        <f>IF(ISBLANK(T102),"",VALUE(Y102))</f>
        <v>777270</v>
      </c>
      <c r="B102" s="1">
        <f>A102*4/10 -18</f>
        <v>310890</v>
      </c>
      <c r="C102" s="3">
        <f>B102/7000000</f>
        <v>4.4412857142857143E-2</v>
      </c>
      <c r="D102" s="6">
        <f>VALUE(MID(W102,$X102+2,L102-(X102+2)))</f>
        <v>-320</v>
      </c>
      <c r="E102" s="6">
        <f>VALUE(MID($W102,L102+1,M102-(L102+1)))</f>
        <v>-778</v>
      </c>
      <c r="F102" s="6">
        <f>VALUE(MID($W102,M102+1,N102-(M102+1)))</f>
        <v>4403</v>
      </c>
      <c r="G102" s="6">
        <f>VALUE(MID($W102,N102+1,O102-(N102+1)))</f>
        <v>324</v>
      </c>
      <c r="H102" s="6">
        <f>VALUE(MID($W102,O102+1,P102-(O102+1)))</f>
        <v>1316</v>
      </c>
      <c r="I102" s="6">
        <f>VALUE(MID($W102,P102+1,Q102-(P102+1)))</f>
        <v>3170</v>
      </c>
      <c r="J102" s="6">
        <f>VALUE(MID($W102,Q102+1,R102-(Q102+1)))</f>
        <v>4743</v>
      </c>
      <c r="K102" s="4">
        <f>VALUE(MID(W102,R102+1,LEN(W102)-(R102)))</f>
        <v>4495</v>
      </c>
      <c r="L102" s="4">
        <f>SEARCH(",",W102,X102)</f>
        <v>15</v>
      </c>
      <c r="M102" s="4">
        <f>SEARCH(",",$W102,L102+1)</f>
        <v>21</v>
      </c>
      <c r="N102" s="4">
        <f>SEARCH(",",$W102,M102+1)</f>
        <v>27</v>
      </c>
      <c r="O102" s="4">
        <f>SEARCH(",",$W102,N102+1)</f>
        <v>32</v>
      </c>
      <c r="P102" s="4">
        <f>SEARCH(",",$W102,O102+1)</f>
        <v>38</v>
      </c>
      <c r="Q102" s="4">
        <f>SEARCH(",",$W102,P102+1)</f>
        <v>44</v>
      </c>
      <c r="R102" s="4">
        <f>SEARCH(",",$W102,Q102+1)</f>
        <v>50</v>
      </c>
      <c r="T102" t="s">
        <v>447</v>
      </c>
      <c r="U102">
        <f>SEARCH(":",T102)</f>
        <v>6</v>
      </c>
      <c r="V102" t="str">
        <f>MID(T102,U102+1,LEN(T102)-(U102))</f>
        <v xml:space="preserve"> 777270 ** -320, -778, 4403, 324, 1316, 3170, 4743, 4495</v>
      </c>
      <c r="W102" t="str">
        <f>TRIM(V102)</f>
        <v>777270 ** -320, -778, 4403, 324, 1316, 3170, 4743, 4495</v>
      </c>
      <c r="X102">
        <f>SEARCH("~*",W102)</f>
        <v>8</v>
      </c>
      <c r="Y102" t="str">
        <f>LEFT(W102,X102-1)</f>
        <v xml:space="preserve">777270 </v>
      </c>
      <c r="AA102" t="str">
        <f>CONCATENATE(A102,",",D102,",",E102,",",F102,",",G102,",",H102,",",I102,",",J102,",",K102)</f>
        <v>777270,-320,-778,4403,324,1316,3170,4743,4495</v>
      </c>
    </row>
    <row r="103" spans="1:27">
      <c r="A103" s="1">
        <f>IF(ISBLANK(T103),"",VALUE(Y103))</f>
        <v>776128</v>
      </c>
      <c r="B103" s="1">
        <f>A103*4/10 -18</f>
        <v>310433.2</v>
      </c>
      <c r="C103" s="3">
        <f>B103/7000000</f>
        <v>4.4347600000000001E-2</v>
      </c>
      <c r="D103" s="6">
        <f>VALUE(MID(W103,$X103+2,L103-(X103+2)))</f>
        <v>-320</v>
      </c>
      <c r="E103" s="6">
        <f>VALUE(MID($W103,L103+1,M103-(L103+1)))</f>
        <v>-778</v>
      </c>
      <c r="F103" s="6">
        <f>VALUE(MID($W103,M103+1,N103-(M103+1)))</f>
        <v>4403</v>
      </c>
      <c r="G103" s="6">
        <f>VALUE(MID($W103,N103+1,O103-(N103+1)))</f>
        <v>324</v>
      </c>
      <c r="H103" s="6">
        <f>VALUE(MID($W103,O103+1,P103-(O103+1)))</f>
        <v>1316</v>
      </c>
      <c r="I103" s="6">
        <f>VALUE(MID($W103,P103+1,Q103-(P103+1)))</f>
        <v>3170</v>
      </c>
      <c r="J103" s="6">
        <f>VALUE(MID($W103,Q103+1,R103-(Q103+1)))</f>
        <v>4743</v>
      </c>
      <c r="K103" s="4">
        <f>VALUE(MID(W103,R103+1,LEN(W103)-(R103)))</f>
        <v>4495</v>
      </c>
      <c r="L103" s="4">
        <f>SEARCH(",",W103,X103)</f>
        <v>15</v>
      </c>
      <c r="M103" s="4">
        <f>SEARCH(",",$W103,L103+1)</f>
        <v>21</v>
      </c>
      <c r="N103" s="4">
        <f>SEARCH(",",$W103,M103+1)</f>
        <v>27</v>
      </c>
      <c r="O103" s="4">
        <f>SEARCH(",",$W103,N103+1)</f>
        <v>32</v>
      </c>
      <c r="P103" s="4">
        <f>SEARCH(",",$W103,O103+1)</f>
        <v>38</v>
      </c>
      <c r="Q103" s="4">
        <f>SEARCH(",",$W103,P103+1)</f>
        <v>44</v>
      </c>
      <c r="R103" s="4">
        <f>SEARCH(",",$W103,Q103+1)</f>
        <v>50</v>
      </c>
      <c r="T103" t="s">
        <v>529</v>
      </c>
      <c r="U103">
        <f>SEARCH(":",T103)</f>
        <v>6</v>
      </c>
      <c r="V103" t="str">
        <f>MID(T103,U103+1,LEN(T103)-(U103))</f>
        <v xml:space="preserve"> 776128 ** -320, -778, 4403, 324, 1316, 3170, 4743, 4495</v>
      </c>
      <c r="W103" t="str">
        <f>TRIM(V103)</f>
        <v>776128 ** -320, -778, 4403, 324, 1316, 3170, 4743, 4495</v>
      </c>
      <c r="X103">
        <f>SEARCH("~*",W103)</f>
        <v>8</v>
      </c>
      <c r="Y103" t="str">
        <f>LEFT(W103,X103-1)</f>
        <v xml:space="preserve">776128 </v>
      </c>
      <c r="AA103" t="str">
        <f>CONCATENATE(A103,",",D103,",",E103,",",F103,",",G103,",",H103,",",I103,",",J103,",",K103)</f>
        <v>776128,-320,-778,4403,324,1316,3170,4743,4495</v>
      </c>
    </row>
    <row r="104" spans="1:27">
      <c r="A104" s="1">
        <f>IF(ISBLANK(T104),"",VALUE(Y104))</f>
        <v>775996</v>
      </c>
      <c r="B104" s="1">
        <f>A104*4/10 -18</f>
        <v>310380.40000000002</v>
      </c>
      <c r="C104" s="3">
        <f>B104/7000000</f>
        <v>4.4340057142857145E-2</v>
      </c>
      <c r="D104" s="6">
        <f>VALUE(MID(W104,$X104+2,L104-(X104+2)))</f>
        <v>-320</v>
      </c>
      <c r="E104" s="6">
        <f>VALUE(MID($W104,L104+1,M104-(L104+1)))</f>
        <v>-778</v>
      </c>
      <c r="F104" s="6">
        <f>VALUE(MID($W104,M104+1,N104-(M104+1)))</f>
        <v>4403</v>
      </c>
      <c r="G104" s="6">
        <f>VALUE(MID($W104,N104+1,O104-(N104+1)))</f>
        <v>324</v>
      </c>
      <c r="H104" s="6">
        <f>VALUE(MID($W104,O104+1,P104-(O104+1)))</f>
        <v>1316</v>
      </c>
      <c r="I104" s="6">
        <f>VALUE(MID($W104,P104+1,Q104-(P104+1)))</f>
        <v>3170</v>
      </c>
      <c r="J104" s="6">
        <f>VALUE(MID($W104,Q104+1,R104-(Q104+1)))</f>
        <v>4743</v>
      </c>
      <c r="K104" s="4">
        <f>VALUE(MID(W104,R104+1,LEN(W104)-(R104)))</f>
        <v>4495</v>
      </c>
      <c r="L104" s="4">
        <f>SEARCH(",",W104,X104)</f>
        <v>15</v>
      </c>
      <c r="M104" s="4">
        <f>SEARCH(",",$W104,L104+1)</f>
        <v>21</v>
      </c>
      <c r="N104" s="4">
        <f>SEARCH(",",$W104,M104+1)</f>
        <v>27</v>
      </c>
      <c r="O104" s="4">
        <f>SEARCH(",",$W104,N104+1)</f>
        <v>32</v>
      </c>
      <c r="P104" s="4">
        <f>SEARCH(",",$W104,O104+1)</f>
        <v>38</v>
      </c>
      <c r="Q104" s="4">
        <f>SEARCH(",",$W104,P104+1)</f>
        <v>44</v>
      </c>
      <c r="R104" s="4">
        <f>SEARCH(",",$W104,Q104+1)</f>
        <v>50</v>
      </c>
      <c r="T104" t="s">
        <v>498</v>
      </c>
      <c r="U104">
        <f>SEARCH(":",T104)</f>
        <v>6</v>
      </c>
      <c r="V104" t="str">
        <f>MID(T104,U104+1,LEN(T104)-(U104))</f>
        <v xml:space="preserve"> 775996 ** -320, -778, 4403, 324, 1316, 3170, 4743, 4495</v>
      </c>
      <c r="W104" t="str">
        <f>TRIM(V104)</f>
        <v>775996 ** -320, -778, 4403, 324, 1316, 3170, 4743, 4495</v>
      </c>
      <c r="X104">
        <f>SEARCH("~*",W104)</f>
        <v>8</v>
      </c>
      <c r="Y104" t="str">
        <f>LEFT(W104,X104-1)</f>
        <v xml:space="preserve">775996 </v>
      </c>
      <c r="AA104" t="str">
        <f>CONCATENATE(A104,",",D104,",",E104,",",F104,",",G104,",",H104,",",I104,",",J104,",",K104)</f>
        <v>775996,-320,-778,4403,324,1316,3170,4743,4495</v>
      </c>
    </row>
    <row r="105" spans="1:27">
      <c r="A105" s="1">
        <f>IF(ISBLANK(T105),"",VALUE(Y105))</f>
        <v>764839</v>
      </c>
      <c r="B105" s="1">
        <f>A105*4/10 -18</f>
        <v>305917.59999999998</v>
      </c>
      <c r="C105" s="3">
        <f>B105/7000000</f>
        <v>4.3702514285714283E-2</v>
      </c>
      <c r="D105" s="6">
        <f>VALUE(MID(W105,$X105+2,L105-(X105+2)))</f>
        <v>-320</v>
      </c>
      <c r="E105" s="6">
        <f>VALUE(MID($W105,L105+1,M105-(L105+1)))</f>
        <v>-778</v>
      </c>
      <c r="F105" s="6">
        <f>VALUE(MID($W105,M105+1,N105-(M105+1)))</f>
        <v>4403</v>
      </c>
      <c r="G105" s="6">
        <f>VALUE(MID($W105,N105+1,O105-(N105+1)))</f>
        <v>324</v>
      </c>
      <c r="H105" s="6">
        <f>VALUE(MID($W105,O105+1,P105-(O105+1)))</f>
        <v>1316</v>
      </c>
      <c r="I105" s="6">
        <f>VALUE(MID($W105,P105+1,Q105-(P105+1)))</f>
        <v>3170</v>
      </c>
      <c r="J105" s="6">
        <f>VALUE(MID($W105,Q105+1,R105-(Q105+1)))</f>
        <v>4743</v>
      </c>
      <c r="K105" s="4">
        <f>VALUE(MID(W105,R105+1,LEN(W105)-(R105)))</f>
        <v>4495</v>
      </c>
      <c r="L105" s="4">
        <f>SEARCH(",",W105,X105)</f>
        <v>15</v>
      </c>
      <c r="M105" s="4">
        <f>SEARCH(",",$W105,L105+1)</f>
        <v>21</v>
      </c>
      <c r="N105" s="4">
        <f>SEARCH(",",$W105,M105+1)</f>
        <v>27</v>
      </c>
      <c r="O105" s="4">
        <f>SEARCH(",",$W105,N105+1)</f>
        <v>32</v>
      </c>
      <c r="P105" s="4">
        <f>SEARCH(",",$W105,O105+1)</f>
        <v>38</v>
      </c>
      <c r="Q105" s="4">
        <f>SEARCH(",",$W105,P105+1)</f>
        <v>44</v>
      </c>
      <c r="R105" s="4">
        <f>SEARCH(",",$W105,Q105+1)</f>
        <v>50</v>
      </c>
      <c r="T105" t="s">
        <v>489</v>
      </c>
      <c r="U105">
        <f>SEARCH(":",T105)</f>
        <v>6</v>
      </c>
      <c r="V105" t="str">
        <f>MID(T105,U105+1,LEN(T105)-(U105))</f>
        <v xml:space="preserve"> 764839 ** -320, -778, 4403, 324, 1316, 3170, 4743, 4495</v>
      </c>
      <c r="W105" t="str">
        <f>TRIM(V105)</f>
        <v>764839 ** -320, -778, 4403, 324, 1316, 3170, 4743, 4495</v>
      </c>
      <c r="X105">
        <f>SEARCH("~*",W105)</f>
        <v>8</v>
      </c>
      <c r="Y105" t="str">
        <f>LEFT(W105,X105-1)</f>
        <v xml:space="preserve">764839 </v>
      </c>
      <c r="AA105" t="str">
        <f>CONCATENATE(A105,",",D105,",",E105,",",F105,",",G105,",",H105,",",I105,",",J105,",",K105)</f>
        <v>764839,-320,-778,4403,324,1316,3170,4743,4495</v>
      </c>
    </row>
    <row r="106" spans="1:27">
      <c r="A106" s="1">
        <f>IF(ISBLANK(T106),"",VALUE(Y106))</f>
        <v>753941</v>
      </c>
      <c r="B106" s="1">
        <f>A106*4/10 -18</f>
        <v>301558.40000000002</v>
      </c>
      <c r="C106" s="3">
        <f>B106/7000000</f>
        <v>4.3079771428571431E-2</v>
      </c>
      <c r="D106" s="6">
        <f>VALUE(MID(W106,$X106+2,L106-(X106+2)))</f>
        <v>-320</v>
      </c>
      <c r="E106" s="6">
        <f>VALUE(MID($W106,L106+1,M106-(L106+1)))</f>
        <v>-778</v>
      </c>
      <c r="F106" s="6">
        <f>VALUE(MID($W106,M106+1,N106-(M106+1)))</f>
        <v>4403</v>
      </c>
      <c r="G106" s="6">
        <f>VALUE(MID($W106,N106+1,O106-(N106+1)))</f>
        <v>324</v>
      </c>
      <c r="H106" s="6">
        <f>VALUE(MID($W106,O106+1,P106-(O106+1)))</f>
        <v>1316</v>
      </c>
      <c r="I106" s="6">
        <f>VALUE(MID($W106,P106+1,Q106-(P106+1)))</f>
        <v>3170</v>
      </c>
      <c r="J106" s="6">
        <f>VALUE(MID($W106,Q106+1,R106-(Q106+1)))</f>
        <v>4743</v>
      </c>
      <c r="K106" s="4">
        <f>VALUE(MID(W106,R106+1,LEN(W106)-(R106)))</f>
        <v>4495</v>
      </c>
      <c r="L106" s="4">
        <f>SEARCH(",",W106,X106)</f>
        <v>15</v>
      </c>
      <c r="M106" s="4">
        <f>SEARCH(",",$W106,L106+1)</f>
        <v>21</v>
      </c>
      <c r="N106" s="4">
        <f>SEARCH(",",$W106,M106+1)</f>
        <v>27</v>
      </c>
      <c r="O106" s="4">
        <f>SEARCH(",",$W106,N106+1)</f>
        <v>32</v>
      </c>
      <c r="P106" s="4">
        <f>SEARCH(",",$W106,O106+1)</f>
        <v>38</v>
      </c>
      <c r="Q106" s="4">
        <f>SEARCH(",",$W106,P106+1)</f>
        <v>44</v>
      </c>
      <c r="R106" s="4">
        <f>SEARCH(",",$W106,Q106+1)</f>
        <v>50</v>
      </c>
      <c r="T106" t="s">
        <v>486</v>
      </c>
      <c r="U106">
        <f>SEARCH(":",T106)</f>
        <v>6</v>
      </c>
      <c r="V106" t="str">
        <f>MID(T106,U106+1,LEN(T106)-(U106))</f>
        <v xml:space="preserve"> 753941 ** -320, -778, 4403, 324, 1316, 3170, 4743, 4495</v>
      </c>
      <c r="W106" t="str">
        <f>TRIM(V106)</f>
        <v>753941 ** -320, -778, 4403, 324, 1316, 3170, 4743, 4495</v>
      </c>
      <c r="X106">
        <f>SEARCH("~*",W106)</f>
        <v>8</v>
      </c>
      <c r="Y106" t="str">
        <f>LEFT(W106,X106-1)</f>
        <v xml:space="preserve">753941 </v>
      </c>
      <c r="AA106" t="str">
        <f>CONCATENATE(A106,",",D106,",",E106,",",F106,",",G106,",",H106,",",I106,",",J106,",",K106)</f>
        <v>753941,-320,-778,4403,324,1316,3170,4743,4495</v>
      </c>
    </row>
    <row r="107" spans="1:27">
      <c r="A107" s="1">
        <f>IF(ISBLANK(T107),"",VALUE(Y107))</f>
        <v>750161</v>
      </c>
      <c r="B107" s="1">
        <f>A107*4/10 -18</f>
        <v>300046.40000000002</v>
      </c>
      <c r="C107" s="3">
        <f>B107/7000000</f>
        <v>4.286377142857143E-2</v>
      </c>
      <c r="D107" s="6">
        <f>VALUE(MID(W107,$X107+2,L107-(X107+2)))</f>
        <v>-320</v>
      </c>
      <c r="E107" s="6">
        <f>VALUE(MID($W107,L107+1,M107-(L107+1)))</f>
        <v>-778</v>
      </c>
      <c r="F107" s="6">
        <f>VALUE(MID($W107,M107+1,N107-(M107+1)))</f>
        <v>4403</v>
      </c>
      <c r="G107" s="6">
        <f>VALUE(MID($W107,N107+1,O107-(N107+1)))</f>
        <v>324</v>
      </c>
      <c r="H107" s="6">
        <f>VALUE(MID($W107,O107+1,P107-(O107+1)))</f>
        <v>1316</v>
      </c>
      <c r="I107" s="6">
        <f>VALUE(MID($W107,P107+1,Q107-(P107+1)))</f>
        <v>3170</v>
      </c>
      <c r="J107" s="6">
        <f>VALUE(MID($W107,Q107+1,R107-(Q107+1)))</f>
        <v>4743</v>
      </c>
      <c r="K107" s="4">
        <f>VALUE(MID(W107,R107+1,LEN(W107)-(R107)))</f>
        <v>4495</v>
      </c>
      <c r="L107" s="4">
        <f>SEARCH(",",W107,X107)</f>
        <v>15</v>
      </c>
      <c r="M107" s="4">
        <f>SEARCH(",",$W107,L107+1)</f>
        <v>21</v>
      </c>
      <c r="N107" s="4">
        <f>SEARCH(",",$W107,M107+1)</f>
        <v>27</v>
      </c>
      <c r="O107" s="4">
        <f>SEARCH(",",$W107,N107+1)</f>
        <v>32</v>
      </c>
      <c r="P107" s="4">
        <f>SEARCH(",",$W107,O107+1)</f>
        <v>38</v>
      </c>
      <c r="Q107" s="4">
        <f>SEARCH(",",$W107,P107+1)</f>
        <v>44</v>
      </c>
      <c r="R107" s="4">
        <f>SEARCH(",",$W107,Q107+1)</f>
        <v>50</v>
      </c>
      <c r="T107" t="s">
        <v>474</v>
      </c>
      <c r="U107">
        <f>SEARCH(":",T107)</f>
        <v>6</v>
      </c>
      <c r="V107" t="str">
        <f>MID(T107,U107+1,LEN(T107)-(U107))</f>
        <v xml:space="preserve"> 750161 ** -320, -778, 4403, 324, 1316, 3170, 4743, 4495</v>
      </c>
      <c r="W107" t="str">
        <f>TRIM(V107)</f>
        <v>750161 ** -320, -778, 4403, 324, 1316, 3170, 4743, 4495</v>
      </c>
      <c r="X107">
        <f>SEARCH("~*",W107)</f>
        <v>8</v>
      </c>
      <c r="Y107" t="str">
        <f>LEFT(W107,X107-1)</f>
        <v xml:space="preserve">750161 </v>
      </c>
      <c r="AA107" t="str">
        <f>CONCATENATE(A107,",",D107,",",E107,",",F107,",",G107,",",H107,",",I107,",",J107,",",K107)</f>
        <v>750161,-320,-778,4403,324,1316,3170,4743,4495</v>
      </c>
    </row>
    <row r="108" spans="1:27">
      <c r="A108" s="1">
        <f>IF(ISBLANK(T108),"",VALUE(Y108))</f>
        <v>742463</v>
      </c>
      <c r="B108" s="1">
        <f>A108*4/10 -18</f>
        <v>296967.2</v>
      </c>
      <c r="C108" s="3">
        <f>B108/7000000</f>
        <v>4.2423885714285715E-2</v>
      </c>
      <c r="D108" s="6">
        <f>VALUE(MID(W108,$X108+2,L108-(X108+2)))</f>
        <v>-320</v>
      </c>
      <c r="E108" s="6">
        <f>VALUE(MID($W108,L108+1,M108-(L108+1)))</f>
        <v>-778</v>
      </c>
      <c r="F108" s="6">
        <f>VALUE(MID($W108,M108+1,N108-(M108+1)))</f>
        <v>4403</v>
      </c>
      <c r="G108" s="6">
        <f>VALUE(MID($W108,N108+1,O108-(N108+1)))</f>
        <v>324</v>
      </c>
      <c r="H108" s="6">
        <f>VALUE(MID($W108,O108+1,P108-(O108+1)))</f>
        <v>1316</v>
      </c>
      <c r="I108" s="6">
        <f>VALUE(MID($W108,P108+1,Q108-(P108+1)))</f>
        <v>3170</v>
      </c>
      <c r="J108" s="6">
        <f>VALUE(MID($W108,Q108+1,R108-(Q108+1)))</f>
        <v>4743</v>
      </c>
      <c r="K108" s="4">
        <f>VALUE(MID(W108,R108+1,LEN(W108)-(R108)))</f>
        <v>4495</v>
      </c>
      <c r="L108" s="4">
        <f>SEARCH(",",W108,X108)</f>
        <v>15</v>
      </c>
      <c r="M108" s="4">
        <f>SEARCH(",",$W108,L108+1)</f>
        <v>21</v>
      </c>
      <c r="N108" s="4">
        <f>SEARCH(",",$W108,M108+1)</f>
        <v>27</v>
      </c>
      <c r="O108" s="4">
        <f>SEARCH(",",$W108,N108+1)</f>
        <v>32</v>
      </c>
      <c r="P108" s="4">
        <f>SEARCH(",",$W108,O108+1)</f>
        <v>38</v>
      </c>
      <c r="Q108" s="4">
        <f>SEARCH(",",$W108,P108+1)</f>
        <v>44</v>
      </c>
      <c r="R108" s="4">
        <f>SEARCH(",",$W108,Q108+1)</f>
        <v>50</v>
      </c>
      <c r="T108" t="s">
        <v>384</v>
      </c>
      <c r="U108">
        <f>SEARCH(":",T108)</f>
        <v>6</v>
      </c>
      <c r="V108" t="str">
        <f>MID(T108,U108+1,LEN(T108)-(U108))</f>
        <v xml:space="preserve"> 742463 ** -320, -778, 4403, 324, 1316, 3170, 4743, 4495</v>
      </c>
      <c r="W108" t="str">
        <f>TRIM(V108)</f>
        <v>742463 ** -320, -778, 4403, 324, 1316, 3170, 4743, 4495</v>
      </c>
      <c r="X108">
        <f>SEARCH("~*",W108)</f>
        <v>8</v>
      </c>
      <c r="Y108" t="str">
        <f>LEFT(W108,X108-1)</f>
        <v xml:space="preserve">742463 </v>
      </c>
      <c r="AA108" t="str">
        <f>CONCATENATE(A108,",",D108,",",E108,",",F108,",",G108,",",H108,",",I108,",",J108,",",K108)</f>
        <v>742463,-320,-778,4403,324,1316,3170,4743,4495</v>
      </c>
    </row>
    <row r="109" spans="1:27">
      <c r="A109" s="1">
        <f>IF(ISBLANK(T109),"",VALUE(Y109))</f>
        <v>710384</v>
      </c>
      <c r="B109" s="1">
        <f>A109*4/10 -18</f>
        <v>284135.59999999998</v>
      </c>
      <c r="C109" s="3">
        <f>B109/7000000</f>
        <v>4.0590799999999996E-2</v>
      </c>
      <c r="D109" s="6">
        <f>VALUE(MID(W109,$X109+2,L109-(X109+2)))</f>
        <v>-320</v>
      </c>
      <c r="E109" s="6">
        <f>VALUE(MID($W109,L109+1,M109-(L109+1)))</f>
        <v>-778</v>
      </c>
      <c r="F109" s="6">
        <f>VALUE(MID($W109,M109+1,N109-(M109+1)))</f>
        <v>4403</v>
      </c>
      <c r="G109" s="6">
        <f>VALUE(MID($W109,N109+1,O109-(N109+1)))</f>
        <v>324</v>
      </c>
      <c r="H109" s="6">
        <f>VALUE(MID($W109,O109+1,P109-(O109+1)))</f>
        <v>1316</v>
      </c>
      <c r="I109" s="6">
        <f>VALUE(MID($W109,P109+1,Q109-(P109+1)))</f>
        <v>3170</v>
      </c>
      <c r="J109" s="6">
        <f>VALUE(MID($W109,Q109+1,R109-(Q109+1)))</f>
        <v>4743</v>
      </c>
      <c r="K109" s="4">
        <f>VALUE(MID(W109,R109+1,LEN(W109)-(R109)))</f>
        <v>4495</v>
      </c>
      <c r="L109" s="4">
        <f>SEARCH(",",W109,X109)</f>
        <v>15</v>
      </c>
      <c r="M109" s="4">
        <f>SEARCH(",",$W109,L109+1)</f>
        <v>21</v>
      </c>
      <c r="N109" s="4">
        <f>SEARCH(",",$W109,M109+1)</f>
        <v>27</v>
      </c>
      <c r="O109" s="4">
        <f>SEARCH(",",$W109,N109+1)</f>
        <v>32</v>
      </c>
      <c r="P109" s="4">
        <f>SEARCH(",",$W109,O109+1)</f>
        <v>38</v>
      </c>
      <c r="Q109" s="4">
        <f>SEARCH(",",$W109,P109+1)</f>
        <v>44</v>
      </c>
      <c r="R109" s="4">
        <f>SEARCH(",",$W109,Q109+1)</f>
        <v>50</v>
      </c>
      <c r="T109" t="s">
        <v>430</v>
      </c>
      <c r="U109">
        <f>SEARCH(":",T109)</f>
        <v>6</v>
      </c>
      <c r="V109" t="str">
        <f>MID(T109,U109+1,LEN(T109)-(U109))</f>
        <v xml:space="preserve"> 710384 ** -320, -778, 4403, 324, 1316, 3170, 4743, 4495</v>
      </c>
      <c r="W109" t="str">
        <f>TRIM(V109)</f>
        <v>710384 ** -320, -778, 4403, 324, 1316, 3170, 4743, 4495</v>
      </c>
      <c r="X109">
        <f>SEARCH("~*",W109)</f>
        <v>8</v>
      </c>
      <c r="Y109" t="str">
        <f>LEFT(W109,X109-1)</f>
        <v xml:space="preserve">710384 </v>
      </c>
      <c r="AA109" t="str">
        <f>CONCATENATE(A109,",",D109,",",E109,",",F109,",",G109,",",H109,",",I109,",",J109,",",K109)</f>
        <v>710384,-320,-778,4403,324,1316,3170,4743,4495</v>
      </c>
    </row>
    <row r="110" spans="1:27">
      <c r="A110" s="1">
        <f>IF(ISBLANK(T110),"",VALUE(Y110))</f>
        <v>705223</v>
      </c>
      <c r="B110" s="1">
        <f>A110*4/10 -18</f>
        <v>282071.2</v>
      </c>
      <c r="C110" s="3">
        <f>B110/7000000</f>
        <v>4.0295885714285717E-2</v>
      </c>
      <c r="D110" s="6">
        <f>VALUE(MID(W110,$X110+2,L110-(X110+2)))</f>
        <v>-320</v>
      </c>
      <c r="E110" s="6">
        <f>VALUE(MID($W110,L110+1,M110-(L110+1)))</f>
        <v>-778</v>
      </c>
      <c r="F110" s="6">
        <f>VALUE(MID($W110,M110+1,N110-(M110+1)))</f>
        <v>4403</v>
      </c>
      <c r="G110" s="6">
        <f>VALUE(MID($W110,N110+1,O110-(N110+1)))</f>
        <v>324</v>
      </c>
      <c r="H110" s="6">
        <f>VALUE(MID($W110,O110+1,P110-(O110+1)))</f>
        <v>1316</v>
      </c>
      <c r="I110" s="6">
        <f>VALUE(MID($W110,P110+1,Q110-(P110+1)))</f>
        <v>3170</v>
      </c>
      <c r="J110" s="6">
        <f>VALUE(MID($W110,Q110+1,R110-(Q110+1)))</f>
        <v>4743</v>
      </c>
      <c r="K110" s="4">
        <f>VALUE(MID(W110,R110+1,LEN(W110)-(R110)))</f>
        <v>4495</v>
      </c>
      <c r="L110" s="4">
        <f>SEARCH(",",W110,X110)</f>
        <v>15</v>
      </c>
      <c r="M110" s="4">
        <f>SEARCH(",",$W110,L110+1)</f>
        <v>21</v>
      </c>
      <c r="N110" s="4">
        <f>SEARCH(",",$W110,M110+1)</f>
        <v>27</v>
      </c>
      <c r="O110" s="4">
        <f>SEARCH(",",$W110,N110+1)</f>
        <v>32</v>
      </c>
      <c r="P110" s="4">
        <f>SEARCH(",",$W110,O110+1)</f>
        <v>38</v>
      </c>
      <c r="Q110" s="4">
        <f>SEARCH(",",$W110,P110+1)</f>
        <v>44</v>
      </c>
      <c r="R110" s="4">
        <f>SEARCH(",",$W110,Q110+1)</f>
        <v>50</v>
      </c>
      <c r="T110" t="s">
        <v>492</v>
      </c>
      <c r="U110">
        <f>SEARCH(":",T110)</f>
        <v>6</v>
      </c>
      <c r="V110" t="str">
        <f>MID(T110,U110+1,LEN(T110)-(U110))</f>
        <v xml:space="preserve"> 705223 ** -320, -778, 4403, 324, 1316, 3170, 4743, 4495</v>
      </c>
      <c r="W110" t="str">
        <f>TRIM(V110)</f>
        <v>705223 ** -320, -778, 4403, 324, 1316, 3170, 4743, 4495</v>
      </c>
      <c r="X110">
        <f>SEARCH("~*",W110)</f>
        <v>8</v>
      </c>
      <c r="Y110" t="str">
        <f>LEFT(W110,X110-1)</f>
        <v xml:space="preserve">705223 </v>
      </c>
      <c r="AA110" t="str">
        <f>CONCATENATE(A110,",",D110,",",E110,",",F110,",",G110,",",H110,",",I110,",",J110,",",K110)</f>
        <v>705223,-320,-778,4403,324,1316,3170,4743,4495</v>
      </c>
    </row>
    <row r="111" spans="1:27">
      <c r="A111" s="1">
        <f>IF(ISBLANK(T111),"",VALUE(Y111))</f>
        <v>693345</v>
      </c>
      <c r="B111" s="1">
        <f>A111*4/10 -18</f>
        <v>277320</v>
      </c>
      <c r="C111" s="3">
        <f>B111/7000000</f>
        <v>3.9617142857142858E-2</v>
      </c>
      <c r="D111" s="6">
        <f>VALUE(MID(W111,$X111+2,L111-(X111+2)))</f>
        <v>-320</v>
      </c>
      <c r="E111" s="6">
        <f>VALUE(MID($W111,L111+1,M111-(L111+1)))</f>
        <v>-778</v>
      </c>
      <c r="F111" s="6">
        <f>VALUE(MID($W111,M111+1,N111-(M111+1)))</f>
        <v>4403</v>
      </c>
      <c r="G111" s="6">
        <f>VALUE(MID($W111,N111+1,O111-(N111+1)))</f>
        <v>324</v>
      </c>
      <c r="H111" s="6">
        <f>VALUE(MID($W111,O111+1,P111-(O111+1)))</f>
        <v>1316</v>
      </c>
      <c r="I111" s="6">
        <f>VALUE(MID($W111,P111+1,Q111-(P111+1)))</f>
        <v>3170</v>
      </c>
      <c r="J111" s="6">
        <f>VALUE(MID($W111,Q111+1,R111-(Q111+1)))</f>
        <v>4743</v>
      </c>
      <c r="K111" s="4">
        <f>VALUE(MID(W111,R111+1,LEN(W111)-(R111)))</f>
        <v>4495</v>
      </c>
      <c r="L111" s="4">
        <f>SEARCH(",",W111,X111)</f>
        <v>15</v>
      </c>
      <c r="M111" s="4">
        <f>SEARCH(",",$W111,L111+1)</f>
        <v>21</v>
      </c>
      <c r="N111" s="4">
        <f>SEARCH(",",$W111,M111+1)</f>
        <v>27</v>
      </c>
      <c r="O111" s="4">
        <f>SEARCH(",",$W111,N111+1)</f>
        <v>32</v>
      </c>
      <c r="P111" s="4">
        <f>SEARCH(",",$W111,O111+1)</f>
        <v>38</v>
      </c>
      <c r="Q111" s="4">
        <f>SEARCH(",",$W111,P111+1)</f>
        <v>44</v>
      </c>
      <c r="R111" s="4">
        <f>SEARCH(",",$W111,Q111+1)</f>
        <v>50</v>
      </c>
      <c r="T111" t="s">
        <v>295</v>
      </c>
      <c r="U111">
        <f>SEARCH(":",T111)</f>
        <v>6</v>
      </c>
      <c r="V111" t="str">
        <f>MID(T111,U111+1,LEN(T111)-(U111))</f>
        <v xml:space="preserve"> 693345 ** -320, -778, 4403, 324, 1316, 3170, 4743, 4495</v>
      </c>
      <c r="W111" t="str">
        <f>TRIM(V111)</f>
        <v>693345 ** -320, -778, 4403, 324, 1316, 3170, 4743, 4495</v>
      </c>
      <c r="X111">
        <f>SEARCH("~*",W111)</f>
        <v>8</v>
      </c>
      <c r="Y111" t="str">
        <f>LEFT(W111,X111-1)</f>
        <v xml:space="preserve">693345 </v>
      </c>
      <c r="AA111" t="str">
        <f>CONCATENATE(A111,",",D111,",",E111,",",F111,",",G111,",",H111,",",I111,",",J111,",",K111)</f>
        <v>693345,-320,-778,4403,324,1316,3170,4743,4495</v>
      </c>
    </row>
    <row r="112" spans="1:27">
      <c r="A112" s="1">
        <f>IF(ISBLANK(T112),"",VALUE(Y112))</f>
        <v>684784</v>
      </c>
      <c r="B112" s="1">
        <f>A112*4/10 -18</f>
        <v>273895.59999999998</v>
      </c>
      <c r="C112" s="3">
        <f>B112/7000000</f>
        <v>3.9127942857142856E-2</v>
      </c>
      <c r="D112" s="6">
        <f>VALUE(MID(W112,$X112+2,L112-(X112+2)))</f>
        <v>-320</v>
      </c>
      <c r="E112" s="6">
        <f>VALUE(MID($W112,L112+1,M112-(L112+1)))</f>
        <v>-778</v>
      </c>
      <c r="F112" s="6">
        <f>VALUE(MID($W112,M112+1,N112-(M112+1)))</f>
        <v>4403</v>
      </c>
      <c r="G112" s="6">
        <f>VALUE(MID($W112,N112+1,O112-(N112+1)))</f>
        <v>324</v>
      </c>
      <c r="H112" s="6">
        <f>VALUE(MID($W112,O112+1,P112-(O112+1)))</f>
        <v>1316</v>
      </c>
      <c r="I112" s="6">
        <f>VALUE(MID($W112,P112+1,Q112-(P112+1)))</f>
        <v>3170</v>
      </c>
      <c r="J112" s="6">
        <f>VALUE(MID($W112,Q112+1,R112-(Q112+1)))</f>
        <v>4743</v>
      </c>
      <c r="K112" s="4">
        <f>VALUE(MID(W112,R112+1,LEN(W112)-(R112)))</f>
        <v>4495</v>
      </c>
      <c r="L112" s="4">
        <f>SEARCH(",",W112,X112)</f>
        <v>15</v>
      </c>
      <c r="M112" s="4">
        <f>SEARCH(",",$W112,L112+1)</f>
        <v>21</v>
      </c>
      <c r="N112" s="4">
        <f>SEARCH(",",$W112,M112+1)</f>
        <v>27</v>
      </c>
      <c r="O112" s="4">
        <f>SEARCH(",",$W112,N112+1)</f>
        <v>32</v>
      </c>
      <c r="P112" s="4">
        <f>SEARCH(",",$W112,O112+1)</f>
        <v>38</v>
      </c>
      <c r="Q112" s="4">
        <f>SEARCH(",",$W112,P112+1)</f>
        <v>44</v>
      </c>
      <c r="R112" s="4">
        <f>SEARCH(",",$W112,Q112+1)</f>
        <v>50</v>
      </c>
      <c r="T112" t="s">
        <v>465</v>
      </c>
      <c r="U112">
        <f>SEARCH(":",T112)</f>
        <v>6</v>
      </c>
      <c r="V112" t="str">
        <f>MID(T112,U112+1,LEN(T112)-(U112))</f>
        <v xml:space="preserve"> 684784 ** -320, -778, 4403, 324, 1316, 3170, 4743, 4495</v>
      </c>
      <c r="W112" t="str">
        <f>TRIM(V112)</f>
        <v>684784 ** -320, -778, 4403, 324, 1316, 3170, 4743, 4495</v>
      </c>
      <c r="X112">
        <f>SEARCH("~*",W112)</f>
        <v>8</v>
      </c>
      <c r="Y112" t="str">
        <f>LEFT(W112,X112-1)</f>
        <v xml:space="preserve">684784 </v>
      </c>
      <c r="AA112" t="str">
        <f>CONCATENATE(A112,",",D112,",",E112,",",F112,",",G112,",",H112,",",I112,",",J112,",",K112)</f>
        <v>684784,-320,-778,4403,324,1316,3170,4743,4495</v>
      </c>
    </row>
    <row r="113" spans="1:27">
      <c r="A113" s="1">
        <f>IF(ISBLANK(T113),"",VALUE(Y113))</f>
        <v>676625</v>
      </c>
      <c r="B113" s="1">
        <f>A113*4/10 -18</f>
        <v>270632</v>
      </c>
      <c r="C113" s="3">
        <f>B113/7000000</f>
        <v>3.8661714285714285E-2</v>
      </c>
      <c r="D113" s="6">
        <f>VALUE(MID(W113,$X113+2,L113-(X113+2)))</f>
        <v>-320</v>
      </c>
      <c r="E113" s="6">
        <f>VALUE(MID($W113,L113+1,M113-(L113+1)))</f>
        <v>-778</v>
      </c>
      <c r="F113" s="6">
        <f>VALUE(MID($W113,M113+1,N113-(M113+1)))</f>
        <v>4403</v>
      </c>
      <c r="G113" s="6">
        <f>VALUE(MID($W113,N113+1,O113-(N113+1)))</f>
        <v>324</v>
      </c>
      <c r="H113" s="6">
        <f>VALUE(MID($W113,O113+1,P113-(O113+1)))</f>
        <v>1316</v>
      </c>
      <c r="I113" s="6">
        <f>VALUE(MID($W113,P113+1,Q113-(P113+1)))</f>
        <v>3170</v>
      </c>
      <c r="J113" s="6">
        <f>VALUE(MID($W113,Q113+1,R113-(Q113+1)))</f>
        <v>4743</v>
      </c>
      <c r="K113" s="4">
        <f>VALUE(MID(W113,R113+1,LEN(W113)-(R113)))</f>
        <v>4495</v>
      </c>
      <c r="L113" s="4">
        <f>SEARCH(",",W113,X113)</f>
        <v>15</v>
      </c>
      <c r="M113" s="4">
        <f>SEARCH(",",$W113,L113+1)</f>
        <v>21</v>
      </c>
      <c r="N113" s="4">
        <f>SEARCH(",",$W113,M113+1)</f>
        <v>27</v>
      </c>
      <c r="O113" s="4">
        <f>SEARCH(",",$W113,N113+1)</f>
        <v>32</v>
      </c>
      <c r="P113" s="4">
        <f>SEARCH(",",$W113,O113+1)</f>
        <v>38</v>
      </c>
      <c r="Q113" s="4">
        <f>SEARCH(",",$W113,P113+1)</f>
        <v>44</v>
      </c>
      <c r="R113" s="4">
        <f>SEARCH(",",$W113,Q113+1)</f>
        <v>50</v>
      </c>
      <c r="T113" t="s">
        <v>327</v>
      </c>
      <c r="U113">
        <f>SEARCH(":",T113)</f>
        <v>6</v>
      </c>
      <c r="V113" t="str">
        <f>MID(T113,U113+1,LEN(T113)-(U113))</f>
        <v xml:space="preserve"> 676625 ** -320, -778, 4403, 324, 1316, 3170, 4743, 4495</v>
      </c>
      <c r="W113" t="str">
        <f>TRIM(V113)</f>
        <v>676625 ** -320, -778, 4403, 324, 1316, 3170, 4743, 4495</v>
      </c>
      <c r="X113">
        <f>SEARCH("~*",W113)</f>
        <v>8</v>
      </c>
      <c r="Y113" t="str">
        <f>LEFT(W113,X113-1)</f>
        <v xml:space="preserve">676625 </v>
      </c>
      <c r="AA113" t="str">
        <f>CONCATENATE(A113,",",D113,",",E113,",",F113,",",G113,",",H113,",",I113,",",J113,",",K113)</f>
        <v>676625,-320,-778,4403,324,1316,3170,4743,4495</v>
      </c>
    </row>
    <row r="114" spans="1:27">
      <c r="A114" s="1">
        <f>IF(ISBLANK(T114),"",VALUE(Y114))</f>
        <v>662519</v>
      </c>
      <c r="B114" s="1">
        <f>A114*4/10 -18</f>
        <v>264989.59999999998</v>
      </c>
      <c r="C114" s="3">
        <f>B114/7000000</f>
        <v>3.7855657142857137E-2</v>
      </c>
      <c r="D114" s="6">
        <f>VALUE(MID(W114,$X114+2,L114-(X114+2)))</f>
        <v>-320</v>
      </c>
      <c r="E114" s="6">
        <f>VALUE(MID($W114,L114+1,M114-(L114+1)))</f>
        <v>-778</v>
      </c>
      <c r="F114" s="6">
        <f>VALUE(MID($W114,M114+1,N114-(M114+1)))</f>
        <v>4403</v>
      </c>
      <c r="G114" s="6">
        <f>VALUE(MID($W114,N114+1,O114-(N114+1)))</f>
        <v>324</v>
      </c>
      <c r="H114" s="6">
        <f>VALUE(MID($W114,O114+1,P114-(O114+1)))</f>
        <v>1316</v>
      </c>
      <c r="I114" s="6">
        <f>VALUE(MID($W114,P114+1,Q114-(P114+1)))</f>
        <v>3170</v>
      </c>
      <c r="J114" s="6">
        <f>VALUE(MID($W114,Q114+1,R114-(Q114+1)))</f>
        <v>4743</v>
      </c>
      <c r="K114" s="4">
        <f>VALUE(MID(W114,R114+1,LEN(W114)-(R114)))</f>
        <v>4495</v>
      </c>
      <c r="L114" s="4">
        <f>SEARCH(",",W114,X114)</f>
        <v>15</v>
      </c>
      <c r="M114" s="4">
        <f>SEARCH(",",$W114,L114+1)</f>
        <v>21</v>
      </c>
      <c r="N114" s="4">
        <f>SEARCH(",",$W114,M114+1)</f>
        <v>27</v>
      </c>
      <c r="O114" s="4">
        <f>SEARCH(",",$W114,N114+1)</f>
        <v>32</v>
      </c>
      <c r="P114" s="4">
        <f>SEARCH(",",$W114,O114+1)</f>
        <v>38</v>
      </c>
      <c r="Q114" s="4">
        <f>SEARCH(",",$W114,P114+1)</f>
        <v>44</v>
      </c>
      <c r="R114" s="4">
        <f>SEARCH(",",$W114,Q114+1)</f>
        <v>50</v>
      </c>
      <c r="T114" t="s">
        <v>350</v>
      </c>
      <c r="U114">
        <f>SEARCH(":",T114)</f>
        <v>6</v>
      </c>
      <c r="V114" t="str">
        <f>MID(T114,U114+1,LEN(T114)-(U114))</f>
        <v xml:space="preserve"> 662519 ** -320, -778, 4403, 324, 1316, 3170, 4743, 4495</v>
      </c>
      <c r="W114" t="str">
        <f>TRIM(V114)</f>
        <v>662519 ** -320, -778, 4403, 324, 1316, 3170, 4743, 4495</v>
      </c>
      <c r="X114">
        <f>SEARCH("~*",W114)</f>
        <v>8</v>
      </c>
      <c r="Y114" t="str">
        <f>LEFT(W114,X114-1)</f>
        <v xml:space="preserve">662519 </v>
      </c>
      <c r="AA114" t="str">
        <f>CONCATENATE(A114,",",D114,",",E114,",",F114,",",G114,",",H114,",",I114,",",J114,",",K114)</f>
        <v>662519,-320,-778,4403,324,1316,3170,4743,4495</v>
      </c>
    </row>
    <row r="115" spans="1:27">
      <c r="A115" s="1">
        <f>IF(ISBLANK(T115),"",VALUE(Y115))</f>
        <v>660326</v>
      </c>
      <c r="B115" s="1">
        <f>A115*4/10 -18</f>
        <v>264112.40000000002</v>
      </c>
      <c r="C115" s="3">
        <f>B115/7000000</f>
        <v>3.7730342857142864E-2</v>
      </c>
      <c r="D115" s="6">
        <f>VALUE(MID(W115,$X115+2,L115-(X115+2)))</f>
        <v>-320</v>
      </c>
      <c r="E115" s="6">
        <f>VALUE(MID($W115,L115+1,M115-(L115+1)))</f>
        <v>-778</v>
      </c>
      <c r="F115" s="6">
        <f>VALUE(MID($W115,M115+1,N115-(M115+1)))</f>
        <v>4403</v>
      </c>
      <c r="G115" s="6">
        <f>VALUE(MID($W115,N115+1,O115-(N115+1)))</f>
        <v>324</v>
      </c>
      <c r="H115" s="6">
        <f>VALUE(MID($W115,O115+1,P115-(O115+1)))</f>
        <v>1316</v>
      </c>
      <c r="I115" s="6">
        <f>VALUE(MID($W115,P115+1,Q115-(P115+1)))</f>
        <v>3170</v>
      </c>
      <c r="J115" s="6">
        <f>VALUE(MID($W115,Q115+1,R115-(Q115+1)))</f>
        <v>4743</v>
      </c>
      <c r="K115" s="4">
        <f>VALUE(MID(W115,R115+1,LEN(W115)-(R115)))</f>
        <v>4495</v>
      </c>
      <c r="L115" s="4">
        <f>SEARCH(",",W115,X115)</f>
        <v>15</v>
      </c>
      <c r="M115" s="4">
        <f>SEARCH(",",$W115,L115+1)</f>
        <v>21</v>
      </c>
      <c r="N115" s="4">
        <f>SEARCH(",",$W115,M115+1)</f>
        <v>27</v>
      </c>
      <c r="O115" s="4">
        <f>SEARCH(",",$W115,N115+1)</f>
        <v>32</v>
      </c>
      <c r="P115" s="4">
        <f>SEARCH(",",$W115,O115+1)</f>
        <v>38</v>
      </c>
      <c r="Q115" s="4">
        <f>SEARCH(",",$W115,P115+1)</f>
        <v>44</v>
      </c>
      <c r="R115" s="4">
        <f>SEARCH(",",$W115,Q115+1)</f>
        <v>50</v>
      </c>
      <c r="T115" t="s">
        <v>545</v>
      </c>
      <c r="U115">
        <f>SEARCH(":",T115)</f>
        <v>6</v>
      </c>
      <c r="V115" t="str">
        <f>MID(T115,U115+1,LEN(T115)-(U115))</f>
        <v xml:space="preserve"> 660326 ** -320, -778, 4403, 324, 1316, 3170, 4743, 4495</v>
      </c>
      <c r="W115" t="str">
        <f>TRIM(V115)</f>
        <v>660326 ** -320, -778, 4403, 324, 1316, 3170, 4743, 4495</v>
      </c>
      <c r="X115">
        <f>SEARCH("~*",W115)</f>
        <v>8</v>
      </c>
      <c r="Y115" t="str">
        <f>LEFT(W115,X115-1)</f>
        <v xml:space="preserve">660326 </v>
      </c>
      <c r="AA115" t="str">
        <f>CONCATENATE(A115,",",D115,",",E115,",",F115,",",G115,",",H115,",",I115,",",J115,",",K115)</f>
        <v>660326,-320,-778,4403,324,1316,3170,4743,4495</v>
      </c>
    </row>
    <row r="116" spans="1:27">
      <c r="A116" s="1">
        <f>IF(ISBLANK(T116),"",VALUE(Y116))</f>
        <v>657141</v>
      </c>
      <c r="B116" s="1">
        <f>A116*4/10 -18</f>
        <v>262838.40000000002</v>
      </c>
      <c r="C116" s="3">
        <f>B116/7000000</f>
        <v>3.7548342857142862E-2</v>
      </c>
      <c r="D116" s="6">
        <f>VALUE(MID(W116,$X116+2,L116-(X116+2)))</f>
        <v>-320</v>
      </c>
      <c r="E116" s="6">
        <f>VALUE(MID($W116,L116+1,M116-(L116+1)))</f>
        <v>-778</v>
      </c>
      <c r="F116" s="6">
        <f>VALUE(MID($W116,M116+1,N116-(M116+1)))</f>
        <v>4403</v>
      </c>
      <c r="G116" s="6">
        <f>VALUE(MID($W116,N116+1,O116-(N116+1)))</f>
        <v>324</v>
      </c>
      <c r="H116" s="6">
        <f>VALUE(MID($W116,O116+1,P116-(O116+1)))</f>
        <v>1316</v>
      </c>
      <c r="I116" s="6">
        <f>VALUE(MID($W116,P116+1,Q116-(P116+1)))</f>
        <v>3170</v>
      </c>
      <c r="J116" s="6">
        <f>VALUE(MID($W116,Q116+1,R116-(Q116+1)))</f>
        <v>4743</v>
      </c>
      <c r="K116" s="4">
        <f>VALUE(MID(W116,R116+1,LEN(W116)-(R116)))</f>
        <v>4495</v>
      </c>
      <c r="L116" s="4">
        <f>SEARCH(",",W116,X116)</f>
        <v>15</v>
      </c>
      <c r="M116" s="4">
        <f>SEARCH(",",$W116,L116+1)</f>
        <v>21</v>
      </c>
      <c r="N116" s="4">
        <f>SEARCH(",",$W116,M116+1)</f>
        <v>27</v>
      </c>
      <c r="O116" s="4">
        <f>SEARCH(",",$W116,N116+1)</f>
        <v>32</v>
      </c>
      <c r="P116" s="4">
        <f>SEARCH(",",$W116,O116+1)</f>
        <v>38</v>
      </c>
      <c r="Q116" s="4">
        <f>SEARCH(",",$W116,P116+1)</f>
        <v>44</v>
      </c>
      <c r="R116" s="4">
        <f>SEARCH(",",$W116,Q116+1)</f>
        <v>50</v>
      </c>
      <c r="T116" t="s">
        <v>415</v>
      </c>
      <c r="U116">
        <f>SEARCH(":",T116)</f>
        <v>6</v>
      </c>
      <c r="V116" t="str">
        <f>MID(T116,U116+1,LEN(T116)-(U116))</f>
        <v xml:space="preserve"> 657141 ** -320, -778, 4403, 324, 1316, 3170, 4743, 4495</v>
      </c>
      <c r="W116" t="str">
        <f>TRIM(V116)</f>
        <v>657141 ** -320, -778, 4403, 324, 1316, 3170, 4743, 4495</v>
      </c>
      <c r="X116">
        <f>SEARCH("~*",W116)</f>
        <v>8</v>
      </c>
      <c r="Y116" t="str">
        <f>LEFT(W116,X116-1)</f>
        <v xml:space="preserve">657141 </v>
      </c>
      <c r="AA116" t="str">
        <f>CONCATENATE(A116,",",D116,",",E116,",",F116,",",G116,",",H116,",",I116,",",J116,",",K116)</f>
        <v>657141,-320,-778,4403,324,1316,3170,4743,4495</v>
      </c>
    </row>
    <row r="117" spans="1:27">
      <c r="A117" s="1">
        <f>IF(ISBLANK(T117),"",VALUE(Y117))</f>
        <v>654796</v>
      </c>
      <c r="B117" s="1">
        <f>A117*4/10 -18</f>
        <v>261900.4</v>
      </c>
      <c r="C117" s="3">
        <f>B117/7000000</f>
        <v>3.7414342857142853E-2</v>
      </c>
      <c r="D117" s="6">
        <f>VALUE(MID(W117,$X117+2,L117-(X117+2)))</f>
        <v>-320</v>
      </c>
      <c r="E117" s="6">
        <f>VALUE(MID($W117,L117+1,M117-(L117+1)))</f>
        <v>-778</v>
      </c>
      <c r="F117" s="6">
        <f>VALUE(MID($W117,M117+1,N117-(M117+1)))</f>
        <v>4403</v>
      </c>
      <c r="G117" s="6">
        <f>VALUE(MID($W117,N117+1,O117-(N117+1)))</f>
        <v>324</v>
      </c>
      <c r="H117" s="6">
        <f>VALUE(MID($W117,O117+1,P117-(O117+1)))</f>
        <v>1316</v>
      </c>
      <c r="I117" s="6">
        <f>VALUE(MID($W117,P117+1,Q117-(P117+1)))</f>
        <v>3170</v>
      </c>
      <c r="J117" s="6">
        <f>VALUE(MID($W117,Q117+1,R117-(Q117+1)))</f>
        <v>4743</v>
      </c>
      <c r="K117" s="4">
        <f>VALUE(MID(W117,R117+1,LEN(W117)-(R117)))</f>
        <v>4495</v>
      </c>
      <c r="L117" s="4">
        <f>SEARCH(",",W117,X117)</f>
        <v>15</v>
      </c>
      <c r="M117" s="4">
        <f>SEARCH(",",$W117,L117+1)</f>
        <v>21</v>
      </c>
      <c r="N117" s="4">
        <f>SEARCH(",",$W117,M117+1)</f>
        <v>27</v>
      </c>
      <c r="O117" s="4">
        <f>SEARCH(",",$W117,N117+1)</f>
        <v>32</v>
      </c>
      <c r="P117" s="4">
        <f>SEARCH(",",$W117,O117+1)</f>
        <v>38</v>
      </c>
      <c r="Q117" s="4">
        <f>SEARCH(",",$W117,P117+1)</f>
        <v>44</v>
      </c>
      <c r="R117" s="4">
        <f>SEARCH(",",$W117,Q117+1)</f>
        <v>50</v>
      </c>
      <c r="T117" t="s">
        <v>319</v>
      </c>
      <c r="U117">
        <f>SEARCH(":",T117)</f>
        <v>6</v>
      </c>
      <c r="V117" t="str">
        <f>MID(T117,U117+1,LEN(T117)-(U117))</f>
        <v xml:space="preserve"> 654796 ** -320, -778, 4403, 324, 1316, 3170, 4743, 4495</v>
      </c>
      <c r="W117" t="str">
        <f>TRIM(V117)</f>
        <v>654796 ** -320, -778, 4403, 324, 1316, 3170, 4743, 4495</v>
      </c>
      <c r="X117">
        <f>SEARCH("~*",W117)</f>
        <v>8</v>
      </c>
      <c r="Y117" t="str">
        <f>LEFT(W117,X117-1)</f>
        <v xml:space="preserve">654796 </v>
      </c>
      <c r="AA117" t="str">
        <f>CONCATENATE(A117,",",D117,",",E117,",",F117,",",G117,",",H117,",",I117,",",J117,",",K117)</f>
        <v>654796,-320,-778,4403,324,1316,3170,4743,4495</v>
      </c>
    </row>
    <row r="118" spans="1:27">
      <c r="A118" s="1">
        <f>IF(ISBLANK(T118),"",VALUE(Y118))</f>
        <v>642979</v>
      </c>
      <c r="B118" s="1">
        <f>A118*4/10 -18</f>
        <v>257173.6</v>
      </c>
      <c r="C118" s="3">
        <f>B118/7000000</f>
        <v>3.6739085714285719E-2</v>
      </c>
      <c r="D118" s="6">
        <f>VALUE(MID(W118,$X118+2,L118-(X118+2)))</f>
        <v>-320</v>
      </c>
      <c r="E118" s="6">
        <f>VALUE(MID($W118,L118+1,M118-(L118+1)))</f>
        <v>-778</v>
      </c>
      <c r="F118" s="6">
        <f>VALUE(MID($W118,M118+1,N118-(M118+1)))</f>
        <v>4403</v>
      </c>
      <c r="G118" s="6">
        <f>VALUE(MID($W118,N118+1,O118-(N118+1)))</f>
        <v>324</v>
      </c>
      <c r="H118" s="6">
        <f>VALUE(MID($W118,O118+1,P118-(O118+1)))</f>
        <v>1316</v>
      </c>
      <c r="I118" s="6">
        <f>VALUE(MID($W118,P118+1,Q118-(P118+1)))</f>
        <v>3170</v>
      </c>
      <c r="J118" s="6">
        <f>VALUE(MID($W118,Q118+1,R118-(Q118+1)))</f>
        <v>4743</v>
      </c>
      <c r="K118" s="4">
        <f>VALUE(MID(W118,R118+1,LEN(W118)-(R118)))</f>
        <v>4495</v>
      </c>
      <c r="L118" s="4">
        <f>SEARCH(",",W118,X118)</f>
        <v>15</v>
      </c>
      <c r="M118" s="4">
        <f>SEARCH(",",$W118,L118+1)</f>
        <v>21</v>
      </c>
      <c r="N118" s="4">
        <f>SEARCH(",",$W118,M118+1)</f>
        <v>27</v>
      </c>
      <c r="O118" s="4">
        <f>SEARCH(",",$W118,N118+1)</f>
        <v>32</v>
      </c>
      <c r="P118" s="4">
        <f>SEARCH(",",$W118,O118+1)</f>
        <v>38</v>
      </c>
      <c r="Q118" s="4">
        <f>SEARCH(",",$W118,P118+1)</f>
        <v>44</v>
      </c>
      <c r="R118" s="4">
        <f>SEARCH(",",$W118,Q118+1)</f>
        <v>50</v>
      </c>
      <c r="T118" t="s">
        <v>534</v>
      </c>
      <c r="U118">
        <f>SEARCH(":",T118)</f>
        <v>6</v>
      </c>
      <c r="V118" t="str">
        <f>MID(T118,U118+1,LEN(T118)-(U118))</f>
        <v xml:space="preserve"> 642979 ** -320, -778, 4403, 324, 1316, 3170, 4743, 4495</v>
      </c>
      <c r="W118" t="str">
        <f>TRIM(V118)</f>
        <v>642979 ** -320, -778, 4403, 324, 1316, 3170, 4743, 4495</v>
      </c>
      <c r="X118">
        <f>SEARCH("~*",W118)</f>
        <v>8</v>
      </c>
      <c r="Y118" t="str">
        <f>LEFT(W118,X118-1)</f>
        <v xml:space="preserve">642979 </v>
      </c>
      <c r="AA118" t="str">
        <f>CONCATENATE(A118,",",D118,",",E118,",",F118,",",G118,",",H118,",",I118,",",J118,",",K118)</f>
        <v>642979,-320,-778,4403,324,1316,3170,4743,4495</v>
      </c>
    </row>
    <row r="119" spans="1:27">
      <c r="A119" s="1">
        <f>IF(ISBLANK(T119),"",VALUE(Y119))</f>
        <v>631689</v>
      </c>
      <c r="B119" s="1">
        <f>A119*4/10 -18</f>
        <v>252657.6</v>
      </c>
      <c r="C119" s="3">
        <f>B119/7000000</f>
        <v>3.6093942857142861E-2</v>
      </c>
      <c r="D119" s="6">
        <f>VALUE(MID(W119,$X119+2,L119-(X119+2)))</f>
        <v>-320</v>
      </c>
      <c r="E119" s="6">
        <f>VALUE(MID($W119,L119+1,M119-(L119+1)))</f>
        <v>-778</v>
      </c>
      <c r="F119" s="6">
        <f>VALUE(MID($W119,M119+1,N119-(M119+1)))</f>
        <v>4403</v>
      </c>
      <c r="G119" s="6">
        <f>VALUE(MID($W119,N119+1,O119-(N119+1)))</f>
        <v>324</v>
      </c>
      <c r="H119" s="6">
        <f>VALUE(MID($W119,O119+1,P119-(O119+1)))</f>
        <v>1316</v>
      </c>
      <c r="I119" s="6">
        <f>VALUE(MID($W119,P119+1,Q119-(P119+1)))</f>
        <v>3170</v>
      </c>
      <c r="J119" s="6">
        <f>VALUE(MID($W119,Q119+1,R119-(Q119+1)))</f>
        <v>4743</v>
      </c>
      <c r="K119" s="4">
        <f>VALUE(MID(W119,R119+1,LEN(W119)-(R119)))</f>
        <v>4495</v>
      </c>
      <c r="L119" s="4">
        <f>SEARCH(",",W119,X119)</f>
        <v>15</v>
      </c>
      <c r="M119" s="4">
        <f>SEARCH(",",$W119,L119+1)</f>
        <v>21</v>
      </c>
      <c r="N119" s="4">
        <f>SEARCH(",",$W119,M119+1)</f>
        <v>27</v>
      </c>
      <c r="O119" s="4">
        <f>SEARCH(",",$W119,N119+1)</f>
        <v>32</v>
      </c>
      <c r="P119" s="4">
        <f>SEARCH(",",$W119,O119+1)</f>
        <v>38</v>
      </c>
      <c r="Q119" s="4">
        <f>SEARCH(",",$W119,P119+1)</f>
        <v>44</v>
      </c>
      <c r="R119" s="4">
        <f>SEARCH(",",$W119,Q119+1)</f>
        <v>50</v>
      </c>
      <c r="T119" t="s">
        <v>357</v>
      </c>
      <c r="U119">
        <f>SEARCH(":",T119)</f>
        <v>6</v>
      </c>
      <c r="V119" t="str">
        <f>MID(T119,U119+1,LEN(T119)-(U119))</f>
        <v xml:space="preserve"> 631689 ** -320, -778, 4403, 324, 1316, 3170, 4743, 4495</v>
      </c>
      <c r="W119" t="str">
        <f>TRIM(V119)</f>
        <v>631689 ** -320, -778, 4403, 324, 1316, 3170, 4743, 4495</v>
      </c>
      <c r="X119">
        <f>SEARCH("~*",W119)</f>
        <v>8</v>
      </c>
      <c r="Y119" t="str">
        <f>LEFT(W119,X119-1)</f>
        <v xml:space="preserve">631689 </v>
      </c>
      <c r="AA119" t="str">
        <f>CONCATENATE(A119,",",D119,",",E119,",",F119,",",G119,",",H119,",",I119,",",J119,",",K119)</f>
        <v>631689,-320,-778,4403,324,1316,3170,4743,4495</v>
      </c>
    </row>
    <row r="120" spans="1:27">
      <c r="A120" s="1">
        <f>IF(ISBLANK(T120),"",VALUE(Y120))</f>
        <v>625118</v>
      </c>
      <c r="B120" s="1">
        <f>A120*4/10 -18</f>
        <v>250029.2</v>
      </c>
      <c r="C120" s="3">
        <f>B120/7000000</f>
        <v>3.5718457142857145E-2</v>
      </c>
      <c r="D120" s="6">
        <f>VALUE(MID(W120,$X120+2,L120-(X120+2)))</f>
        <v>-320</v>
      </c>
      <c r="E120" s="6">
        <f>VALUE(MID($W120,L120+1,M120-(L120+1)))</f>
        <v>-778</v>
      </c>
      <c r="F120" s="6">
        <f>VALUE(MID($W120,M120+1,N120-(M120+1)))</f>
        <v>4403</v>
      </c>
      <c r="G120" s="6">
        <f>VALUE(MID($W120,N120+1,O120-(N120+1)))</f>
        <v>324</v>
      </c>
      <c r="H120" s="6">
        <f>VALUE(MID($W120,O120+1,P120-(O120+1)))</f>
        <v>1316</v>
      </c>
      <c r="I120" s="6">
        <f>VALUE(MID($W120,P120+1,Q120-(P120+1)))</f>
        <v>3170</v>
      </c>
      <c r="J120" s="6">
        <f>VALUE(MID($W120,Q120+1,R120-(Q120+1)))</f>
        <v>4743</v>
      </c>
      <c r="K120" s="4">
        <f>VALUE(MID(W120,R120+1,LEN(W120)-(R120)))</f>
        <v>4495</v>
      </c>
      <c r="L120" s="4">
        <f>SEARCH(",",W120,X120)</f>
        <v>15</v>
      </c>
      <c r="M120" s="4">
        <f>SEARCH(",",$W120,L120+1)</f>
        <v>21</v>
      </c>
      <c r="N120" s="4">
        <f>SEARCH(",",$W120,M120+1)</f>
        <v>27</v>
      </c>
      <c r="O120" s="4">
        <f>SEARCH(",",$W120,N120+1)</f>
        <v>32</v>
      </c>
      <c r="P120" s="4">
        <f>SEARCH(",",$W120,O120+1)</f>
        <v>38</v>
      </c>
      <c r="Q120" s="4">
        <f>SEARCH(",",$W120,P120+1)</f>
        <v>44</v>
      </c>
      <c r="R120" s="4">
        <f>SEARCH(",",$W120,Q120+1)</f>
        <v>50</v>
      </c>
      <c r="T120" t="s">
        <v>403</v>
      </c>
      <c r="U120">
        <f>SEARCH(":",T120)</f>
        <v>6</v>
      </c>
      <c r="V120" t="str">
        <f>MID(T120,U120+1,LEN(T120)-(U120))</f>
        <v xml:space="preserve"> 625118 ** -320, -778, 4403, 324, 1316, 3170, 4743, 4495</v>
      </c>
      <c r="W120" t="str">
        <f>TRIM(V120)</f>
        <v>625118 ** -320, -778, 4403, 324, 1316, 3170, 4743, 4495</v>
      </c>
      <c r="X120">
        <f>SEARCH("~*",W120)</f>
        <v>8</v>
      </c>
      <c r="Y120" t="str">
        <f>LEFT(W120,X120-1)</f>
        <v xml:space="preserve">625118 </v>
      </c>
      <c r="AA120" t="str">
        <f>CONCATENATE(A120,",",D120,",",E120,",",F120,",",G120,",",H120,",",I120,",",J120,",",K120)</f>
        <v>625118,-320,-778,4403,324,1316,3170,4743,4495</v>
      </c>
    </row>
    <row r="121" spans="1:27">
      <c r="A121" s="1">
        <f>IF(ISBLANK(T121),"",VALUE(Y121))</f>
        <v>619584</v>
      </c>
      <c r="B121" s="1">
        <f>A121*4/10 -18</f>
        <v>247815.6</v>
      </c>
      <c r="C121" s="3">
        <f>B121/7000000</f>
        <v>3.5402228571428572E-2</v>
      </c>
      <c r="D121" s="6">
        <f>VALUE(MID(W121,$X121+2,L121-(X121+2)))</f>
        <v>-320</v>
      </c>
      <c r="E121" s="6">
        <f>VALUE(MID($W121,L121+1,M121-(L121+1)))</f>
        <v>-778</v>
      </c>
      <c r="F121" s="6">
        <f>VALUE(MID($W121,M121+1,N121-(M121+1)))</f>
        <v>4403</v>
      </c>
      <c r="G121" s="6">
        <f>VALUE(MID($W121,N121+1,O121-(N121+1)))</f>
        <v>324</v>
      </c>
      <c r="H121" s="6">
        <f>VALUE(MID($W121,O121+1,P121-(O121+1)))</f>
        <v>1316</v>
      </c>
      <c r="I121" s="6">
        <f>VALUE(MID($W121,P121+1,Q121-(P121+1)))</f>
        <v>3170</v>
      </c>
      <c r="J121" s="6">
        <f>VALUE(MID($W121,Q121+1,R121-(Q121+1)))</f>
        <v>4743</v>
      </c>
      <c r="K121" s="4">
        <f>VALUE(MID(W121,R121+1,LEN(W121)-(R121)))</f>
        <v>4495</v>
      </c>
      <c r="L121" s="4">
        <f>SEARCH(",",W121,X121)</f>
        <v>15</v>
      </c>
      <c r="M121" s="4">
        <f>SEARCH(",",$W121,L121+1)</f>
        <v>21</v>
      </c>
      <c r="N121" s="4">
        <f>SEARCH(",",$W121,M121+1)</f>
        <v>27</v>
      </c>
      <c r="O121" s="4">
        <f>SEARCH(",",$W121,N121+1)</f>
        <v>32</v>
      </c>
      <c r="P121" s="4">
        <f>SEARCH(",",$W121,O121+1)</f>
        <v>38</v>
      </c>
      <c r="Q121" s="4">
        <f>SEARCH(",",$W121,P121+1)</f>
        <v>44</v>
      </c>
      <c r="R121" s="4">
        <f>SEARCH(",",$W121,Q121+1)</f>
        <v>50</v>
      </c>
      <c r="T121" t="s">
        <v>525</v>
      </c>
      <c r="U121">
        <f>SEARCH(":",T121)</f>
        <v>6</v>
      </c>
      <c r="V121" t="str">
        <f>MID(T121,U121+1,LEN(T121)-(U121))</f>
        <v xml:space="preserve"> 619584 ** -320, -778, 4403, 324, 1316, 3170, 4743, 4495</v>
      </c>
      <c r="W121" t="str">
        <f>TRIM(V121)</f>
        <v>619584 ** -320, -778, 4403, 324, 1316, 3170, 4743, 4495</v>
      </c>
      <c r="X121">
        <f>SEARCH("~*",W121)</f>
        <v>8</v>
      </c>
      <c r="Y121" t="str">
        <f>LEFT(W121,X121-1)</f>
        <v xml:space="preserve">619584 </v>
      </c>
      <c r="AA121" t="str">
        <f>CONCATENATE(A121,",",D121,",",E121,",",F121,",",G121,",",H121,",",I121,",",J121,",",K121)</f>
        <v>619584,-320,-778,4403,324,1316,3170,4743,4495</v>
      </c>
    </row>
    <row r="122" spans="1:27">
      <c r="A122" s="1">
        <f>IF(ISBLANK(T122),"",VALUE(Y122))</f>
        <v>616048</v>
      </c>
      <c r="B122" s="1">
        <f>A122*4/10 -18</f>
        <v>246401.2</v>
      </c>
      <c r="C122" s="3">
        <f>B122/7000000</f>
        <v>3.5200171428571431E-2</v>
      </c>
      <c r="D122" s="6">
        <f>VALUE(MID(W122,$X122+2,L122-(X122+2)))</f>
        <v>-320</v>
      </c>
      <c r="E122" s="6">
        <f>VALUE(MID($W122,L122+1,M122-(L122+1)))</f>
        <v>-778</v>
      </c>
      <c r="F122" s="6">
        <f>VALUE(MID($W122,M122+1,N122-(M122+1)))</f>
        <v>4403</v>
      </c>
      <c r="G122" s="6">
        <f>VALUE(MID($W122,N122+1,O122-(N122+1)))</f>
        <v>324</v>
      </c>
      <c r="H122" s="6">
        <f>VALUE(MID($W122,O122+1,P122-(O122+1)))</f>
        <v>1316</v>
      </c>
      <c r="I122" s="6">
        <f>VALUE(MID($W122,P122+1,Q122-(P122+1)))</f>
        <v>3170</v>
      </c>
      <c r="J122" s="6">
        <f>VALUE(MID($W122,Q122+1,R122-(Q122+1)))</f>
        <v>4743</v>
      </c>
      <c r="K122" s="4">
        <f>VALUE(MID(W122,R122+1,LEN(W122)-(R122)))</f>
        <v>4495</v>
      </c>
      <c r="L122" s="4">
        <f>SEARCH(",",W122,X122)</f>
        <v>15</v>
      </c>
      <c r="M122" s="4">
        <f>SEARCH(",",$W122,L122+1)</f>
        <v>21</v>
      </c>
      <c r="N122" s="4">
        <f>SEARCH(",",$W122,M122+1)</f>
        <v>27</v>
      </c>
      <c r="O122" s="4">
        <f>SEARCH(",",$W122,N122+1)</f>
        <v>32</v>
      </c>
      <c r="P122" s="4">
        <f>SEARCH(",",$W122,O122+1)</f>
        <v>38</v>
      </c>
      <c r="Q122" s="4">
        <f>SEARCH(",",$W122,P122+1)</f>
        <v>44</v>
      </c>
      <c r="R122" s="4">
        <f>SEARCH(",",$W122,Q122+1)</f>
        <v>50</v>
      </c>
      <c r="T122" t="s">
        <v>468</v>
      </c>
      <c r="U122">
        <f>SEARCH(":",T122)</f>
        <v>6</v>
      </c>
      <c r="V122" t="str">
        <f>MID(T122,U122+1,LEN(T122)-(U122))</f>
        <v xml:space="preserve"> 616048 ** -320, -778, 4403, 324, 1316, 3170, 4743, 4495</v>
      </c>
      <c r="W122" t="str">
        <f>TRIM(V122)</f>
        <v>616048 ** -320, -778, 4403, 324, 1316, 3170, 4743, 4495</v>
      </c>
      <c r="X122">
        <f>SEARCH("~*",W122)</f>
        <v>8</v>
      </c>
      <c r="Y122" t="str">
        <f>LEFT(W122,X122-1)</f>
        <v xml:space="preserve">616048 </v>
      </c>
      <c r="AA122" t="str">
        <f>CONCATENATE(A122,",",D122,",",E122,",",F122,",",G122,",",H122,",",I122,",",J122,",",K122)</f>
        <v>616048,-320,-778,4403,324,1316,3170,4743,4495</v>
      </c>
    </row>
    <row r="123" spans="1:27">
      <c r="A123" s="1">
        <f>IF(ISBLANK(T123),"",VALUE(Y123))</f>
        <v>614344</v>
      </c>
      <c r="B123" s="1">
        <f>A123*4/10 -18</f>
        <v>245719.6</v>
      </c>
      <c r="C123" s="3">
        <f>B123/7000000</f>
        <v>3.5102800000000003E-2</v>
      </c>
      <c r="D123" s="6">
        <f>VALUE(MID(W123,$X123+2,L123-(X123+2)))</f>
        <v>-320</v>
      </c>
      <c r="E123" s="6">
        <f>VALUE(MID($W123,L123+1,M123-(L123+1)))</f>
        <v>-778</v>
      </c>
      <c r="F123" s="6">
        <f>VALUE(MID($W123,M123+1,N123-(M123+1)))</f>
        <v>4403</v>
      </c>
      <c r="G123" s="6">
        <f>VALUE(MID($W123,N123+1,O123-(N123+1)))</f>
        <v>324</v>
      </c>
      <c r="H123" s="6">
        <f>VALUE(MID($W123,O123+1,P123-(O123+1)))</f>
        <v>1316</v>
      </c>
      <c r="I123" s="6">
        <f>VALUE(MID($W123,P123+1,Q123-(P123+1)))</f>
        <v>3170</v>
      </c>
      <c r="J123" s="6">
        <f>VALUE(MID($W123,Q123+1,R123-(Q123+1)))</f>
        <v>4743</v>
      </c>
      <c r="K123" s="4">
        <f>VALUE(MID(W123,R123+1,LEN(W123)-(R123)))</f>
        <v>4495</v>
      </c>
      <c r="L123" s="4">
        <f>SEARCH(",",W123,X123)</f>
        <v>15</v>
      </c>
      <c r="M123" s="4">
        <f>SEARCH(",",$W123,L123+1)</f>
        <v>21</v>
      </c>
      <c r="N123" s="4">
        <f>SEARCH(",",$W123,M123+1)</f>
        <v>27</v>
      </c>
      <c r="O123" s="4">
        <f>SEARCH(",",$W123,N123+1)</f>
        <v>32</v>
      </c>
      <c r="P123" s="4">
        <f>SEARCH(",",$W123,O123+1)</f>
        <v>38</v>
      </c>
      <c r="Q123" s="4">
        <f>SEARCH(",",$W123,P123+1)</f>
        <v>44</v>
      </c>
      <c r="R123" s="4">
        <f>SEARCH(",",$W123,Q123+1)</f>
        <v>50</v>
      </c>
      <c r="T123" t="s">
        <v>513</v>
      </c>
      <c r="U123">
        <f>SEARCH(":",T123)</f>
        <v>6</v>
      </c>
      <c r="V123" t="str">
        <f>MID(T123,U123+1,LEN(T123)-(U123))</f>
        <v xml:space="preserve"> 614344 ** -320, -778, 4403, 324, 1316, 3170, 4743, 4495</v>
      </c>
      <c r="W123" t="str">
        <f>TRIM(V123)</f>
        <v>614344 ** -320, -778, 4403, 324, 1316, 3170, 4743, 4495</v>
      </c>
      <c r="X123">
        <f>SEARCH("~*",W123)</f>
        <v>8</v>
      </c>
      <c r="Y123" t="str">
        <f>LEFT(W123,X123-1)</f>
        <v xml:space="preserve">614344 </v>
      </c>
      <c r="AA123" t="str">
        <f>CONCATENATE(A123,",",D123,",",E123,",",F123,",",G123,",",H123,",",I123,",",J123,",",K123)</f>
        <v>614344,-320,-778,4403,324,1316,3170,4743,4495</v>
      </c>
    </row>
    <row r="124" spans="1:27">
      <c r="A124" s="1">
        <f>IF(ISBLANK(T124),"",VALUE(Y124))</f>
        <v>613916</v>
      </c>
      <c r="B124" s="1">
        <f>A124*4/10 -18</f>
        <v>245548.4</v>
      </c>
      <c r="C124" s="3">
        <f>B124/7000000</f>
        <v>3.5078342857142855E-2</v>
      </c>
      <c r="D124" s="6">
        <f>VALUE(MID(W124,$X124+2,L124-(X124+2)))</f>
        <v>-320</v>
      </c>
      <c r="E124" s="6">
        <f>VALUE(MID($W124,L124+1,M124-(L124+1)))</f>
        <v>-778</v>
      </c>
      <c r="F124" s="6">
        <f>VALUE(MID($W124,M124+1,N124-(M124+1)))</f>
        <v>4403</v>
      </c>
      <c r="G124" s="6">
        <f>VALUE(MID($W124,N124+1,O124-(N124+1)))</f>
        <v>324</v>
      </c>
      <c r="H124" s="6">
        <f>VALUE(MID($W124,O124+1,P124-(O124+1)))</f>
        <v>1316</v>
      </c>
      <c r="I124" s="6">
        <f>VALUE(MID($W124,P124+1,Q124-(P124+1)))</f>
        <v>3170</v>
      </c>
      <c r="J124" s="6">
        <f>VALUE(MID($W124,Q124+1,R124-(Q124+1)))</f>
        <v>4743</v>
      </c>
      <c r="K124" s="4">
        <f>VALUE(MID(W124,R124+1,LEN(W124)-(R124)))</f>
        <v>4495</v>
      </c>
      <c r="L124" s="4">
        <f>SEARCH(",",W124,X124)</f>
        <v>15</v>
      </c>
      <c r="M124" s="4">
        <f>SEARCH(",",$W124,L124+1)</f>
        <v>21</v>
      </c>
      <c r="N124" s="4">
        <f>SEARCH(",",$W124,M124+1)</f>
        <v>27</v>
      </c>
      <c r="O124" s="4">
        <f>SEARCH(",",$W124,N124+1)</f>
        <v>32</v>
      </c>
      <c r="P124" s="4">
        <f>SEARCH(",",$W124,O124+1)</f>
        <v>38</v>
      </c>
      <c r="Q124" s="4">
        <f>SEARCH(",",$W124,P124+1)</f>
        <v>44</v>
      </c>
      <c r="R124" s="4">
        <f>SEARCH(",",$W124,Q124+1)</f>
        <v>50</v>
      </c>
      <c r="T124" t="s">
        <v>395</v>
      </c>
      <c r="U124">
        <f>SEARCH(":",T124)</f>
        <v>6</v>
      </c>
      <c r="V124" t="str">
        <f>MID(T124,U124+1,LEN(T124)-(U124))</f>
        <v xml:space="preserve"> 613916 ** -320, -778, 4403, 324, 1316, 3170, 4743, 4495</v>
      </c>
      <c r="W124" t="str">
        <f>TRIM(V124)</f>
        <v>613916 ** -320, -778, 4403, 324, 1316, 3170, 4743, 4495</v>
      </c>
      <c r="X124">
        <f>SEARCH("~*",W124)</f>
        <v>8</v>
      </c>
      <c r="Y124" t="str">
        <f>LEFT(W124,X124-1)</f>
        <v xml:space="preserve">613916 </v>
      </c>
      <c r="AA124" t="str">
        <f>CONCATENATE(A124,",",D124,",",E124,",",F124,",",G124,",",H124,",",I124,",",J124,",",K124)</f>
        <v>613916,-320,-778,4403,324,1316,3170,4743,4495</v>
      </c>
    </row>
    <row r="125" spans="1:27">
      <c r="A125" s="1">
        <f>IF(ISBLANK(T125),"",VALUE(Y125))</f>
        <v>607006</v>
      </c>
      <c r="B125" s="1">
        <f>A125*4/10 -18</f>
        <v>242784.4</v>
      </c>
      <c r="C125" s="3">
        <f>B125/7000000</f>
        <v>3.4683485714285714E-2</v>
      </c>
      <c r="D125" s="6">
        <f>VALUE(MID(W125,$X125+2,L125-(X125+2)))</f>
        <v>-320</v>
      </c>
      <c r="E125" s="6">
        <f>VALUE(MID($W125,L125+1,M125-(L125+1)))</f>
        <v>-778</v>
      </c>
      <c r="F125" s="6">
        <f>VALUE(MID($W125,M125+1,N125-(M125+1)))</f>
        <v>4403</v>
      </c>
      <c r="G125" s="6">
        <f>VALUE(MID($W125,N125+1,O125-(N125+1)))</f>
        <v>324</v>
      </c>
      <c r="H125" s="6">
        <f>VALUE(MID($W125,O125+1,P125-(O125+1)))</f>
        <v>1316</v>
      </c>
      <c r="I125" s="6">
        <f>VALUE(MID($W125,P125+1,Q125-(P125+1)))</f>
        <v>3170</v>
      </c>
      <c r="J125" s="6">
        <f>VALUE(MID($W125,Q125+1,R125-(Q125+1)))</f>
        <v>4743</v>
      </c>
      <c r="K125" s="4">
        <f>VALUE(MID(W125,R125+1,LEN(W125)-(R125)))</f>
        <v>4495</v>
      </c>
      <c r="L125" s="4">
        <f>SEARCH(",",W125,X125)</f>
        <v>15</v>
      </c>
      <c r="M125" s="4">
        <f>SEARCH(",",$W125,L125+1)</f>
        <v>21</v>
      </c>
      <c r="N125" s="4">
        <f>SEARCH(",",$W125,M125+1)</f>
        <v>27</v>
      </c>
      <c r="O125" s="4">
        <f>SEARCH(",",$W125,N125+1)</f>
        <v>32</v>
      </c>
      <c r="P125" s="4">
        <f>SEARCH(",",$W125,O125+1)</f>
        <v>38</v>
      </c>
      <c r="Q125" s="4">
        <f>SEARCH(",",$W125,P125+1)</f>
        <v>44</v>
      </c>
      <c r="R125" s="4">
        <f>SEARCH(",",$W125,Q125+1)</f>
        <v>50</v>
      </c>
      <c r="T125" t="s">
        <v>532</v>
      </c>
      <c r="U125">
        <f>SEARCH(":",T125)</f>
        <v>6</v>
      </c>
      <c r="V125" t="str">
        <f>MID(T125,U125+1,LEN(T125)-(U125))</f>
        <v xml:space="preserve"> 607006 ** -320, -778, 4403, 324, 1316, 3170, 4743, 4495</v>
      </c>
      <c r="W125" t="str">
        <f>TRIM(V125)</f>
        <v>607006 ** -320, -778, 4403, 324, 1316, 3170, 4743, 4495</v>
      </c>
      <c r="X125">
        <f>SEARCH("~*",W125)</f>
        <v>8</v>
      </c>
      <c r="Y125" t="str">
        <f>LEFT(W125,X125-1)</f>
        <v xml:space="preserve">607006 </v>
      </c>
      <c r="AA125" t="str">
        <f>CONCATENATE(A125,",",D125,",",E125,",",F125,",",G125,",",H125,",",I125,",",J125,",",K125)</f>
        <v>607006,-320,-778,4403,324,1316,3170,4743,4495</v>
      </c>
    </row>
    <row r="126" spans="1:27">
      <c r="A126" s="1">
        <f>IF(ISBLANK(T126),"",VALUE(Y126))</f>
        <v>604360</v>
      </c>
      <c r="B126" s="1">
        <f>A126*4/10 -18</f>
        <v>241726</v>
      </c>
      <c r="C126" s="3">
        <f>B126/7000000</f>
        <v>3.4532285714285717E-2</v>
      </c>
      <c r="D126" s="6">
        <f>VALUE(MID(W126,$X126+2,L126-(X126+2)))</f>
        <v>-320</v>
      </c>
      <c r="E126" s="6">
        <f>VALUE(MID($W126,L126+1,M126-(L126+1)))</f>
        <v>-778</v>
      </c>
      <c r="F126" s="6">
        <f>VALUE(MID($W126,M126+1,N126-(M126+1)))</f>
        <v>4403</v>
      </c>
      <c r="G126" s="6">
        <f>VALUE(MID($W126,N126+1,O126-(N126+1)))</f>
        <v>324</v>
      </c>
      <c r="H126" s="6">
        <f>VALUE(MID($W126,O126+1,P126-(O126+1)))</f>
        <v>1316</v>
      </c>
      <c r="I126" s="6">
        <f>VALUE(MID($W126,P126+1,Q126-(P126+1)))</f>
        <v>3170</v>
      </c>
      <c r="J126" s="6">
        <f>VALUE(MID($W126,Q126+1,R126-(Q126+1)))</f>
        <v>4743</v>
      </c>
      <c r="K126" s="4">
        <f>VALUE(MID(W126,R126+1,LEN(W126)-(R126)))</f>
        <v>4495</v>
      </c>
      <c r="L126" s="4">
        <f>SEARCH(",",W126,X126)</f>
        <v>15</v>
      </c>
      <c r="M126" s="4">
        <f>SEARCH(",",$W126,L126+1)</f>
        <v>21</v>
      </c>
      <c r="N126" s="4">
        <f>SEARCH(",",$W126,M126+1)</f>
        <v>27</v>
      </c>
      <c r="O126" s="4">
        <f>SEARCH(",",$W126,N126+1)</f>
        <v>32</v>
      </c>
      <c r="P126" s="4">
        <f>SEARCH(",",$W126,O126+1)</f>
        <v>38</v>
      </c>
      <c r="Q126" s="4">
        <f>SEARCH(",",$W126,P126+1)</f>
        <v>44</v>
      </c>
      <c r="R126" s="4">
        <f>SEARCH(",",$W126,Q126+1)</f>
        <v>50</v>
      </c>
      <c r="T126" t="s">
        <v>553</v>
      </c>
      <c r="U126">
        <f>SEARCH(":",T126)</f>
        <v>6</v>
      </c>
      <c r="V126" t="str">
        <f>MID(T126,U126+1,LEN(T126)-(U126))</f>
        <v xml:space="preserve"> 604360 ** -320, -778, 4403, 324, 1316, 3170, 4743, 4495</v>
      </c>
      <c r="W126" t="str">
        <f>TRIM(V126)</f>
        <v>604360 ** -320, -778, 4403, 324, 1316, 3170, 4743, 4495</v>
      </c>
      <c r="X126">
        <f>SEARCH("~*",W126)</f>
        <v>8</v>
      </c>
      <c r="Y126" t="str">
        <f>LEFT(W126,X126-1)</f>
        <v xml:space="preserve">604360 </v>
      </c>
      <c r="AA126" t="str">
        <f>CONCATENATE(A126,",",D126,",",E126,",",F126,",",G126,",",H126,",",I126,",",J126,",",K126)</f>
        <v>604360,-320,-778,4403,324,1316,3170,4743,4495</v>
      </c>
    </row>
    <row r="127" spans="1:27">
      <c r="A127" s="1">
        <f>IF(ISBLANK(T127),"",VALUE(Y127))</f>
        <v>601363</v>
      </c>
      <c r="B127" s="1">
        <f>A127*4/10 -18</f>
        <v>240527.2</v>
      </c>
      <c r="C127" s="3">
        <f>B127/7000000</f>
        <v>3.4361028571428573E-2</v>
      </c>
      <c r="D127" s="6">
        <f>VALUE(MID(W127,$X127+2,L127-(X127+2)))</f>
        <v>-320</v>
      </c>
      <c r="E127" s="6">
        <f>VALUE(MID($W127,L127+1,M127-(L127+1)))</f>
        <v>-778</v>
      </c>
      <c r="F127" s="6">
        <f>VALUE(MID($W127,M127+1,N127-(M127+1)))</f>
        <v>4403</v>
      </c>
      <c r="G127" s="6">
        <f>VALUE(MID($W127,N127+1,O127-(N127+1)))</f>
        <v>324</v>
      </c>
      <c r="H127" s="6">
        <f>VALUE(MID($W127,O127+1,P127-(O127+1)))</f>
        <v>1316</v>
      </c>
      <c r="I127" s="6">
        <f>VALUE(MID($W127,P127+1,Q127-(P127+1)))</f>
        <v>3170</v>
      </c>
      <c r="J127" s="6">
        <f>VALUE(MID($W127,Q127+1,R127-(Q127+1)))</f>
        <v>4743</v>
      </c>
      <c r="K127" s="4">
        <f>VALUE(MID(W127,R127+1,LEN(W127)-(R127)))</f>
        <v>4495</v>
      </c>
      <c r="L127" s="4">
        <f>SEARCH(",",W127,X127)</f>
        <v>15</v>
      </c>
      <c r="M127" s="4">
        <f>SEARCH(",",$W127,L127+1)</f>
        <v>21</v>
      </c>
      <c r="N127" s="4">
        <f>SEARCH(",",$W127,M127+1)</f>
        <v>27</v>
      </c>
      <c r="O127" s="4">
        <f>SEARCH(",",$W127,N127+1)</f>
        <v>32</v>
      </c>
      <c r="P127" s="4">
        <f>SEARCH(",",$W127,O127+1)</f>
        <v>38</v>
      </c>
      <c r="Q127" s="4">
        <f>SEARCH(",",$W127,P127+1)</f>
        <v>44</v>
      </c>
      <c r="R127" s="4">
        <f>SEARCH(",",$W127,Q127+1)</f>
        <v>50</v>
      </c>
      <c r="T127" t="s">
        <v>546</v>
      </c>
      <c r="U127">
        <f>SEARCH(":",T127)</f>
        <v>6</v>
      </c>
      <c r="V127" t="str">
        <f>MID(T127,U127+1,LEN(T127)-(U127))</f>
        <v xml:space="preserve"> 601363 ** -320, -778, 4403, 324, 1316, 3170, 4743, 4495</v>
      </c>
      <c r="W127" t="str">
        <f>TRIM(V127)</f>
        <v>601363 ** -320, -778, 4403, 324, 1316, 3170, 4743, 4495</v>
      </c>
      <c r="X127">
        <f>SEARCH("~*",W127)</f>
        <v>8</v>
      </c>
      <c r="Y127" t="str">
        <f>LEFT(W127,X127-1)</f>
        <v xml:space="preserve">601363 </v>
      </c>
      <c r="AA127" t="str">
        <f>CONCATENATE(A127,",",D127,",",E127,",",F127,",",G127,",",H127,",",I127,",",J127,",",K127)</f>
        <v>601363,-320,-778,4403,324,1316,3170,4743,4495</v>
      </c>
    </row>
    <row r="128" spans="1:27">
      <c r="A128" s="1">
        <f>IF(ISBLANK(T128),"",VALUE(Y128))</f>
        <v>601151</v>
      </c>
      <c r="B128" s="1">
        <f>A128*4/10 -18</f>
        <v>240442.4</v>
      </c>
      <c r="C128" s="3">
        <f>B128/7000000</f>
        <v>3.4348914285714287E-2</v>
      </c>
      <c r="D128" s="6">
        <f>VALUE(MID(W128,$X128+2,L128-(X128+2)))</f>
        <v>-320</v>
      </c>
      <c r="E128" s="6">
        <f>VALUE(MID($W128,L128+1,M128-(L128+1)))</f>
        <v>-778</v>
      </c>
      <c r="F128" s="6">
        <f>VALUE(MID($W128,M128+1,N128-(M128+1)))</f>
        <v>4403</v>
      </c>
      <c r="G128" s="6">
        <f>VALUE(MID($W128,N128+1,O128-(N128+1)))</f>
        <v>324</v>
      </c>
      <c r="H128" s="6">
        <f>VALUE(MID($W128,O128+1,P128-(O128+1)))</f>
        <v>1316</v>
      </c>
      <c r="I128" s="6">
        <f>VALUE(MID($W128,P128+1,Q128-(P128+1)))</f>
        <v>3170</v>
      </c>
      <c r="J128" s="6">
        <f>VALUE(MID($W128,Q128+1,R128-(Q128+1)))</f>
        <v>4743</v>
      </c>
      <c r="K128" s="4">
        <f>VALUE(MID(W128,R128+1,LEN(W128)-(R128)))</f>
        <v>4495</v>
      </c>
      <c r="L128" s="4">
        <f>SEARCH(",",W128,X128)</f>
        <v>15</v>
      </c>
      <c r="M128" s="4">
        <f>SEARCH(",",$W128,L128+1)</f>
        <v>21</v>
      </c>
      <c r="N128" s="4">
        <f>SEARCH(",",$W128,M128+1)</f>
        <v>27</v>
      </c>
      <c r="O128" s="4">
        <f>SEARCH(",",$W128,N128+1)</f>
        <v>32</v>
      </c>
      <c r="P128" s="4">
        <f>SEARCH(",",$W128,O128+1)</f>
        <v>38</v>
      </c>
      <c r="Q128" s="4">
        <f>SEARCH(",",$W128,P128+1)</f>
        <v>44</v>
      </c>
      <c r="R128" s="4">
        <f>SEARCH(",",$W128,Q128+1)</f>
        <v>50</v>
      </c>
      <c r="T128" t="s">
        <v>496</v>
      </c>
      <c r="U128">
        <f>SEARCH(":",T128)</f>
        <v>6</v>
      </c>
      <c r="V128" t="str">
        <f>MID(T128,U128+1,LEN(T128)-(U128))</f>
        <v xml:space="preserve"> 601151 ** -320, -778, 4403, 324, 1316, 3170, 4743, 4495</v>
      </c>
      <c r="W128" t="str">
        <f>TRIM(V128)</f>
        <v>601151 ** -320, -778, 4403, 324, 1316, 3170, 4743, 4495</v>
      </c>
      <c r="X128">
        <f>SEARCH("~*",W128)</f>
        <v>8</v>
      </c>
      <c r="Y128" t="str">
        <f>LEFT(W128,X128-1)</f>
        <v xml:space="preserve">601151 </v>
      </c>
      <c r="AA128" t="str">
        <f>CONCATENATE(A128,",",D128,",",E128,",",F128,",",G128,",",H128,",",I128,",",J128,",",K128)</f>
        <v>601151,-320,-778,4403,324,1316,3170,4743,4495</v>
      </c>
    </row>
    <row r="129" spans="1:27">
      <c r="A129" s="1">
        <f>IF(ISBLANK(T129),"",VALUE(Y129))</f>
        <v>599660</v>
      </c>
      <c r="B129" s="1">
        <f>A129*4/10 -18</f>
        <v>239846</v>
      </c>
      <c r="C129" s="3">
        <f>B129/7000000</f>
        <v>3.4263714285714286E-2</v>
      </c>
      <c r="D129" s="6">
        <f>VALUE(MID(W129,$X129+2,L129-(X129+2)))</f>
        <v>-320</v>
      </c>
      <c r="E129" s="6">
        <f>VALUE(MID($W129,L129+1,M129-(L129+1)))</f>
        <v>-778</v>
      </c>
      <c r="F129" s="6">
        <f>VALUE(MID($W129,M129+1,N129-(M129+1)))</f>
        <v>4403</v>
      </c>
      <c r="G129" s="6">
        <f>VALUE(MID($W129,N129+1,O129-(N129+1)))</f>
        <v>324</v>
      </c>
      <c r="H129" s="6">
        <f>VALUE(MID($W129,O129+1,P129-(O129+1)))</f>
        <v>1316</v>
      </c>
      <c r="I129" s="6">
        <f>VALUE(MID($W129,P129+1,Q129-(P129+1)))</f>
        <v>3170</v>
      </c>
      <c r="J129" s="6">
        <f>VALUE(MID($W129,Q129+1,R129-(Q129+1)))</f>
        <v>4743</v>
      </c>
      <c r="K129" s="4">
        <f>VALUE(MID(W129,R129+1,LEN(W129)-(R129)))</f>
        <v>4495</v>
      </c>
      <c r="L129" s="4">
        <f>SEARCH(",",W129,X129)</f>
        <v>15</v>
      </c>
      <c r="M129" s="4">
        <f>SEARCH(",",$W129,L129+1)</f>
        <v>21</v>
      </c>
      <c r="N129" s="4">
        <f>SEARCH(",",$W129,M129+1)</f>
        <v>27</v>
      </c>
      <c r="O129" s="4">
        <f>SEARCH(",",$W129,N129+1)</f>
        <v>32</v>
      </c>
      <c r="P129" s="4">
        <f>SEARCH(",",$W129,O129+1)</f>
        <v>38</v>
      </c>
      <c r="Q129" s="4">
        <f>SEARCH(",",$W129,P129+1)</f>
        <v>44</v>
      </c>
      <c r="R129" s="4">
        <f>SEARCH(",",$W129,Q129+1)</f>
        <v>50</v>
      </c>
      <c r="T129" t="s">
        <v>515</v>
      </c>
      <c r="U129">
        <f>SEARCH(":",T129)</f>
        <v>6</v>
      </c>
      <c r="V129" t="str">
        <f>MID(T129,U129+1,LEN(T129)-(U129))</f>
        <v xml:space="preserve"> 599660 ** -320, -778, 4403, 324, 1316, 3170, 4743, 4495</v>
      </c>
      <c r="W129" t="str">
        <f>TRIM(V129)</f>
        <v>599660 ** -320, -778, 4403, 324, 1316, 3170, 4743, 4495</v>
      </c>
      <c r="X129">
        <f>SEARCH("~*",W129)</f>
        <v>8</v>
      </c>
      <c r="Y129" t="str">
        <f>LEFT(W129,X129-1)</f>
        <v xml:space="preserve">599660 </v>
      </c>
      <c r="AA129" t="str">
        <f>CONCATENATE(A129,",",D129,",",E129,",",F129,",",G129,",",H129,",",I129,",",J129,",",K129)</f>
        <v>599660,-320,-778,4403,324,1316,3170,4743,4495</v>
      </c>
    </row>
    <row r="130" spans="1:27">
      <c r="A130" s="1">
        <f>IF(ISBLANK(T130),"",VALUE(Y130))</f>
        <v>590194</v>
      </c>
      <c r="B130" s="1">
        <f>A130*4/10 -18</f>
        <v>236059.6</v>
      </c>
      <c r="C130" s="3">
        <f>B130/7000000</f>
        <v>3.3722800000000004E-2</v>
      </c>
      <c r="D130" s="6">
        <f>VALUE(MID(W130,$X130+2,L130-(X130+2)))</f>
        <v>-320</v>
      </c>
      <c r="E130" s="6">
        <f>VALUE(MID($W130,L130+1,M130-(L130+1)))</f>
        <v>-778</v>
      </c>
      <c r="F130" s="6">
        <f>VALUE(MID($W130,M130+1,N130-(M130+1)))</f>
        <v>4403</v>
      </c>
      <c r="G130" s="6">
        <f>VALUE(MID($W130,N130+1,O130-(N130+1)))</f>
        <v>324</v>
      </c>
      <c r="H130" s="6">
        <f>VALUE(MID($W130,O130+1,P130-(O130+1)))</f>
        <v>1316</v>
      </c>
      <c r="I130" s="6">
        <f>VALUE(MID($W130,P130+1,Q130-(P130+1)))</f>
        <v>3170</v>
      </c>
      <c r="J130" s="6">
        <f>VALUE(MID($W130,Q130+1,R130-(Q130+1)))</f>
        <v>4743</v>
      </c>
      <c r="K130" s="4">
        <f>VALUE(MID(W130,R130+1,LEN(W130)-(R130)))</f>
        <v>4495</v>
      </c>
      <c r="L130" s="4">
        <f>SEARCH(",",W130,X130)</f>
        <v>15</v>
      </c>
      <c r="M130" s="4">
        <f>SEARCH(",",$W130,L130+1)</f>
        <v>21</v>
      </c>
      <c r="N130" s="4">
        <f>SEARCH(",",$W130,M130+1)</f>
        <v>27</v>
      </c>
      <c r="O130" s="4">
        <f>SEARCH(",",$W130,N130+1)</f>
        <v>32</v>
      </c>
      <c r="P130" s="4">
        <f>SEARCH(",",$W130,O130+1)</f>
        <v>38</v>
      </c>
      <c r="Q130" s="4">
        <f>SEARCH(",",$W130,P130+1)</f>
        <v>44</v>
      </c>
      <c r="R130" s="4">
        <f>SEARCH(",",$W130,Q130+1)</f>
        <v>50</v>
      </c>
      <c r="T130" t="s">
        <v>390</v>
      </c>
      <c r="U130">
        <f>SEARCH(":",T130)</f>
        <v>6</v>
      </c>
      <c r="V130" t="str">
        <f>MID(T130,U130+1,LEN(T130)-(U130))</f>
        <v xml:space="preserve"> 590194 ** -320, -778, 4403, 324, 1316, 3170, 4743, 4495</v>
      </c>
      <c r="W130" t="str">
        <f>TRIM(V130)</f>
        <v>590194 ** -320, -778, 4403, 324, 1316, 3170, 4743, 4495</v>
      </c>
      <c r="X130">
        <f>SEARCH("~*",W130)</f>
        <v>8</v>
      </c>
      <c r="Y130" t="str">
        <f>LEFT(W130,X130-1)</f>
        <v xml:space="preserve">590194 </v>
      </c>
      <c r="AA130" t="str">
        <f>CONCATENATE(A130,",",D130,",",E130,",",F130,",",G130,",",H130,",",I130,",",J130,",",K130)</f>
        <v>590194,-320,-778,4403,324,1316,3170,4743,4495</v>
      </c>
    </row>
    <row r="131" spans="1:27">
      <c r="A131" s="1">
        <f>IF(ISBLANK(T131),"",VALUE(Y131))</f>
        <v>577366</v>
      </c>
      <c r="B131" s="1">
        <f>A131*4/10 -18</f>
        <v>230928.4</v>
      </c>
      <c r="C131" s="3">
        <f>B131/7000000</f>
        <v>3.2989771428571429E-2</v>
      </c>
      <c r="D131" s="6">
        <f>VALUE(MID(W131,$X131+2,L131-(X131+2)))</f>
        <v>-320</v>
      </c>
      <c r="E131" s="6">
        <f>VALUE(MID($W131,L131+1,M131-(L131+1)))</f>
        <v>-778</v>
      </c>
      <c r="F131" s="6">
        <f>VALUE(MID($W131,M131+1,N131-(M131+1)))</f>
        <v>4403</v>
      </c>
      <c r="G131" s="6">
        <f>VALUE(MID($W131,N131+1,O131-(N131+1)))</f>
        <v>324</v>
      </c>
      <c r="H131" s="6">
        <f>VALUE(MID($W131,O131+1,P131-(O131+1)))</f>
        <v>1316</v>
      </c>
      <c r="I131" s="6">
        <f>VALUE(MID($W131,P131+1,Q131-(P131+1)))</f>
        <v>3170</v>
      </c>
      <c r="J131" s="6">
        <f>VALUE(MID($W131,Q131+1,R131-(Q131+1)))</f>
        <v>4743</v>
      </c>
      <c r="K131" s="4">
        <f>VALUE(MID(W131,R131+1,LEN(W131)-(R131)))</f>
        <v>4495</v>
      </c>
      <c r="L131" s="4">
        <f>SEARCH(",",W131,X131)</f>
        <v>15</v>
      </c>
      <c r="M131" s="4">
        <f>SEARCH(",",$W131,L131+1)</f>
        <v>21</v>
      </c>
      <c r="N131" s="4">
        <f>SEARCH(",",$W131,M131+1)</f>
        <v>27</v>
      </c>
      <c r="O131" s="4">
        <f>SEARCH(",",$W131,N131+1)</f>
        <v>32</v>
      </c>
      <c r="P131" s="4">
        <f>SEARCH(",",$W131,O131+1)</f>
        <v>38</v>
      </c>
      <c r="Q131" s="4">
        <f>SEARCH(",",$W131,P131+1)</f>
        <v>44</v>
      </c>
      <c r="R131" s="4">
        <f>SEARCH(",",$W131,Q131+1)</f>
        <v>50</v>
      </c>
      <c r="T131" t="s">
        <v>547</v>
      </c>
      <c r="U131">
        <f>SEARCH(":",T131)</f>
        <v>6</v>
      </c>
      <c r="V131" t="str">
        <f>MID(T131,U131+1,LEN(T131)-(U131))</f>
        <v xml:space="preserve"> 577366 ** -320, -778, 4403, 324, 1316, 3170, 4743, 4495</v>
      </c>
      <c r="W131" t="str">
        <f>TRIM(V131)</f>
        <v>577366 ** -320, -778, 4403, 324, 1316, 3170, 4743, 4495</v>
      </c>
      <c r="X131">
        <f>SEARCH("~*",W131)</f>
        <v>8</v>
      </c>
      <c r="Y131" t="str">
        <f>LEFT(W131,X131-1)</f>
        <v xml:space="preserve">577366 </v>
      </c>
      <c r="AA131" t="str">
        <f>CONCATENATE(A131,",",D131,",",E131,",",F131,",",G131,",",H131,",",I131,",",J131,",",K131)</f>
        <v>577366,-320,-778,4403,324,1316,3170,4743,4495</v>
      </c>
    </row>
    <row r="132" spans="1:27">
      <c r="A132" s="1">
        <f>IF(ISBLANK(T132),"",VALUE(Y132))</f>
        <v>553684</v>
      </c>
      <c r="B132" s="1">
        <f>A132*4/10 -18</f>
        <v>221455.6</v>
      </c>
      <c r="C132" s="3">
        <f>B132/7000000</f>
        <v>3.1636514285714283E-2</v>
      </c>
      <c r="D132" s="6">
        <f>VALUE(MID(W132,$X132+2,L132-(X132+2)))</f>
        <v>-320</v>
      </c>
      <c r="E132" s="6">
        <f>VALUE(MID($W132,L132+1,M132-(L132+1)))</f>
        <v>-778</v>
      </c>
      <c r="F132" s="6">
        <f>VALUE(MID($W132,M132+1,N132-(M132+1)))</f>
        <v>4403</v>
      </c>
      <c r="G132" s="6">
        <f>VALUE(MID($W132,N132+1,O132-(N132+1)))</f>
        <v>324</v>
      </c>
      <c r="H132" s="6">
        <f>VALUE(MID($W132,O132+1,P132-(O132+1)))</f>
        <v>1316</v>
      </c>
      <c r="I132" s="6">
        <f>VALUE(MID($W132,P132+1,Q132-(P132+1)))</f>
        <v>3170</v>
      </c>
      <c r="J132" s="6">
        <f>VALUE(MID($W132,Q132+1,R132-(Q132+1)))</f>
        <v>4743</v>
      </c>
      <c r="K132" s="4">
        <f>VALUE(MID(W132,R132+1,LEN(W132)-(R132)))</f>
        <v>4495</v>
      </c>
      <c r="L132" s="4">
        <f>SEARCH(",",W132,X132)</f>
        <v>15</v>
      </c>
      <c r="M132" s="4">
        <f>SEARCH(",",$W132,L132+1)</f>
        <v>21</v>
      </c>
      <c r="N132" s="4">
        <f>SEARCH(",",$W132,M132+1)</f>
        <v>27</v>
      </c>
      <c r="O132" s="4">
        <f>SEARCH(",",$W132,N132+1)</f>
        <v>32</v>
      </c>
      <c r="P132" s="4">
        <f>SEARCH(",",$W132,O132+1)</f>
        <v>38</v>
      </c>
      <c r="Q132" s="4">
        <f>SEARCH(",",$W132,P132+1)</f>
        <v>44</v>
      </c>
      <c r="R132" s="4">
        <f>SEARCH(",",$W132,Q132+1)</f>
        <v>50</v>
      </c>
      <c r="T132" t="s">
        <v>463</v>
      </c>
      <c r="U132">
        <f>SEARCH(":",T132)</f>
        <v>6</v>
      </c>
      <c r="V132" t="str">
        <f>MID(T132,U132+1,LEN(T132)-(U132))</f>
        <v xml:space="preserve"> 553684 ** -320, -778, 4403, 324, 1316, 3170, 4743, 4495</v>
      </c>
      <c r="W132" t="str">
        <f>TRIM(V132)</f>
        <v>553684 ** -320, -778, 4403, 324, 1316, 3170, 4743, 4495</v>
      </c>
      <c r="X132">
        <f>SEARCH("~*",W132)</f>
        <v>8</v>
      </c>
      <c r="Y132" t="str">
        <f>LEFT(W132,X132-1)</f>
        <v xml:space="preserve">553684 </v>
      </c>
      <c r="AA132" t="str">
        <f>CONCATENATE(A132,",",D132,",",E132,",",F132,",",G132,",",H132,",",I132,",",J132,",",K132)</f>
        <v>553684,-320,-778,4403,324,1316,3170,4743,4495</v>
      </c>
    </row>
    <row r="133" spans="1:27">
      <c r="A133" s="1">
        <f>IF(ISBLANK(T133),"",VALUE(Y133))</f>
        <v>552665</v>
      </c>
      <c r="B133" s="1">
        <f>A133*4/10 -18</f>
        <v>221048</v>
      </c>
      <c r="C133" s="3">
        <f>B133/7000000</f>
        <v>3.1578285714285712E-2</v>
      </c>
      <c r="D133" s="6">
        <f>VALUE(MID(W133,$X133+2,L133-(X133+2)))</f>
        <v>-320</v>
      </c>
      <c r="E133" s="6">
        <f>VALUE(MID($W133,L133+1,M133-(L133+1)))</f>
        <v>-778</v>
      </c>
      <c r="F133" s="6">
        <f>VALUE(MID($W133,M133+1,N133-(M133+1)))</f>
        <v>4403</v>
      </c>
      <c r="G133" s="6">
        <f>VALUE(MID($W133,N133+1,O133-(N133+1)))</f>
        <v>324</v>
      </c>
      <c r="H133" s="6">
        <f>VALUE(MID($W133,O133+1,P133-(O133+1)))</f>
        <v>1316</v>
      </c>
      <c r="I133" s="6">
        <f>VALUE(MID($W133,P133+1,Q133-(P133+1)))</f>
        <v>3170</v>
      </c>
      <c r="J133" s="6">
        <f>VALUE(MID($W133,Q133+1,R133-(Q133+1)))</f>
        <v>4743</v>
      </c>
      <c r="K133" s="4">
        <f>VALUE(MID(W133,R133+1,LEN(W133)-(R133)))</f>
        <v>4495</v>
      </c>
      <c r="L133" s="4">
        <f>SEARCH(",",W133,X133)</f>
        <v>15</v>
      </c>
      <c r="M133" s="4">
        <f>SEARCH(",",$W133,L133+1)</f>
        <v>21</v>
      </c>
      <c r="N133" s="4">
        <f>SEARCH(",",$W133,M133+1)</f>
        <v>27</v>
      </c>
      <c r="O133" s="4">
        <f>SEARCH(",",$W133,N133+1)</f>
        <v>32</v>
      </c>
      <c r="P133" s="4">
        <f>SEARCH(",",$W133,O133+1)</f>
        <v>38</v>
      </c>
      <c r="Q133" s="4">
        <f>SEARCH(",",$W133,P133+1)</f>
        <v>44</v>
      </c>
      <c r="R133" s="4">
        <f>SEARCH(",",$W133,Q133+1)</f>
        <v>50</v>
      </c>
      <c r="T133" t="s">
        <v>505</v>
      </c>
      <c r="U133">
        <f>SEARCH(":",T133)</f>
        <v>6</v>
      </c>
      <c r="V133" t="str">
        <f>MID(T133,U133+1,LEN(T133)-(U133))</f>
        <v xml:space="preserve"> 552665 ** -320, -778, 4403, 324, 1316, 3170, 4743, 4495</v>
      </c>
      <c r="W133" t="str">
        <f>TRIM(V133)</f>
        <v>552665 ** -320, -778, 4403, 324, 1316, 3170, 4743, 4495</v>
      </c>
      <c r="X133">
        <f>SEARCH("~*",W133)</f>
        <v>8</v>
      </c>
      <c r="Y133" t="str">
        <f>LEFT(W133,X133-1)</f>
        <v xml:space="preserve">552665 </v>
      </c>
      <c r="AA133" t="str">
        <f>CONCATENATE(A133,",",D133,",",E133,",",F133,",",G133,",",H133,",",I133,",",J133,",",K133)</f>
        <v>552665,-320,-778,4403,324,1316,3170,4743,4495</v>
      </c>
    </row>
    <row r="134" spans="1:27">
      <c r="A134" s="1">
        <f>IF(ISBLANK(T134),"",VALUE(Y134))</f>
        <v>545894</v>
      </c>
      <c r="B134" s="1">
        <f>A134*4/10 -18</f>
        <v>218339.6</v>
      </c>
      <c r="C134" s="3">
        <f>B134/7000000</f>
        <v>3.1191371428571431E-2</v>
      </c>
      <c r="D134" s="6">
        <f>VALUE(MID(W134,$X134+2,L134-(X134+2)))</f>
        <v>-320</v>
      </c>
      <c r="E134" s="6">
        <f>VALUE(MID($W134,L134+1,M134-(L134+1)))</f>
        <v>-778</v>
      </c>
      <c r="F134" s="6">
        <f>VALUE(MID($W134,M134+1,N134-(M134+1)))</f>
        <v>4403</v>
      </c>
      <c r="G134" s="6">
        <f>VALUE(MID($W134,N134+1,O134-(N134+1)))</f>
        <v>324</v>
      </c>
      <c r="H134" s="6">
        <f>VALUE(MID($W134,O134+1,P134-(O134+1)))</f>
        <v>1316</v>
      </c>
      <c r="I134" s="6">
        <f>VALUE(MID($W134,P134+1,Q134-(P134+1)))</f>
        <v>3170</v>
      </c>
      <c r="J134" s="6">
        <f>VALUE(MID($W134,Q134+1,R134-(Q134+1)))</f>
        <v>4743</v>
      </c>
      <c r="K134" s="4">
        <f>VALUE(MID(W134,R134+1,LEN(W134)-(R134)))</f>
        <v>4495</v>
      </c>
      <c r="L134" s="4">
        <f>SEARCH(",",W134,X134)</f>
        <v>15</v>
      </c>
      <c r="M134" s="4">
        <f>SEARCH(",",$W134,L134+1)</f>
        <v>21</v>
      </c>
      <c r="N134" s="4">
        <f>SEARCH(",",$W134,M134+1)</f>
        <v>27</v>
      </c>
      <c r="O134" s="4">
        <f>SEARCH(",",$W134,N134+1)</f>
        <v>32</v>
      </c>
      <c r="P134" s="4">
        <f>SEARCH(",",$W134,O134+1)</f>
        <v>38</v>
      </c>
      <c r="Q134" s="4">
        <f>SEARCH(",",$W134,P134+1)</f>
        <v>44</v>
      </c>
      <c r="R134" s="4">
        <f>SEARCH(",",$W134,Q134+1)</f>
        <v>50</v>
      </c>
      <c r="T134" t="s">
        <v>298</v>
      </c>
      <c r="U134">
        <f>SEARCH(":",T134)</f>
        <v>6</v>
      </c>
      <c r="V134" t="str">
        <f>MID(T134,U134+1,LEN(T134)-(U134))</f>
        <v xml:space="preserve"> 545894 ** -320, -778, 4403, 324, 1316, 3170, 4743, 4495</v>
      </c>
      <c r="W134" t="str">
        <f>TRIM(V134)</f>
        <v>545894 ** -320, -778, 4403, 324, 1316, 3170, 4743, 4495</v>
      </c>
      <c r="X134">
        <f>SEARCH("~*",W134)</f>
        <v>8</v>
      </c>
      <c r="Y134" t="str">
        <f>LEFT(W134,X134-1)</f>
        <v xml:space="preserve">545894 </v>
      </c>
      <c r="AA134" t="str">
        <f>CONCATENATE(A134,",",D134,",",E134,",",F134,",",G134,",",H134,",",I134,",",J134,",",K134)</f>
        <v>545894,-320,-778,4403,324,1316,3170,4743,4495</v>
      </c>
    </row>
    <row r="135" spans="1:27">
      <c r="A135" s="1">
        <f>IF(ISBLANK(T135),"",VALUE(Y135))</f>
        <v>542862</v>
      </c>
      <c r="B135" s="1">
        <f>A135*4/10 -18</f>
        <v>217126.8</v>
      </c>
      <c r="C135" s="3">
        <f>B135/7000000</f>
        <v>3.1018114285714285E-2</v>
      </c>
      <c r="D135" s="6">
        <f>VALUE(MID(W135,$X135+2,L135-(X135+2)))</f>
        <v>-320</v>
      </c>
      <c r="E135" s="6">
        <f>VALUE(MID($W135,L135+1,M135-(L135+1)))</f>
        <v>-778</v>
      </c>
      <c r="F135" s="6">
        <f>VALUE(MID($W135,M135+1,N135-(M135+1)))</f>
        <v>4403</v>
      </c>
      <c r="G135" s="6">
        <f>VALUE(MID($W135,N135+1,O135-(N135+1)))</f>
        <v>324</v>
      </c>
      <c r="H135" s="6">
        <f>VALUE(MID($W135,O135+1,P135-(O135+1)))</f>
        <v>1316</v>
      </c>
      <c r="I135" s="6">
        <f>VALUE(MID($W135,P135+1,Q135-(P135+1)))</f>
        <v>3170</v>
      </c>
      <c r="J135" s="6">
        <f>VALUE(MID($W135,Q135+1,R135-(Q135+1)))</f>
        <v>4743</v>
      </c>
      <c r="K135" s="4">
        <f>VALUE(MID(W135,R135+1,LEN(W135)-(R135)))</f>
        <v>4495</v>
      </c>
      <c r="L135" s="4">
        <f>SEARCH(",",W135,X135)</f>
        <v>15</v>
      </c>
      <c r="M135" s="4">
        <f>SEARCH(",",$W135,L135+1)</f>
        <v>21</v>
      </c>
      <c r="N135" s="4">
        <f>SEARCH(",",$W135,M135+1)</f>
        <v>27</v>
      </c>
      <c r="O135" s="4">
        <f>SEARCH(",",$W135,N135+1)</f>
        <v>32</v>
      </c>
      <c r="P135" s="4">
        <f>SEARCH(",",$W135,O135+1)</f>
        <v>38</v>
      </c>
      <c r="Q135" s="4">
        <f>SEARCH(",",$W135,P135+1)</f>
        <v>44</v>
      </c>
      <c r="R135" s="4">
        <f>SEARCH(",",$W135,Q135+1)</f>
        <v>50</v>
      </c>
      <c r="T135" t="s">
        <v>441</v>
      </c>
      <c r="U135">
        <f>SEARCH(":",T135)</f>
        <v>6</v>
      </c>
      <c r="V135" t="str">
        <f>MID(T135,U135+1,LEN(T135)-(U135))</f>
        <v xml:space="preserve"> 542862 ** -320, -778, 4403, 324, 1316, 3170, 4743, 4495</v>
      </c>
      <c r="W135" t="str">
        <f>TRIM(V135)</f>
        <v>542862 ** -320, -778, 4403, 324, 1316, 3170, 4743, 4495</v>
      </c>
      <c r="X135">
        <f>SEARCH("~*",W135)</f>
        <v>8</v>
      </c>
      <c r="Y135" t="str">
        <f>LEFT(W135,X135-1)</f>
        <v xml:space="preserve">542862 </v>
      </c>
      <c r="AA135" t="str">
        <f>CONCATENATE(A135,",",D135,",",E135,",",F135,",",G135,",",H135,",",I135,",",J135,",",K135)</f>
        <v>542862,-320,-778,4403,324,1316,3170,4743,4495</v>
      </c>
    </row>
    <row r="136" spans="1:27">
      <c r="A136" s="1">
        <f>IF(ISBLANK(T136),"",VALUE(Y136))</f>
        <v>538701</v>
      </c>
      <c r="B136" s="1">
        <f>A136*4/10 -18</f>
        <v>215462.39999999999</v>
      </c>
      <c r="C136" s="3">
        <f>B136/7000000</f>
        <v>3.0780342857142855E-2</v>
      </c>
      <c r="D136" s="6">
        <f>VALUE(MID(W136,$X136+2,L136-(X136+2)))</f>
        <v>-320</v>
      </c>
      <c r="E136" s="6">
        <f>VALUE(MID($W136,L136+1,M136-(L136+1)))</f>
        <v>-778</v>
      </c>
      <c r="F136" s="6">
        <f>VALUE(MID($W136,M136+1,N136-(M136+1)))</f>
        <v>4403</v>
      </c>
      <c r="G136" s="6">
        <f>VALUE(MID($W136,N136+1,O136-(N136+1)))</f>
        <v>324</v>
      </c>
      <c r="H136" s="6">
        <f>VALUE(MID($W136,O136+1,P136-(O136+1)))</f>
        <v>1316</v>
      </c>
      <c r="I136" s="6">
        <f>VALUE(MID($W136,P136+1,Q136-(P136+1)))</f>
        <v>3170</v>
      </c>
      <c r="J136" s="6">
        <f>VALUE(MID($W136,Q136+1,R136-(Q136+1)))</f>
        <v>4743</v>
      </c>
      <c r="K136" s="4">
        <f>VALUE(MID(W136,R136+1,LEN(W136)-(R136)))</f>
        <v>4495</v>
      </c>
      <c r="L136" s="4">
        <f>SEARCH(",",W136,X136)</f>
        <v>15</v>
      </c>
      <c r="M136" s="4">
        <f>SEARCH(",",$W136,L136+1)</f>
        <v>21</v>
      </c>
      <c r="N136" s="4">
        <f>SEARCH(",",$W136,M136+1)</f>
        <v>27</v>
      </c>
      <c r="O136" s="4">
        <f>SEARCH(",",$W136,N136+1)</f>
        <v>32</v>
      </c>
      <c r="P136" s="4">
        <f>SEARCH(",",$W136,O136+1)</f>
        <v>38</v>
      </c>
      <c r="Q136" s="4">
        <f>SEARCH(",",$W136,P136+1)</f>
        <v>44</v>
      </c>
      <c r="R136" s="4">
        <f>SEARCH(",",$W136,Q136+1)</f>
        <v>50</v>
      </c>
      <c r="T136" t="s">
        <v>385</v>
      </c>
      <c r="U136">
        <f>SEARCH(":",T136)</f>
        <v>6</v>
      </c>
      <c r="V136" t="str">
        <f>MID(T136,U136+1,LEN(T136)-(U136))</f>
        <v xml:space="preserve"> 538701 ** -320, -778, 4403, 324, 1316, 3170, 4743, 4495</v>
      </c>
      <c r="W136" t="str">
        <f>TRIM(V136)</f>
        <v>538701 ** -320, -778, 4403, 324, 1316, 3170, 4743, 4495</v>
      </c>
      <c r="X136">
        <f>SEARCH("~*",W136)</f>
        <v>8</v>
      </c>
      <c r="Y136" t="str">
        <f>LEFT(W136,X136-1)</f>
        <v xml:space="preserve">538701 </v>
      </c>
      <c r="AA136" t="str">
        <f>CONCATENATE(A136,",",D136,",",E136,",",F136,",",G136,",",H136,",",I136,",",J136,",",K136)</f>
        <v>538701,-320,-778,4403,324,1316,3170,4743,4495</v>
      </c>
    </row>
    <row r="137" spans="1:27">
      <c r="A137" s="1">
        <f>IF(ISBLANK(T137),"",VALUE(Y137))</f>
        <v>538362</v>
      </c>
      <c r="B137" s="1">
        <f>A137*4/10 -18</f>
        <v>215326.8</v>
      </c>
      <c r="C137" s="3">
        <f>B137/7000000</f>
        <v>3.0760971428571426E-2</v>
      </c>
      <c r="D137" s="6">
        <f>VALUE(MID(W137,$X137+2,L137-(X137+2)))</f>
        <v>-320</v>
      </c>
      <c r="E137" s="6">
        <f>VALUE(MID($W137,L137+1,M137-(L137+1)))</f>
        <v>-778</v>
      </c>
      <c r="F137" s="6">
        <f>VALUE(MID($W137,M137+1,N137-(M137+1)))</f>
        <v>4403</v>
      </c>
      <c r="G137" s="6">
        <f>VALUE(MID($W137,N137+1,O137-(N137+1)))</f>
        <v>324</v>
      </c>
      <c r="H137" s="6">
        <f>VALUE(MID($W137,O137+1,P137-(O137+1)))</f>
        <v>1316</v>
      </c>
      <c r="I137" s="6">
        <f>VALUE(MID($W137,P137+1,Q137-(P137+1)))</f>
        <v>3170</v>
      </c>
      <c r="J137" s="6">
        <f>VALUE(MID($W137,Q137+1,R137-(Q137+1)))</f>
        <v>4743</v>
      </c>
      <c r="K137" s="4">
        <f>VALUE(MID(W137,R137+1,LEN(W137)-(R137)))</f>
        <v>4495</v>
      </c>
      <c r="L137" s="4">
        <f>SEARCH(",",W137,X137)</f>
        <v>15</v>
      </c>
      <c r="M137" s="4">
        <f>SEARCH(",",$W137,L137+1)</f>
        <v>21</v>
      </c>
      <c r="N137" s="4">
        <f>SEARCH(",",$W137,M137+1)</f>
        <v>27</v>
      </c>
      <c r="O137" s="4">
        <f>SEARCH(",",$W137,N137+1)</f>
        <v>32</v>
      </c>
      <c r="P137" s="4">
        <f>SEARCH(",",$W137,O137+1)</f>
        <v>38</v>
      </c>
      <c r="Q137" s="4">
        <f>SEARCH(",",$W137,P137+1)</f>
        <v>44</v>
      </c>
      <c r="R137" s="4">
        <f>SEARCH(",",$W137,Q137+1)</f>
        <v>50</v>
      </c>
      <c r="T137" t="s">
        <v>380</v>
      </c>
      <c r="U137">
        <f>SEARCH(":",T137)</f>
        <v>6</v>
      </c>
      <c r="V137" t="str">
        <f>MID(T137,U137+1,LEN(T137)-(U137))</f>
        <v xml:space="preserve"> 538362 ** -320, -778, 4403, 324, 1316, 3170, 4743, 4495</v>
      </c>
      <c r="W137" t="str">
        <f>TRIM(V137)</f>
        <v>538362 ** -320, -778, 4403, 324, 1316, 3170, 4743, 4495</v>
      </c>
      <c r="X137">
        <f>SEARCH("~*",W137)</f>
        <v>8</v>
      </c>
      <c r="Y137" t="str">
        <f>LEFT(W137,X137-1)</f>
        <v xml:space="preserve">538362 </v>
      </c>
      <c r="AA137" t="str">
        <f>CONCATENATE(A137,",",D137,",",E137,",",F137,",",G137,",",H137,",",I137,",",J137,",",K137)</f>
        <v>538362,-320,-778,4403,324,1316,3170,4743,4495</v>
      </c>
    </row>
    <row r="138" spans="1:27">
      <c r="A138" s="1">
        <f>IF(ISBLANK(T138),"",VALUE(Y138))</f>
        <v>537645</v>
      </c>
      <c r="B138" s="1">
        <f>A138*4/10 -18</f>
        <v>215040</v>
      </c>
      <c r="C138" s="3">
        <f>B138/7000000</f>
        <v>3.0720000000000001E-2</v>
      </c>
      <c r="D138" s="6">
        <f>VALUE(MID(W138,$X138+2,L138-(X138+2)))</f>
        <v>-320</v>
      </c>
      <c r="E138" s="6">
        <f>VALUE(MID($W138,L138+1,M138-(L138+1)))</f>
        <v>-778</v>
      </c>
      <c r="F138" s="6">
        <f>VALUE(MID($W138,M138+1,N138-(M138+1)))</f>
        <v>4403</v>
      </c>
      <c r="G138" s="6">
        <f>VALUE(MID($W138,N138+1,O138-(N138+1)))</f>
        <v>324</v>
      </c>
      <c r="H138" s="6">
        <f>VALUE(MID($W138,O138+1,P138-(O138+1)))</f>
        <v>1316</v>
      </c>
      <c r="I138" s="6">
        <f>VALUE(MID($W138,P138+1,Q138-(P138+1)))</f>
        <v>3170</v>
      </c>
      <c r="J138" s="6">
        <f>VALUE(MID($W138,Q138+1,R138-(Q138+1)))</f>
        <v>4743</v>
      </c>
      <c r="K138" s="4">
        <f>VALUE(MID(W138,R138+1,LEN(W138)-(R138)))</f>
        <v>4495</v>
      </c>
      <c r="L138" s="4">
        <f>SEARCH(",",W138,X138)</f>
        <v>15</v>
      </c>
      <c r="M138" s="4">
        <f>SEARCH(",",$W138,L138+1)</f>
        <v>21</v>
      </c>
      <c r="N138" s="4">
        <f>SEARCH(",",$W138,M138+1)</f>
        <v>27</v>
      </c>
      <c r="O138" s="4">
        <f>SEARCH(",",$W138,N138+1)</f>
        <v>32</v>
      </c>
      <c r="P138" s="4">
        <f>SEARCH(",",$W138,O138+1)</f>
        <v>38</v>
      </c>
      <c r="Q138" s="4">
        <f>SEARCH(",",$W138,P138+1)</f>
        <v>44</v>
      </c>
      <c r="R138" s="4">
        <f>SEARCH(",",$W138,Q138+1)</f>
        <v>50</v>
      </c>
      <c r="T138" t="s">
        <v>484</v>
      </c>
      <c r="U138">
        <f>SEARCH(":",T138)</f>
        <v>6</v>
      </c>
      <c r="V138" t="str">
        <f>MID(T138,U138+1,LEN(T138)-(U138))</f>
        <v xml:space="preserve"> 537645 ** -320, -778, 4403, 324, 1316, 3170, 4743, 4495</v>
      </c>
      <c r="W138" t="str">
        <f>TRIM(V138)</f>
        <v>537645 ** -320, -778, 4403, 324, 1316, 3170, 4743, 4495</v>
      </c>
      <c r="X138">
        <f>SEARCH("~*",W138)</f>
        <v>8</v>
      </c>
      <c r="Y138" t="str">
        <f>LEFT(W138,X138-1)</f>
        <v xml:space="preserve">537645 </v>
      </c>
      <c r="AA138" t="str">
        <f>CONCATENATE(A138,",",D138,",",E138,",",F138,",",G138,",",H138,",",I138,",",J138,",",K138)</f>
        <v>537645,-320,-778,4403,324,1316,3170,4743,4495</v>
      </c>
    </row>
    <row r="139" spans="1:27">
      <c r="A139" s="1">
        <f>IF(ISBLANK(T139),"",VALUE(Y139))</f>
        <v>535121</v>
      </c>
      <c r="B139" s="1">
        <f>A139*4/10 -18</f>
        <v>214030.4</v>
      </c>
      <c r="C139" s="3">
        <f>B139/7000000</f>
        <v>3.0575771428571426E-2</v>
      </c>
      <c r="D139" s="6">
        <f>VALUE(MID(W139,$X139+2,L139-(X139+2)))</f>
        <v>-320</v>
      </c>
      <c r="E139" s="6">
        <f>VALUE(MID($W139,L139+1,M139-(L139+1)))</f>
        <v>-778</v>
      </c>
      <c r="F139" s="6">
        <f>VALUE(MID($W139,M139+1,N139-(M139+1)))</f>
        <v>4403</v>
      </c>
      <c r="G139" s="6">
        <f>VALUE(MID($W139,N139+1,O139-(N139+1)))</f>
        <v>324</v>
      </c>
      <c r="H139" s="6">
        <f>VALUE(MID($W139,O139+1,P139-(O139+1)))</f>
        <v>1316</v>
      </c>
      <c r="I139" s="6">
        <f>VALUE(MID($W139,P139+1,Q139-(P139+1)))</f>
        <v>3170</v>
      </c>
      <c r="J139" s="6">
        <f>VALUE(MID($W139,Q139+1,R139-(Q139+1)))</f>
        <v>4743</v>
      </c>
      <c r="K139" s="4">
        <f>VALUE(MID(W139,R139+1,LEN(W139)-(R139)))</f>
        <v>4495</v>
      </c>
      <c r="L139" s="4">
        <f>SEARCH(",",W139,X139)</f>
        <v>15</v>
      </c>
      <c r="M139" s="4">
        <f>SEARCH(",",$W139,L139+1)</f>
        <v>21</v>
      </c>
      <c r="N139" s="4">
        <f>SEARCH(",",$W139,M139+1)</f>
        <v>27</v>
      </c>
      <c r="O139" s="4">
        <f>SEARCH(",",$W139,N139+1)</f>
        <v>32</v>
      </c>
      <c r="P139" s="4">
        <f>SEARCH(",",$W139,O139+1)</f>
        <v>38</v>
      </c>
      <c r="Q139" s="4">
        <f>SEARCH(",",$W139,P139+1)</f>
        <v>44</v>
      </c>
      <c r="R139" s="4">
        <f>SEARCH(",",$W139,Q139+1)</f>
        <v>50</v>
      </c>
      <c r="T139" t="s">
        <v>551</v>
      </c>
      <c r="U139">
        <f>SEARCH(":",T139)</f>
        <v>6</v>
      </c>
      <c r="V139" t="str">
        <f>MID(T139,U139+1,LEN(T139)-(U139))</f>
        <v xml:space="preserve"> 535121 ** -320, -778, 4403, 324, 1316, 3170, 4743, 4495</v>
      </c>
      <c r="W139" t="str">
        <f>TRIM(V139)</f>
        <v>535121 ** -320, -778, 4403, 324, 1316, 3170, 4743, 4495</v>
      </c>
      <c r="X139">
        <f>SEARCH("~*",W139)</f>
        <v>8</v>
      </c>
      <c r="Y139" t="str">
        <f>LEFT(W139,X139-1)</f>
        <v xml:space="preserve">535121 </v>
      </c>
      <c r="AA139" t="str">
        <f>CONCATENATE(A139,",",D139,",",E139,",",F139,",",G139,",",H139,",",I139,",",J139,",",K139)</f>
        <v>535121,-320,-778,4403,324,1316,3170,4743,4495</v>
      </c>
    </row>
    <row r="140" spans="1:27">
      <c r="A140" s="1">
        <f>IF(ISBLANK(T140),"",VALUE(Y140))</f>
        <v>530627</v>
      </c>
      <c r="B140" s="1">
        <f>A140*4/10 -18</f>
        <v>212232.8</v>
      </c>
      <c r="C140" s="3">
        <f>B140/7000000</f>
        <v>3.0318971428571428E-2</v>
      </c>
      <c r="D140" s="6">
        <f>VALUE(MID(W140,$X140+2,L140-(X140+2)))</f>
        <v>-320</v>
      </c>
      <c r="E140" s="6">
        <f>VALUE(MID($W140,L140+1,M140-(L140+1)))</f>
        <v>-778</v>
      </c>
      <c r="F140" s="6">
        <f>VALUE(MID($W140,M140+1,N140-(M140+1)))</f>
        <v>4403</v>
      </c>
      <c r="G140" s="6">
        <f>VALUE(MID($W140,N140+1,O140-(N140+1)))</f>
        <v>324</v>
      </c>
      <c r="H140" s="6">
        <f>VALUE(MID($W140,O140+1,P140-(O140+1)))</f>
        <v>1316</v>
      </c>
      <c r="I140" s="6">
        <f>VALUE(MID($W140,P140+1,Q140-(P140+1)))</f>
        <v>3170</v>
      </c>
      <c r="J140" s="6">
        <f>VALUE(MID($W140,Q140+1,R140-(Q140+1)))</f>
        <v>4743</v>
      </c>
      <c r="K140" s="4">
        <f>VALUE(MID(W140,R140+1,LEN(W140)-(R140)))</f>
        <v>4495</v>
      </c>
      <c r="L140" s="4">
        <f>SEARCH(",",W140,X140)</f>
        <v>15</v>
      </c>
      <c r="M140" s="4">
        <f>SEARCH(",",$W140,L140+1)</f>
        <v>21</v>
      </c>
      <c r="N140" s="4">
        <f>SEARCH(",",$W140,M140+1)</f>
        <v>27</v>
      </c>
      <c r="O140" s="4">
        <f>SEARCH(",",$W140,N140+1)</f>
        <v>32</v>
      </c>
      <c r="P140" s="4">
        <f>SEARCH(",",$W140,O140+1)</f>
        <v>38</v>
      </c>
      <c r="Q140" s="4">
        <f>SEARCH(",",$W140,P140+1)</f>
        <v>44</v>
      </c>
      <c r="R140" s="4">
        <f>SEARCH(",",$W140,Q140+1)</f>
        <v>50</v>
      </c>
      <c r="T140" t="s">
        <v>392</v>
      </c>
      <c r="U140">
        <f>SEARCH(":",T140)</f>
        <v>6</v>
      </c>
      <c r="V140" t="str">
        <f>MID(T140,U140+1,LEN(T140)-(U140))</f>
        <v xml:space="preserve"> 530627 ** -320, -778, 4403, 324, 1316, 3170, 4743, 4495</v>
      </c>
      <c r="W140" t="str">
        <f>TRIM(V140)</f>
        <v>530627 ** -320, -778, 4403, 324, 1316, 3170, 4743, 4495</v>
      </c>
      <c r="X140">
        <f>SEARCH("~*",W140)</f>
        <v>8</v>
      </c>
      <c r="Y140" t="str">
        <f>LEFT(W140,X140-1)</f>
        <v xml:space="preserve">530627 </v>
      </c>
      <c r="AA140" t="str">
        <f>CONCATENATE(A140,",",D140,",",E140,",",F140,",",G140,",",H140,",",I140,",",J140,",",K140)</f>
        <v>530627,-320,-778,4403,324,1316,3170,4743,4495</v>
      </c>
    </row>
    <row r="141" spans="1:27">
      <c r="A141" s="1">
        <f>IF(ISBLANK(T141),"",VALUE(Y141))</f>
        <v>527732</v>
      </c>
      <c r="B141" s="1">
        <f>A141*4/10 -18</f>
        <v>211074.8</v>
      </c>
      <c r="C141" s="3">
        <f>B141/7000000</f>
        <v>3.0153542857142855E-2</v>
      </c>
      <c r="D141" s="6">
        <f>VALUE(MID(W141,$X141+2,L141-(X141+2)))</f>
        <v>-320</v>
      </c>
      <c r="E141" s="6">
        <f>VALUE(MID($W141,L141+1,M141-(L141+1)))</f>
        <v>-778</v>
      </c>
      <c r="F141" s="6">
        <f>VALUE(MID($W141,M141+1,N141-(M141+1)))</f>
        <v>4403</v>
      </c>
      <c r="G141" s="6">
        <f>VALUE(MID($W141,N141+1,O141-(N141+1)))</f>
        <v>324</v>
      </c>
      <c r="H141" s="6">
        <f>VALUE(MID($W141,O141+1,P141-(O141+1)))</f>
        <v>1316</v>
      </c>
      <c r="I141" s="6">
        <f>VALUE(MID($W141,P141+1,Q141-(P141+1)))</f>
        <v>3170</v>
      </c>
      <c r="J141" s="6">
        <f>VALUE(MID($W141,Q141+1,R141-(Q141+1)))</f>
        <v>4743</v>
      </c>
      <c r="K141" s="4">
        <f>VALUE(MID(W141,R141+1,LEN(W141)-(R141)))</f>
        <v>4495</v>
      </c>
      <c r="L141" s="4">
        <f>SEARCH(",",W141,X141)</f>
        <v>15</v>
      </c>
      <c r="M141" s="4">
        <f>SEARCH(",",$W141,L141+1)</f>
        <v>21</v>
      </c>
      <c r="N141" s="4">
        <f>SEARCH(",",$W141,M141+1)</f>
        <v>27</v>
      </c>
      <c r="O141" s="4">
        <f>SEARCH(",",$W141,N141+1)</f>
        <v>32</v>
      </c>
      <c r="P141" s="4">
        <f>SEARCH(",",$W141,O141+1)</f>
        <v>38</v>
      </c>
      <c r="Q141" s="4">
        <f>SEARCH(",",$W141,P141+1)</f>
        <v>44</v>
      </c>
      <c r="R141" s="4">
        <f>SEARCH(",",$W141,Q141+1)</f>
        <v>50</v>
      </c>
      <c r="T141" t="s">
        <v>410</v>
      </c>
      <c r="U141">
        <f>SEARCH(":",T141)</f>
        <v>6</v>
      </c>
      <c r="V141" t="str">
        <f>MID(T141,U141+1,LEN(T141)-(U141))</f>
        <v xml:space="preserve"> 527732 ** -320, -778, 4403, 324, 1316, 3170, 4743, 4495</v>
      </c>
      <c r="W141" t="str">
        <f>TRIM(V141)</f>
        <v>527732 ** -320, -778, 4403, 324, 1316, 3170, 4743, 4495</v>
      </c>
      <c r="X141">
        <f>SEARCH("~*",W141)</f>
        <v>8</v>
      </c>
      <c r="Y141" t="str">
        <f>LEFT(W141,X141-1)</f>
        <v xml:space="preserve">527732 </v>
      </c>
      <c r="AA141" t="str">
        <f>CONCATENATE(A141,",",D141,",",E141,",",F141,",",G141,",",H141,",",I141,",",J141,",",K141)</f>
        <v>527732,-320,-778,4403,324,1316,3170,4743,4495</v>
      </c>
    </row>
    <row r="142" spans="1:27">
      <c r="A142" s="1">
        <f>IF(ISBLANK(T142),"",VALUE(Y142))</f>
        <v>525557</v>
      </c>
      <c r="B142" s="1">
        <f>A142*4/10 -18</f>
        <v>210204.79999999999</v>
      </c>
      <c r="C142" s="3">
        <f>B142/7000000</f>
        <v>3.0029257142857139E-2</v>
      </c>
      <c r="D142" s="6">
        <f>VALUE(MID(W142,$X142+2,L142-(X142+2)))</f>
        <v>-320</v>
      </c>
      <c r="E142" s="6">
        <f>VALUE(MID($W142,L142+1,M142-(L142+1)))</f>
        <v>-778</v>
      </c>
      <c r="F142" s="6">
        <f>VALUE(MID($W142,M142+1,N142-(M142+1)))</f>
        <v>4403</v>
      </c>
      <c r="G142" s="6">
        <f>VALUE(MID($W142,N142+1,O142-(N142+1)))</f>
        <v>324</v>
      </c>
      <c r="H142" s="6">
        <f>VALUE(MID($W142,O142+1,P142-(O142+1)))</f>
        <v>1316</v>
      </c>
      <c r="I142" s="6">
        <f>VALUE(MID($W142,P142+1,Q142-(P142+1)))</f>
        <v>3170</v>
      </c>
      <c r="J142" s="6">
        <f>VALUE(MID($W142,Q142+1,R142-(Q142+1)))</f>
        <v>4743</v>
      </c>
      <c r="K142" s="4">
        <f>VALUE(MID(W142,R142+1,LEN(W142)-(R142)))</f>
        <v>4495</v>
      </c>
      <c r="L142" s="4">
        <f>SEARCH(",",W142,X142)</f>
        <v>15</v>
      </c>
      <c r="M142" s="4">
        <f>SEARCH(",",$W142,L142+1)</f>
        <v>21</v>
      </c>
      <c r="N142" s="4">
        <f>SEARCH(",",$W142,M142+1)</f>
        <v>27</v>
      </c>
      <c r="O142" s="4">
        <f>SEARCH(",",$W142,N142+1)</f>
        <v>32</v>
      </c>
      <c r="P142" s="4">
        <f>SEARCH(",",$W142,O142+1)</f>
        <v>38</v>
      </c>
      <c r="Q142" s="4">
        <f>SEARCH(",",$W142,P142+1)</f>
        <v>44</v>
      </c>
      <c r="R142" s="4">
        <f>SEARCH(",",$W142,Q142+1)</f>
        <v>50</v>
      </c>
      <c r="T142" t="s">
        <v>438</v>
      </c>
      <c r="U142">
        <f>SEARCH(":",T142)</f>
        <v>6</v>
      </c>
      <c r="V142" t="str">
        <f>MID(T142,U142+1,LEN(T142)-(U142))</f>
        <v xml:space="preserve"> 525557 ** -320, -778, 4403, 324, 1316, 3170, 4743, 4495</v>
      </c>
      <c r="W142" t="str">
        <f>TRIM(V142)</f>
        <v>525557 ** -320, -778, 4403, 324, 1316, 3170, 4743, 4495</v>
      </c>
      <c r="X142">
        <f>SEARCH("~*",W142)</f>
        <v>8</v>
      </c>
      <c r="Y142" t="str">
        <f>LEFT(W142,X142-1)</f>
        <v xml:space="preserve">525557 </v>
      </c>
      <c r="AA142" t="str">
        <f>CONCATENATE(A142,",",D142,",",E142,",",F142,",",G142,",",H142,",",I142,",",J142,",",K142)</f>
        <v>525557,-320,-778,4403,324,1316,3170,4743,4495</v>
      </c>
    </row>
    <row r="143" spans="1:27">
      <c r="A143" s="1">
        <f>IF(ISBLANK(T143),"",VALUE(Y143))</f>
        <v>520988</v>
      </c>
      <c r="B143" s="1">
        <f>A143*4/10 -18</f>
        <v>208377.2</v>
      </c>
      <c r="C143" s="3">
        <f>B143/7000000</f>
        <v>2.9768171428571431E-2</v>
      </c>
      <c r="D143" s="6">
        <f>VALUE(MID(W143,$X143+2,L143-(X143+2)))</f>
        <v>-320</v>
      </c>
      <c r="E143" s="6">
        <f>VALUE(MID($W143,L143+1,M143-(L143+1)))</f>
        <v>-778</v>
      </c>
      <c r="F143" s="6">
        <f>VALUE(MID($W143,M143+1,N143-(M143+1)))</f>
        <v>4403</v>
      </c>
      <c r="G143" s="6">
        <f>VALUE(MID($W143,N143+1,O143-(N143+1)))</f>
        <v>324</v>
      </c>
      <c r="H143" s="6">
        <f>VALUE(MID($W143,O143+1,P143-(O143+1)))</f>
        <v>1316</v>
      </c>
      <c r="I143" s="6">
        <f>VALUE(MID($W143,P143+1,Q143-(P143+1)))</f>
        <v>3170</v>
      </c>
      <c r="J143" s="6">
        <f>VALUE(MID($W143,Q143+1,R143-(Q143+1)))</f>
        <v>4743</v>
      </c>
      <c r="K143" s="4">
        <f>VALUE(MID(W143,R143+1,LEN(W143)-(R143)))</f>
        <v>4495</v>
      </c>
      <c r="L143" s="4">
        <f>SEARCH(",",W143,X143)</f>
        <v>15</v>
      </c>
      <c r="M143" s="4">
        <f>SEARCH(",",$W143,L143+1)</f>
        <v>21</v>
      </c>
      <c r="N143" s="4">
        <f>SEARCH(",",$W143,M143+1)</f>
        <v>27</v>
      </c>
      <c r="O143" s="4">
        <f>SEARCH(",",$W143,N143+1)</f>
        <v>32</v>
      </c>
      <c r="P143" s="4">
        <f>SEARCH(",",$W143,O143+1)</f>
        <v>38</v>
      </c>
      <c r="Q143" s="4">
        <f>SEARCH(",",$W143,P143+1)</f>
        <v>44</v>
      </c>
      <c r="R143" s="4">
        <f>SEARCH(",",$W143,Q143+1)</f>
        <v>50</v>
      </c>
      <c r="T143" t="s">
        <v>487</v>
      </c>
      <c r="U143">
        <f>SEARCH(":",T143)</f>
        <v>6</v>
      </c>
      <c r="V143" t="str">
        <f>MID(T143,U143+1,LEN(T143)-(U143))</f>
        <v xml:space="preserve"> 520988 ** -320, -778, 4403, 324, 1316, 3170, 4743, 4495</v>
      </c>
      <c r="W143" t="str">
        <f>TRIM(V143)</f>
        <v>520988 ** -320, -778, 4403, 324, 1316, 3170, 4743, 4495</v>
      </c>
      <c r="X143">
        <f>SEARCH("~*",W143)</f>
        <v>8</v>
      </c>
      <c r="Y143" t="str">
        <f>LEFT(W143,X143-1)</f>
        <v xml:space="preserve">520988 </v>
      </c>
      <c r="AA143" t="str">
        <f>CONCATENATE(A143,",",D143,",",E143,",",F143,",",G143,",",H143,",",I143,",",J143,",",K143)</f>
        <v>520988,-320,-778,4403,324,1316,3170,4743,4495</v>
      </c>
    </row>
    <row r="144" spans="1:27">
      <c r="A144" s="1">
        <f>IF(ISBLANK(T144),"",VALUE(Y144))</f>
        <v>518870</v>
      </c>
      <c r="B144" s="1">
        <f>A144*4/10 -18</f>
        <v>207530</v>
      </c>
      <c r="C144" s="3">
        <f>B144/7000000</f>
        <v>2.9647142857142858E-2</v>
      </c>
      <c r="D144" s="6">
        <f>VALUE(MID(W144,$X144+2,L144-(X144+2)))</f>
        <v>-320</v>
      </c>
      <c r="E144" s="6">
        <f>VALUE(MID($W144,L144+1,M144-(L144+1)))</f>
        <v>-778</v>
      </c>
      <c r="F144" s="6">
        <f>VALUE(MID($W144,M144+1,N144-(M144+1)))</f>
        <v>4403</v>
      </c>
      <c r="G144" s="6">
        <f>VALUE(MID($W144,N144+1,O144-(N144+1)))</f>
        <v>324</v>
      </c>
      <c r="H144" s="6">
        <f>VALUE(MID($W144,O144+1,P144-(O144+1)))</f>
        <v>1316</v>
      </c>
      <c r="I144" s="6">
        <f>VALUE(MID($W144,P144+1,Q144-(P144+1)))</f>
        <v>3170</v>
      </c>
      <c r="J144" s="6">
        <f>VALUE(MID($W144,Q144+1,R144-(Q144+1)))</f>
        <v>4743</v>
      </c>
      <c r="K144" s="4">
        <f>VALUE(MID(W144,R144+1,LEN(W144)-(R144)))</f>
        <v>4495</v>
      </c>
      <c r="L144" s="4">
        <f>SEARCH(",",W144,X144)</f>
        <v>15</v>
      </c>
      <c r="M144" s="4">
        <f>SEARCH(",",$W144,L144+1)</f>
        <v>21</v>
      </c>
      <c r="N144" s="4">
        <f>SEARCH(",",$W144,M144+1)</f>
        <v>27</v>
      </c>
      <c r="O144" s="4">
        <f>SEARCH(",",$W144,N144+1)</f>
        <v>32</v>
      </c>
      <c r="P144" s="4">
        <f>SEARCH(",",$W144,O144+1)</f>
        <v>38</v>
      </c>
      <c r="Q144" s="4">
        <f>SEARCH(",",$W144,P144+1)</f>
        <v>44</v>
      </c>
      <c r="R144" s="4">
        <f>SEARCH(",",$W144,Q144+1)</f>
        <v>50</v>
      </c>
      <c r="T144" t="s">
        <v>369</v>
      </c>
      <c r="U144">
        <f>SEARCH(":",T144)</f>
        <v>6</v>
      </c>
      <c r="V144" t="str">
        <f>MID(T144,U144+1,LEN(T144)-(U144))</f>
        <v xml:space="preserve"> 518870 ** -320, -778, 4403, 324, 1316, 3170, 4743, 4495</v>
      </c>
      <c r="W144" t="str">
        <f>TRIM(V144)</f>
        <v>518870 ** -320, -778, 4403, 324, 1316, 3170, 4743, 4495</v>
      </c>
      <c r="X144">
        <f>SEARCH("~*",W144)</f>
        <v>8</v>
      </c>
      <c r="Y144" t="str">
        <f>LEFT(W144,X144-1)</f>
        <v xml:space="preserve">518870 </v>
      </c>
      <c r="AA144" t="str">
        <f>CONCATENATE(A144,",",D144,",",E144,",",F144,",",G144,",",H144,",",I144,",",J144,",",K144)</f>
        <v>518870,-320,-778,4403,324,1316,3170,4743,4495</v>
      </c>
    </row>
    <row r="145" spans="1:27">
      <c r="A145" s="1">
        <f>IF(ISBLANK(T145),"",VALUE(Y145))</f>
        <v>513095</v>
      </c>
      <c r="B145" s="1">
        <f>A145*4/10 -18</f>
        <v>205220</v>
      </c>
      <c r="C145" s="3">
        <f>B145/7000000</f>
        <v>2.9317142857142858E-2</v>
      </c>
      <c r="D145" s="6">
        <f>VALUE(MID(W145,$X145+2,L145-(X145+2)))</f>
        <v>-320</v>
      </c>
      <c r="E145" s="6">
        <f>VALUE(MID($W145,L145+1,M145-(L145+1)))</f>
        <v>-778</v>
      </c>
      <c r="F145" s="6">
        <f>VALUE(MID($W145,M145+1,N145-(M145+1)))</f>
        <v>4403</v>
      </c>
      <c r="G145" s="6">
        <f>VALUE(MID($W145,N145+1,O145-(N145+1)))</f>
        <v>324</v>
      </c>
      <c r="H145" s="6">
        <f>VALUE(MID($W145,O145+1,P145-(O145+1)))</f>
        <v>1316</v>
      </c>
      <c r="I145" s="6">
        <f>VALUE(MID($W145,P145+1,Q145-(P145+1)))</f>
        <v>3170</v>
      </c>
      <c r="J145" s="6">
        <f>VALUE(MID($W145,Q145+1,R145-(Q145+1)))</f>
        <v>4743</v>
      </c>
      <c r="K145" s="4">
        <f>VALUE(MID(W145,R145+1,LEN(W145)-(R145)))</f>
        <v>4495</v>
      </c>
      <c r="L145" s="4">
        <f>SEARCH(",",W145,X145)</f>
        <v>15</v>
      </c>
      <c r="M145" s="4">
        <f>SEARCH(",",$W145,L145+1)</f>
        <v>21</v>
      </c>
      <c r="N145" s="4">
        <f>SEARCH(",",$W145,M145+1)</f>
        <v>27</v>
      </c>
      <c r="O145" s="4">
        <f>SEARCH(",",$W145,N145+1)</f>
        <v>32</v>
      </c>
      <c r="P145" s="4">
        <f>SEARCH(",",$W145,O145+1)</f>
        <v>38</v>
      </c>
      <c r="Q145" s="4">
        <f>SEARCH(",",$W145,P145+1)</f>
        <v>44</v>
      </c>
      <c r="R145" s="4">
        <f>SEARCH(",",$W145,Q145+1)</f>
        <v>50</v>
      </c>
      <c r="T145" t="s">
        <v>500</v>
      </c>
      <c r="U145">
        <f>SEARCH(":",T145)</f>
        <v>6</v>
      </c>
      <c r="V145" t="str">
        <f>MID(T145,U145+1,LEN(T145)-(U145))</f>
        <v xml:space="preserve"> 513095 ** -320, -778, 4403, 324, 1316, 3170, 4743, 4495</v>
      </c>
      <c r="W145" t="str">
        <f>TRIM(V145)</f>
        <v>513095 ** -320, -778, 4403, 324, 1316, 3170, 4743, 4495</v>
      </c>
      <c r="X145">
        <f>SEARCH("~*",W145)</f>
        <v>8</v>
      </c>
      <c r="Y145" t="str">
        <f>LEFT(W145,X145-1)</f>
        <v xml:space="preserve">513095 </v>
      </c>
      <c r="AA145" t="str">
        <f>CONCATENATE(A145,",",D145,",",E145,",",F145,",",G145,",",H145,",",I145,",",J145,",",K145)</f>
        <v>513095,-320,-778,4403,324,1316,3170,4743,4495</v>
      </c>
    </row>
    <row r="146" spans="1:27">
      <c r="A146" s="1">
        <f>IF(ISBLANK(T146),"",VALUE(Y146))</f>
        <v>511424</v>
      </c>
      <c r="B146" s="1">
        <f>A146*4/10 -18</f>
        <v>204551.6</v>
      </c>
      <c r="C146" s="3">
        <f>B146/7000000</f>
        <v>2.9221657142857144E-2</v>
      </c>
      <c r="D146" s="6">
        <f>VALUE(MID(W146,$X146+2,L146-(X146+2)))</f>
        <v>-320</v>
      </c>
      <c r="E146" s="6">
        <f>VALUE(MID($W146,L146+1,M146-(L146+1)))</f>
        <v>-778</v>
      </c>
      <c r="F146" s="6">
        <f>VALUE(MID($W146,M146+1,N146-(M146+1)))</f>
        <v>4403</v>
      </c>
      <c r="G146" s="6">
        <f>VALUE(MID($W146,N146+1,O146-(N146+1)))</f>
        <v>324</v>
      </c>
      <c r="H146" s="6">
        <f>VALUE(MID($W146,O146+1,P146-(O146+1)))</f>
        <v>1316</v>
      </c>
      <c r="I146" s="6">
        <f>VALUE(MID($W146,P146+1,Q146-(P146+1)))</f>
        <v>3170</v>
      </c>
      <c r="J146" s="6">
        <f>VALUE(MID($W146,Q146+1,R146-(Q146+1)))</f>
        <v>4743</v>
      </c>
      <c r="K146" s="4">
        <f>VALUE(MID(W146,R146+1,LEN(W146)-(R146)))</f>
        <v>4495</v>
      </c>
      <c r="L146" s="4">
        <f>SEARCH(",",W146,X146)</f>
        <v>15</v>
      </c>
      <c r="M146" s="4">
        <f>SEARCH(",",$W146,L146+1)</f>
        <v>21</v>
      </c>
      <c r="N146" s="4">
        <f>SEARCH(",",$W146,M146+1)</f>
        <v>27</v>
      </c>
      <c r="O146" s="4">
        <f>SEARCH(",",$W146,N146+1)</f>
        <v>32</v>
      </c>
      <c r="P146" s="4">
        <f>SEARCH(",",$W146,O146+1)</f>
        <v>38</v>
      </c>
      <c r="Q146" s="4">
        <f>SEARCH(",",$W146,P146+1)</f>
        <v>44</v>
      </c>
      <c r="R146" s="4">
        <f>SEARCH(",",$W146,Q146+1)</f>
        <v>50</v>
      </c>
      <c r="T146" t="s">
        <v>406</v>
      </c>
      <c r="U146">
        <f>SEARCH(":",T146)</f>
        <v>6</v>
      </c>
      <c r="V146" t="str">
        <f>MID(T146,U146+1,LEN(T146)-(U146))</f>
        <v xml:space="preserve"> 511424 ** -320, -778, 4403, 324, 1316, 3170, 4743, 4495</v>
      </c>
      <c r="W146" t="str">
        <f>TRIM(V146)</f>
        <v>511424 ** -320, -778, 4403, 324, 1316, 3170, 4743, 4495</v>
      </c>
      <c r="X146">
        <f>SEARCH("~*",W146)</f>
        <v>8</v>
      </c>
      <c r="Y146" t="str">
        <f>LEFT(W146,X146-1)</f>
        <v xml:space="preserve">511424 </v>
      </c>
      <c r="AA146" t="str">
        <f>CONCATENATE(A146,",",D146,",",E146,",",F146,",",G146,",",H146,",",I146,",",J146,",",K146)</f>
        <v>511424,-320,-778,4403,324,1316,3170,4743,4495</v>
      </c>
    </row>
    <row r="147" spans="1:27">
      <c r="A147" s="1">
        <f>IF(ISBLANK(T147),"",VALUE(Y147))</f>
        <v>509143</v>
      </c>
      <c r="B147" s="1">
        <f>A147*4/10 -18</f>
        <v>203639.2</v>
      </c>
      <c r="C147" s="3">
        <f>B147/7000000</f>
        <v>2.9091314285714289E-2</v>
      </c>
      <c r="D147" s="6">
        <f>VALUE(MID(W147,$X147+2,L147-(X147+2)))</f>
        <v>-320</v>
      </c>
      <c r="E147" s="6">
        <f>VALUE(MID($W147,L147+1,M147-(L147+1)))</f>
        <v>-778</v>
      </c>
      <c r="F147" s="6">
        <f>VALUE(MID($W147,M147+1,N147-(M147+1)))</f>
        <v>4403</v>
      </c>
      <c r="G147" s="6">
        <f>VALUE(MID($W147,N147+1,O147-(N147+1)))</f>
        <v>324</v>
      </c>
      <c r="H147" s="6">
        <f>VALUE(MID($W147,O147+1,P147-(O147+1)))</f>
        <v>1316</v>
      </c>
      <c r="I147" s="6">
        <f>VALUE(MID($W147,P147+1,Q147-(P147+1)))</f>
        <v>3170</v>
      </c>
      <c r="J147" s="6">
        <f>VALUE(MID($W147,Q147+1,R147-(Q147+1)))</f>
        <v>4743</v>
      </c>
      <c r="K147" s="4">
        <f>VALUE(MID(W147,R147+1,LEN(W147)-(R147)))</f>
        <v>4495</v>
      </c>
      <c r="L147" s="4">
        <f>SEARCH(",",W147,X147)</f>
        <v>15</v>
      </c>
      <c r="M147" s="4">
        <f>SEARCH(",",$W147,L147+1)</f>
        <v>21</v>
      </c>
      <c r="N147" s="4">
        <f>SEARCH(",",$W147,M147+1)</f>
        <v>27</v>
      </c>
      <c r="O147" s="4">
        <f>SEARCH(",",$W147,N147+1)</f>
        <v>32</v>
      </c>
      <c r="P147" s="4">
        <f>SEARCH(",",$W147,O147+1)</f>
        <v>38</v>
      </c>
      <c r="Q147" s="4">
        <f>SEARCH(",",$W147,P147+1)</f>
        <v>44</v>
      </c>
      <c r="R147" s="4">
        <f>SEARCH(",",$W147,Q147+1)</f>
        <v>50</v>
      </c>
      <c r="T147" t="s">
        <v>368</v>
      </c>
      <c r="U147">
        <f>SEARCH(":",T147)</f>
        <v>6</v>
      </c>
      <c r="V147" t="str">
        <f>MID(T147,U147+1,LEN(T147)-(U147))</f>
        <v xml:space="preserve"> 509143 ** -320, -778, 4403, 324, 1316, 3170, 4743, 4495</v>
      </c>
      <c r="W147" t="str">
        <f>TRIM(V147)</f>
        <v>509143 ** -320, -778, 4403, 324, 1316, 3170, 4743, 4495</v>
      </c>
      <c r="X147">
        <f>SEARCH("~*",W147)</f>
        <v>8</v>
      </c>
      <c r="Y147" t="str">
        <f>LEFT(W147,X147-1)</f>
        <v xml:space="preserve">509143 </v>
      </c>
      <c r="AA147" t="str">
        <f>CONCATENATE(A147,",",D147,",",E147,",",F147,",",G147,",",H147,",",I147,",",J147,",",K147)</f>
        <v>509143,-320,-778,4403,324,1316,3170,4743,4495</v>
      </c>
    </row>
    <row r="148" spans="1:27">
      <c r="A148" s="1">
        <f>IF(ISBLANK(T148),"",VALUE(Y148))</f>
        <v>506451</v>
      </c>
      <c r="B148" s="1">
        <f>A148*4/10 -18</f>
        <v>202562.4</v>
      </c>
      <c r="C148" s="3">
        <f>B148/7000000</f>
        <v>2.8937485714285713E-2</v>
      </c>
      <c r="D148" s="6">
        <f>VALUE(MID(W148,$X148+2,L148-(X148+2)))</f>
        <v>-320</v>
      </c>
      <c r="E148" s="6">
        <f>VALUE(MID($W148,L148+1,M148-(L148+1)))</f>
        <v>-778</v>
      </c>
      <c r="F148" s="6">
        <f>VALUE(MID($W148,M148+1,N148-(M148+1)))</f>
        <v>4403</v>
      </c>
      <c r="G148" s="6">
        <f>VALUE(MID($W148,N148+1,O148-(N148+1)))</f>
        <v>324</v>
      </c>
      <c r="H148" s="6">
        <f>VALUE(MID($W148,O148+1,P148-(O148+1)))</f>
        <v>1316</v>
      </c>
      <c r="I148" s="6">
        <f>VALUE(MID($W148,P148+1,Q148-(P148+1)))</f>
        <v>3170</v>
      </c>
      <c r="J148" s="6">
        <f>VALUE(MID($W148,Q148+1,R148-(Q148+1)))</f>
        <v>4743</v>
      </c>
      <c r="K148" s="4">
        <f>VALUE(MID(W148,R148+1,LEN(W148)-(R148)))</f>
        <v>4495</v>
      </c>
      <c r="L148" s="4">
        <f>SEARCH(",",W148,X148)</f>
        <v>15</v>
      </c>
      <c r="M148" s="4">
        <f>SEARCH(",",$W148,L148+1)</f>
        <v>21</v>
      </c>
      <c r="N148" s="4">
        <f>SEARCH(",",$W148,M148+1)</f>
        <v>27</v>
      </c>
      <c r="O148" s="4">
        <f>SEARCH(",",$W148,N148+1)</f>
        <v>32</v>
      </c>
      <c r="P148" s="4">
        <f>SEARCH(",",$W148,O148+1)</f>
        <v>38</v>
      </c>
      <c r="Q148" s="4">
        <f>SEARCH(",",$W148,P148+1)</f>
        <v>44</v>
      </c>
      <c r="R148" s="4">
        <f>SEARCH(",",$W148,Q148+1)</f>
        <v>50</v>
      </c>
      <c r="T148" t="s">
        <v>456</v>
      </c>
      <c r="U148">
        <f>SEARCH(":",T148)</f>
        <v>6</v>
      </c>
      <c r="V148" t="str">
        <f>MID(T148,U148+1,LEN(T148)-(U148))</f>
        <v xml:space="preserve"> 506451 ** -320, -778, 4403, 324, 1316, 3170, 4743, 4495</v>
      </c>
      <c r="W148" t="str">
        <f>TRIM(V148)</f>
        <v>506451 ** -320, -778, 4403, 324, 1316, 3170, 4743, 4495</v>
      </c>
      <c r="X148">
        <f>SEARCH("~*",W148)</f>
        <v>8</v>
      </c>
      <c r="Y148" t="str">
        <f>LEFT(W148,X148-1)</f>
        <v xml:space="preserve">506451 </v>
      </c>
      <c r="AA148" t="str">
        <f>CONCATENATE(A148,",",D148,",",E148,",",F148,",",G148,",",H148,",",I148,",",J148,",",K148)</f>
        <v>506451,-320,-778,4403,324,1316,3170,4743,4495</v>
      </c>
    </row>
    <row r="149" spans="1:27">
      <c r="A149" s="1">
        <f>IF(ISBLANK(T149),"",VALUE(Y149))</f>
        <v>506423</v>
      </c>
      <c r="B149" s="1">
        <f>A149*4/10 -18</f>
        <v>202551.2</v>
      </c>
      <c r="C149" s="3">
        <f>B149/7000000</f>
        <v>2.8935885714285715E-2</v>
      </c>
      <c r="D149" s="6">
        <f>VALUE(MID(W149,$X149+2,L149-(X149+2)))</f>
        <v>-320</v>
      </c>
      <c r="E149" s="6">
        <f>VALUE(MID($W149,L149+1,M149-(L149+1)))</f>
        <v>-778</v>
      </c>
      <c r="F149" s="6">
        <f>VALUE(MID($W149,M149+1,N149-(M149+1)))</f>
        <v>4403</v>
      </c>
      <c r="G149" s="6">
        <f>VALUE(MID($W149,N149+1,O149-(N149+1)))</f>
        <v>324</v>
      </c>
      <c r="H149" s="6">
        <f>VALUE(MID($W149,O149+1,P149-(O149+1)))</f>
        <v>1316</v>
      </c>
      <c r="I149" s="6">
        <f>VALUE(MID($W149,P149+1,Q149-(P149+1)))</f>
        <v>3170</v>
      </c>
      <c r="J149" s="6">
        <f>VALUE(MID($W149,Q149+1,R149-(Q149+1)))</f>
        <v>4743</v>
      </c>
      <c r="K149" s="4">
        <f>VALUE(MID(W149,R149+1,LEN(W149)-(R149)))</f>
        <v>4495</v>
      </c>
      <c r="L149" s="4">
        <f>SEARCH(",",W149,X149)</f>
        <v>15</v>
      </c>
      <c r="M149" s="4">
        <f>SEARCH(",",$W149,L149+1)</f>
        <v>21</v>
      </c>
      <c r="N149" s="4">
        <f>SEARCH(",",$W149,M149+1)</f>
        <v>27</v>
      </c>
      <c r="O149" s="4">
        <f>SEARCH(",",$W149,N149+1)</f>
        <v>32</v>
      </c>
      <c r="P149" s="4">
        <f>SEARCH(",",$W149,O149+1)</f>
        <v>38</v>
      </c>
      <c r="Q149" s="4">
        <f>SEARCH(",",$W149,P149+1)</f>
        <v>44</v>
      </c>
      <c r="R149" s="4">
        <f>SEARCH(",",$W149,Q149+1)</f>
        <v>50</v>
      </c>
      <c r="T149" t="s">
        <v>562</v>
      </c>
      <c r="U149">
        <f>SEARCH(":",T149)</f>
        <v>6</v>
      </c>
      <c r="V149" t="str">
        <f>MID(T149,U149+1,LEN(T149)-(U149))</f>
        <v xml:space="preserve"> 506423 ** -320, -778, 4403, 324, 1316, 3170, 4743, 4495</v>
      </c>
      <c r="W149" t="str">
        <f>TRIM(V149)</f>
        <v>506423 ** -320, -778, 4403, 324, 1316, 3170, 4743, 4495</v>
      </c>
      <c r="X149">
        <f>SEARCH("~*",W149)</f>
        <v>8</v>
      </c>
      <c r="Y149" t="str">
        <f>LEFT(W149,X149-1)</f>
        <v xml:space="preserve">506423 </v>
      </c>
      <c r="AA149" t="str">
        <f>CONCATENATE(A149,",",D149,",",E149,",",F149,",",G149,",",H149,",",I149,",",J149,",",K149)</f>
        <v>506423,-320,-778,4403,324,1316,3170,4743,4495</v>
      </c>
    </row>
    <row r="150" spans="1:27">
      <c r="A150" s="1">
        <f>IF(ISBLANK(T150),"",VALUE(Y150))</f>
        <v>502751</v>
      </c>
      <c r="B150" s="1">
        <f>A150*4/10 -18</f>
        <v>201082.4</v>
      </c>
      <c r="C150" s="3">
        <f>B150/7000000</f>
        <v>2.8726057142857142E-2</v>
      </c>
      <c r="D150" s="6">
        <f>VALUE(MID(W150,$X150+2,L150-(X150+2)))</f>
        <v>-320</v>
      </c>
      <c r="E150" s="6">
        <f>VALUE(MID($W150,L150+1,M150-(L150+1)))</f>
        <v>-778</v>
      </c>
      <c r="F150" s="6">
        <f>VALUE(MID($W150,M150+1,N150-(M150+1)))</f>
        <v>4403</v>
      </c>
      <c r="G150" s="6">
        <f>VALUE(MID($W150,N150+1,O150-(N150+1)))</f>
        <v>324</v>
      </c>
      <c r="H150" s="6">
        <f>VALUE(MID($W150,O150+1,P150-(O150+1)))</f>
        <v>1316</v>
      </c>
      <c r="I150" s="6">
        <f>VALUE(MID($W150,P150+1,Q150-(P150+1)))</f>
        <v>3170</v>
      </c>
      <c r="J150" s="6">
        <f>VALUE(MID($W150,Q150+1,R150-(Q150+1)))</f>
        <v>4743</v>
      </c>
      <c r="K150" s="4">
        <f>VALUE(MID(W150,R150+1,LEN(W150)-(R150)))</f>
        <v>4495</v>
      </c>
      <c r="L150" s="4">
        <f>SEARCH(",",W150,X150)</f>
        <v>15</v>
      </c>
      <c r="M150" s="4">
        <f>SEARCH(",",$W150,L150+1)</f>
        <v>21</v>
      </c>
      <c r="N150" s="4">
        <f>SEARCH(",",$W150,M150+1)</f>
        <v>27</v>
      </c>
      <c r="O150" s="4">
        <f>SEARCH(",",$W150,N150+1)</f>
        <v>32</v>
      </c>
      <c r="P150" s="4">
        <f>SEARCH(",",$W150,O150+1)</f>
        <v>38</v>
      </c>
      <c r="Q150" s="4">
        <f>SEARCH(",",$W150,P150+1)</f>
        <v>44</v>
      </c>
      <c r="R150" s="4">
        <f>SEARCH(",",$W150,Q150+1)</f>
        <v>50</v>
      </c>
      <c r="T150" t="s">
        <v>470</v>
      </c>
      <c r="U150">
        <f>SEARCH(":",T150)</f>
        <v>6</v>
      </c>
      <c r="V150" t="str">
        <f>MID(T150,U150+1,LEN(T150)-(U150))</f>
        <v xml:space="preserve"> 502751 ** -320, -778, 4403, 324, 1316, 3170, 4743, 4495</v>
      </c>
      <c r="W150" t="str">
        <f>TRIM(V150)</f>
        <v>502751 ** -320, -778, 4403, 324, 1316, 3170, 4743, 4495</v>
      </c>
      <c r="X150">
        <f>SEARCH("~*",W150)</f>
        <v>8</v>
      </c>
      <c r="Y150" t="str">
        <f>LEFT(W150,X150-1)</f>
        <v xml:space="preserve">502751 </v>
      </c>
      <c r="AA150" t="str">
        <f>CONCATENATE(A150,",",D150,",",E150,",",F150,",",G150,",",H150,",",I150,",",J150,",",K150)</f>
        <v>502751,-320,-778,4403,324,1316,3170,4743,4495</v>
      </c>
    </row>
    <row r="151" spans="1:27">
      <c r="A151" s="1">
        <f>IF(ISBLANK(T151),"",VALUE(Y151))</f>
        <v>499707</v>
      </c>
      <c r="B151" s="1">
        <f>A151*4/10 -18</f>
        <v>199864.8</v>
      </c>
      <c r="C151" s="3">
        <f>B151/7000000</f>
        <v>2.8552114285714286E-2</v>
      </c>
      <c r="D151" s="6">
        <f>VALUE(MID(W151,$X151+2,L151-(X151+2)))</f>
        <v>-320</v>
      </c>
      <c r="E151" s="6">
        <f>VALUE(MID($W151,L151+1,M151-(L151+1)))</f>
        <v>-778</v>
      </c>
      <c r="F151" s="6">
        <f>VALUE(MID($W151,M151+1,N151-(M151+1)))</f>
        <v>4403</v>
      </c>
      <c r="G151" s="6">
        <f>VALUE(MID($W151,N151+1,O151-(N151+1)))</f>
        <v>324</v>
      </c>
      <c r="H151" s="6">
        <f>VALUE(MID($W151,O151+1,P151-(O151+1)))</f>
        <v>1316</v>
      </c>
      <c r="I151" s="6">
        <f>VALUE(MID($W151,P151+1,Q151-(P151+1)))</f>
        <v>3170</v>
      </c>
      <c r="J151" s="6">
        <f>VALUE(MID($W151,Q151+1,R151-(Q151+1)))</f>
        <v>4743</v>
      </c>
      <c r="K151" s="4">
        <f>VALUE(MID(W151,R151+1,LEN(W151)-(R151)))</f>
        <v>4495</v>
      </c>
      <c r="L151" s="4">
        <f>SEARCH(",",W151,X151)</f>
        <v>15</v>
      </c>
      <c r="M151" s="4">
        <f>SEARCH(",",$W151,L151+1)</f>
        <v>21</v>
      </c>
      <c r="N151" s="4">
        <f>SEARCH(",",$W151,M151+1)</f>
        <v>27</v>
      </c>
      <c r="O151" s="4">
        <f>SEARCH(",",$W151,N151+1)</f>
        <v>32</v>
      </c>
      <c r="P151" s="4">
        <f>SEARCH(",",$W151,O151+1)</f>
        <v>38</v>
      </c>
      <c r="Q151" s="4">
        <f>SEARCH(",",$W151,P151+1)</f>
        <v>44</v>
      </c>
      <c r="R151" s="4">
        <f>SEARCH(",",$W151,Q151+1)</f>
        <v>50</v>
      </c>
      <c r="T151" t="s">
        <v>549</v>
      </c>
      <c r="U151">
        <f>SEARCH(":",T151)</f>
        <v>6</v>
      </c>
      <c r="V151" t="str">
        <f>MID(T151,U151+1,LEN(T151)-(U151))</f>
        <v xml:space="preserve"> 499707 ** -320, -778, 4403, 324, 1316, 3170, 4743, 4495</v>
      </c>
      <c r="W151" t="str">
        <f>TRIM(V151)</f>
        <v>499707 ** -320, -778, 4403, 324, 1316, 3170, 4743, 4495</v>
      </c>
      <c r="X151">
        <f>SEARCH("~*",W151)</f>
        <v>8</v>
      </c>
      <c r="Y151" t="str">
        <f>LEFT(W151,X151-1)</f>
        <v xml:space="preserve">499707 </v>
      </c>
      <c r="AA151" t="str">
        <f>CONCATENATE(A151,",",D151,",",E151,",",F151,",",G151,",",H151,",",I151,",",J151,",",K151)</f>
        <v>499707,-320,-778,4403,324,1316,3170,4743,4495</v>
      </c>
    </row>
    <row r="152" spans="1:27">
      <c r="A152" s="1">
        <f>IF(ISBLANK(T152),"",VALUE(Y152))</f>
        <v>499666</v>
      </c>
      <c r="B152" s="1">
        <f>A152*4/10 -18</f>
        <v>199848.4</v>
      </c>
      <c r="C152" s="3">
        <f>B152/7000000</f>
        <v>2.8549771428571426E-2</v>
      </c>
      <c r="D152" s="6">
        <f>VALUE(MID(W152,$X152+2,L152-(X152+2)))</f>
        <v>-320</v>
      </c>
      <c r="E152" s="6">
        <f>VALUE(MID($W152,L152+1,M152-(L152+1)))</f>
        <v>-778</v>
      </c>
      <c r="F152" s="6">
        <f>VALUE(MID($W152,M152+1,N152-(M152+1)))</f>
        <v>4403</v>
      </c>
      <c r="G152" s="6">
        <f>VALUE(MID($W152,N152+1,O152-(N152+1)))</f>
        <v>324</v>
      </c>
      <c r="H152" s="6">
        <f>VALUE(MID($W152,O152+1,P152-(O152+1)))</f>
        <v>1316</v>
      </c>
      <c r="I152" s="6">
        <f>VALUE(MID($W152,P152+1,Q152-(P152+1)))</f>
        <v>3170</v>
      </c>
      <c r="J152" s="6">
        <f>VALUE(MID($W152,Q152+1,R152-(Q152+1)))</f>
        <v>4743</v>
      </c>
      <c r="K152" s="4">
        <f>VALUE(MID(W152,R152+1,LEN(W152)-(R152)))</f>
        <v>4495</v>
      </c>
      <c r="L152" s="4">
        <f>SEARCH(",",W152,X152)</f>
        <v>15</v>
      </c>
      <c r="M152" s="4">
        <f>SEARCH(",",$W152,L152+1)</f>
        <v>21</v>
      </c>
      <c r="N152" s="4">
        <f>SEARCH(",",$W152,M152+1)</f>
        <v>27</v>
      </c>
      <c r="O152" s="4">
        <f>SEARCH(",",$W152,N152+1)</f>
        <v>32</v>
      </c>
      <c r="P152" s="4">
        <f>SEARCH(",",$W152,O152+1)</f>
        <v>38</v>
      </c>
      <c r="Q152" s="4">
        <f>SEARCH(",",$W152,P152+1)</f>
        <v>44</v>
      </c>
      <c r="R152" s="4">
        <f>SEARCH(",",$W152,Q152+1)</f>
        <v>50</v>
      </c>
      <c r="T152" t="s">
        <v>477</v>
      </c>
      <c r="U152">
        <f>SEARCH(":",T152)</f>
        <v>6</v>
      </c>
      <c r="V152" t="str">
        <f>MID(T152,U152+1,LEN(T152)-(U152))</f>
        <v xml:space="preserve"> 499666 ** -320, -778, 4403, 324, 1316, 3170, 4743, 4495</v>
      </c>
      <c r="W152" t="str">
        <f>TRIM(V152)</f>
        <v>499666 ** -320, -778, 4403, 324, 1316, 3170, 4743, 4495</v>
      </c>
      <c r="X152">
        <f>SEARCH("~*",W152)</f>
        <v>8</v>
      </c>
      <c r="Y152" t="str">
        <f>LEFT(W152,X152-1)</f>
        <v xml:space="preserve">499666 </v>
      </c>
      <c r="AA152" t="str">
        <f>CONCATENATE(A152,",",D152,",",E152,",",F152,",",G152,",",H152,",",I152,",",J152,",",K152)</f>
        <v>499666,-320,-778,4403,324,1316,3170,4743,4495</v>
      </c>
    </row>
    <row r="153" spans="1:27">
      <c r="A153" s="1">
        <f>IF(ISBLANK(T153),"",VALUE(Y153))</f>
        <v>477877</v>
      </c>
      <c r="B153" s="1">
        <f>A153*4/10 -18</f>
        <v>191132.79999999999</v>
      </c>
      <c r="C153" s="3">
        <f>B153/7000000</f>
        <v>2.7304685714285713E-2</v>
      </c>
      <c r="D153" s="6">
        <f>VALUE(MID(W153,$X153+2,L153-(X153+2)))</f>
        <v>-320</v>
      </c>
      <c r="E153" s="6">
        <f>VALUE(MID($W153,L153+1,M153-(L153+1)))</f>
        <v>-778</v>
      </c>
      <c r="F153" s="6">
        <f>VALUE(MID($W153,M153+1,N153-(M153+1)))</f>
        <v>4403</v>
      </c>
      <c r="G153" s="6">
        <f>VALUE(MID($W153,N153+1,O153-(N153+1)))</f>
        <v>324</v>
      </c>
      <c r="H153" s="6">
        <f>VALUE(MID($W153,O153+1,P153-(O153+1)))</f>
        <v>1316</v>
      </c>
      <c r="I153" s="6">
        <f>VALUE(MID($W153,P153+1,Q153-(P153+1)))</f>
        <v>3170</v>
      </c>
      <c r="J153" s="6">
        <f>VALUE(MID($W153,Q153+1,R153-(Q153+1)))</f>
        <v>4743</v>
      </c>
      <c r="K153" s="4">
        <f>VALUE(MID(W153,R153+1,LEN(W153)-(R153)))</f>
        <v>4495</v>
      </c>
      <c r="L153" s="4">
        <f>SEARCH(",",W153,X153)</f>
        <v>15</v>
      </c>
      <c r="M153" s="4">
        <f>SEARCH(",",$W153,L153+1)</f>
        <v>21</v>
      </c>
      <c r="N153" s="4">
        <f>SEARCH(",",$W153,M153+1)</f>
        <v>27</v>
      </c>
      <c r="O153" s="4">
        <f>SEARCH(",",$W153,N153+1)</f>
        <v>32</v>
      </c>
      <c r="P153" s="4">
        <f>SEARCH(",",$W153,O153+1)</f>
        <v>38</v>
      </c>
      <c r="Q153" s="4">
        <f>SEARCH(",",$W153,P153+1)</f>
        <v>44</v>
      </c>
      <c r="R153" s="4">
        <f>SEARCH(",",$W153,Q153+1)</f>
        <v>50</v>
      </c>
      <c r="T153" t="s">
        <v>446</v>
      </c>
      <c r="U153">
        <f>SEARCH(":",T153)</f>
        <v>6</v>
      </c>
      <c r="V153" t="str">
        <f>MID(T153,U153+1,LEN(T153)-(U153))</f>
        <v xml:space="preserve"> 477877 ** -320, -778, 4403, 324, 1316, 3170, 4743, 4495</v>
      </c>
      <c r="W153" t="str">
        <f>TRIM(V153)</f>
        <v>477877 ** -320, -778, 4403, 324, 1316, 3170, 4743, 4495</v>
      </c>
      <c r="X153">
        <f>SEARCH("~*",W153)</f>
        <v>8</v>
      </c>
      <c r="Y153" t="str">
        <f>LEFT(W153,X153-1)</f>
        <v xml:space="preserve">477877 </v>
      </c>
      <c r="AA153" t="str">
        <f>CONCATENATE(A153,",",D153,",",E153,",",F153,",",G153,",",H153,",",I153,",",J153,",",K153)</f>
        <v>477877,-320,-778,4403,324,1316,3170,4743,4495</v>
      </c>
    </row>
    <row r="154" spans="1:27">
      <c r="A154" s="1">
        <f>IF(ISBLANK(T154),"",VALUE(Y154))</f>
        <v>470010</v>
      </c>
      <c r="B154" s="1">
        <f>A154*4/10 -18</f>
        <v>187986</v>
      </c>
      <c r="C154" s="3">
        <f>B154/7000000</f>
        <v>2.6855142857142859E-2</v>
      </c>
      <c r="D154" s="6">
        <f>VALUE(MID(W154,$X154+2,L154-(X154+2)))</f>
        <v>-320</v>
      </c>
      <c r="E154" s="6">
        <f>VALUE(MID($W154,L154+1,M154-(L154+1)))</f>
        <v>-778</v>
      </c>
      <c r="F154" s="6">
        <f>VALUE(MID($W154,M154+1,N154-(M154+1)))</f>
        <v>4403</v>
      </c>
      <c r="G154" s="6">
        <f>VALUE(MID($W154,N154+1,O154-(N154+1)))</f>
        <v>324</v>
      </c>
      <c r="H154" s="6">
        <f>VALUE(MID($W154,O154+1,P154-(O154+1)))</f>
        <v>1316</v>
      </c>
      <c r="I154" s="6">
        <f>VALUE(MID($W154,P154+1,Q154-(P154+1)))</f>
        <v>3170</v>
      </c>
      <c r="J154" s="6">
        <f>VALUE(MID($W154,Q154+1,R154-(Q154+1)))</f>
        <v>4743</v>
      </c>
      <c r="K154" s="4">
        <f>VALUE(MID(W154,R154+1,LEN(W154)-(R154)))</f>
        <v>4495</v>
      </c>
      <c r="L154" s="4">
        <f>SEARCH(",",W154,X154)</f>
        <v>15</v>
      </c>
      <c r="M154" s="4">
        <f>SEARCH(",",$W154,L154+1)</f>
        <v>21</v>
      </c>
      <c r="N154" s="4">
        <f>SEARCH(",",$W154,M154+1)</f>
        <v>27</v>
      </c>
      <c r="O154" s="4">
        <f>SEARCH(",",$W154,N154+1)</f>
        <v>32</v>
      </c>
      <c r="P154" s="4">
        <f>SEARCH(",",$W154,O154+1)</f>
        <v>38</v>
      </c>
      <c r="Q154" s="4">
        <f>SEARCH(",",$W154,P154+1)</f>
        <v>44</v>
      </c>
      <c r="R154" s="4">
        <f>SEARCH(",",$W154,Q154+1)</f>
        <v>50</v>
      </c>
      <c r="T154" t="s">
        <v>514</v>
      </c>
      <c r="U154">
        <f>SEARCH(":",T154)</f>
        <v>6</v>
      </c>
      <c r="V154" t="str">
        <f>MID(T154,U154+1,LEN(T154)-(U154))</f>
        <v xml:space="preserve"> 470010 ** -320, -778, 4403, 324, 1316, 3170, 4743, 4495</v>
      </c>
      <c r="W154" t="str">
        <f>TRIM(V154)</f>
        <v>470010 ** -320, -778, 4403, 324, 1316, 3170, 4743, 4495</v>
      </c>
      <c r="X154">
        <f>SEARCH("~*",W154)</f>
        <v>8</v>
      </c>
      <c r="Y154" t="str">
        <f>LEFT(W154,X154-1)</f>
        <v xml:space="preserve">470010 </v>
      </c>
      <c r="AA154" t="str">
        <f>CONCATENATE(A154,",",D154,",",E154,",",F154,",",G154,",",H154,",",I154,",",J154,",",K154)</f>
        <v>470010,-320,-778,4403,324,1316,3170,4743,4495</v>
      </c>
    </row>
    <row r="155" spans="1:27">
      <c r="A155" s="1">
        <f>IF(ISBLANK(T155),"",VALUE(Y155))</f>
        <v>469223</v>
      </c>
      <c r="B155" s="1">
        <f>A155*4/10 -18</f>
        <v>187671.2</v>
      </c>
      <c r="C155" s="3">
        <f>B155/7000000</f>
        <v>2.6810171428571429E-2</v>
      </c>
      <c r="D155" s="6">
        <f>VALUE(MID(W155,$X155+2,L155-(X155+2)))</f>
        <v>-320</v>
      </c>
      <c r="E155" s="6">
        <f>VALUE(MID($W155,L155+1,M155-(L155+1)))</f>
        <v>-778</v>
      </c>
      <c r="F155" s="6">
        <f>VALUE(MID($W155,M155+1,N155-(M155+1)))</f>
        <v>4403</v>
      </c>
      <c r="G155" s="6">
        <f>VALUE(MID($W155,N155+1,O155-(N155+1)))</f>
        <v>324</v>
      </c>
      <c r="H155" s="6">
        <f>VALUE(MID($W155,O155+1,P155-(O155+1)))</f>
        <v>1316</v>
      </c>
      <c r="I155" s="6">
        <f>VALUE(MID($W155,P155+1,Q155-(P155+1)))</f>
        <v>3170</v>
      </c>
      <c r="J155" s="6">
        <f>VALUE(MID($W155,Q155+1,R155-(Q155+1)))</f>
        <v>4743</v>
      </c>
      <c r="K155" s="4">
        <f>VALUE(MID(W155,R155+1,LEN(W155)-(R155)))</f>
        <v>4495</v>
      </c>
      <c r="L155" s="4">
        <f>SEARCH(",",W155,X155)</f>
        <v>15</v>
      </c>
      <c r="M155" s="4">
        <f>SEARCH(",",$W155,L155+1)</f>
        <v>21</v>
      </c>
      <c r="N155" s="4">
        <f>SEARCH(",",$W155,M155+1)</f>
        <v>27</v>
      </c>
      <c r="O155" s="4">
        <f>SEARCH(",",$W155,N155+1)</f>
        <v>32</v>
      </c>
      <c r="P155" s="4">
        <f>SEARCH(",",$W155,O155+1)</f>
        <v>38</v>
      </c>
      <c r="Q155" s="4">
        <f>SEARCH(",",$W155,P155+1)</f>
        <v>44</v>
      </c>
      <c r="R155" s="4">
        <f>SEARCH(",",$W155,Q155+1)</f>
        <v>50</v>
      </c>
      <c r="T155" t="s">
        <v>478</v>
      </c>
      <c r="U155">
        <f>SEARCH(":",T155)</f>
        <v>6</v>
      </c>
      <c r="V155" t="str">
        <f>MID(T155,U155+1,LEN(T155)-(U155))</f>
        <v xml:space="preserve"> 469223 ** -320, -778, 4403, 324, 1316, 3170, 4743, 4495</v>
      </c>
      <c r="W155" t="str">
        <f>TRIM(V155)</f>
        <v>469223 ** -320, -778, 4403, 324, 1316, 3170, 4743, 4495</v>
      </c>
      <c r="X155">
        <f>SEARCH("~*",W155)</f>
        <v>8</v>
      </c>
      <c r="Y155" t="str">
        <f>LEFT(W155,X155-1)</f>
        <v xml:space="preserve">469223 </v>
      </c>
      <c r="AA155" t="str">
        <f>CONCATENATE(A155,",",D155,",",E155,",",F155,",",G155,",",H155,",",I155,",",J155,",",K155)</f>
        <v>469223,-320,-778,4403,324,1316,3170,4743,4495</v>
      </c>
    </row>
    <row r="156" spans="1:27">
      <c r="A156" s="1">
        <f>IF(ISBLANK(T156),"",VALUE(Y156))</f>
        <v>467019</v>
      </c>
      <c r="B156" s="1">
        <f>A156*4/10 -18</f>
        <v>186789.6</v>
      </c>
      <c r="C156" s="3">
        <f>B156/7000000</f>
        <v>2.6684228571428572E-2</v>
      </c>
      <c r="D156" s="6">
        <f>VALUE(MID(W156,$X156+2,L156-(X156+2)))</f>
        <v>-320</v>
      </c>
      <c r="E156" s="6">
        <f>VALUE(MID($W156,L156+1,M156-(L156+1)))</f>
        <v>-778</v>
      </c>
      <c r="F156" s="6">
        <f>VALUE(MID($W156,M156+1,N156-(M156+1)))</f>
        <v>4403</v>
      </c>
      <c r="G156" s="6">
        <f>VALUE(MID($W156,N156+1,O156-(N156+1)))</f>
        <v>324</v>
      </c>
      <c r="H156" s="6">
        <f>VALUE(MID($W156,O156+1,P156-(O156+1)))</f>
        <v>1316</v>
      </c>
      <c r="I156" s="6">
        <f>VALUE(MID($W156,P156+1,Q156-(P156+1)))</f>
        <v>3170</v>
      </c>
      <c r="J156" s="6">
        <f>VALUE(MID($W156,Q156+1,R156-(Q156+1)))</f>
        <v>4743</v>
      </c>
      <c r="K156" s="4">
        <f>VALUE(MID(W156,R156+1,LEN(W156)-(R156)))</f>
        <v>4495</v>
      </c>
      <c r="L156" s="4">
        <f>SEARCH(",",W156,X156)</f>
        <v>15</v>
      </c>
      <c r="M156" s="4">
        <f>SEARCH(",",$W156,L156+1)</f>
        <v>21</v>
      </c>
      <c r="N156" s="4">
        <f>SEARCH(",",$W156,M156+1)</f>
        <v>27</v>
      </c>
      <c r="O156" s="4">
        <f>SEARCH(",",$W156,N156+1)</f>
        <v>32</v>
      </c>
      <c r="P156" s="4">
        <f>SEARCH(",",$W156,O156+1)</f>
        <v>38</v>
      </c>
      <c r="Q156" s="4">
        <f>SEARCH(",",$W156,P156+1)</f>
        <v>44</v>
      </c>
      <c r="R156" s="4">
        <f>SEARCH(",",$W156,Q156+1)</f>
        <v>50</v>
      </c>
      <c r="T156" t="s">
        <v>292</v>
      </c>
      <c r="U156">
        <f>SEARCH(":",T156)</f>
        <v>6</v>
      </c>
      <c r="V156" t="str">
        <f>MID(T156,U156+1,LEN(T156)-(U156))</f>
        <v xml:space="preserve"> 467019 ** -320, -778, 4403, 324, 1316, 3170, 4743, 4495</v>
      </c>
      <c r="W156" t="str">
        <f>TRIM(V156)</f>
        <v>467019 ** -320, -778, 4403, 324, 1316, 3170, 4743, 4495</v>
      </c>
      <c r="X156">
        <f>SEARCH("~*",W156)</f>
        <v>8</v>
      </c>
      <c r="Y156" t="str">
        <f>LEFT(W156,X156-1)</f>
        <v xml:space="preserve">467019 </v>
      </c>
      <c r="AA156" t="str">
        <f>CONCATENATE(A156,",",D156,",",E156,",",F156,",",G156,",",H156,",",I156,",",J156,",",K156)</f>
        <v>467019,-320,-778,4403,324,1316,3170,4743,4495</v>
      </c>
    </row>
    <row r="157" spans="1:27">
      <c r="A157" s="1">
        <f>IF(ISBLANK(T157),"",VALUE(Y157))</f>
        <v>457339</v>
      </c>
      <c r="B157" s="1">
        <f>A157*4/10 -18</f>
        <v>182917.6</v>
      </c>
      <c r="C157" s="3">
        <f>B157/7000000</f>
        <v>2.6131085714285716E-2</v>
      </c>
      <c r="D157" s="6">
        <f>VALUE(MID(W157,$X157+2,L157-(X157+2)))</f>
        <v>-320</v>
      </c>
      <c r="E157" s="6">
        <f>VALUE(MID($W157,L157+1,M157-(L157+1)))</f>
        <v>-778</v>
      </c>
      <c r="F157" s="6">
        <f>VALUE(MID($W157,M157+1,N157-(M157+1)))</f>
        <v>4403</v>
      </c>
      <c r="G157" s="6">
        <f>VALUE(MID($W157,N157+1,O157-(N157+1)))</f>
        <v>324</v>
      </c>
      <c r="H157" s="6">
        <f>VALUE(MID($W157,O157+1,P157-(O157+1)))</f>
        <v>1316</v>
      </c>
      <c r="I157" s="6">
        <f>VALUE(MID($W157,P157+1,Q157-(P157+1)))</f>
        <v>3170</v>
      </c>
      <c r="J157" s="6">
        <f>VALUE(MID($W157,Q157+1,R157-(Q157+1)))</f>
        <v>4743</v>
      </c>
      <c r="K157" s="4">
        <f>VALUE(MID(W157,R157+1,LEN(W157)-(R157)))</f>
        <v>4495</v>
      </c>
      <c r="L157" s="4">
        <f>SEARCH(",",W157,X157)</f>
        <v>15</v>
      </c>
      <c r="M157" s="4">
        <f>SEARCH(",",$W157,L157+1)</f>
        <v>21</v>
      </c>
      <c r="N157" s="4">
        <f>SEARCH(",",$W157,M157+1)</f>
        <v>27</v>
      </c>
      <c r="O157" s="4">
        <f>SEARCH(",",$W157,N157+1)</f>
        <v>32</v>
      </c>
      <c r="P157" s="4">
        <f>SEARCH(",",$W157,O157+1)</f>
        <v>38</v>
      </c>
      <c r="Q157" s="4">
        <f>SEARCH(",",$W157,P157+1)</f>
        <v>44</v>
      </c>
      <c r="R157" s="4">
        <f>SEARCH(",",$W157,Q157+1)</f>
        <v>50</v>
      </c>
      <c r="T157" t="s">
        <v>374</v>
      </c>
      <c r="U157">
        <f>SEARCH(":",T157)</f>
        <v>6</v>
      </c>
      <c r="V157" t="str">
        <f>MID(T157,U157+1,LEN(T157)-(U157))</f>
        <v xml:space="preserve"> 457339 ** -320, -778, 4403, 324, 1316, 3170, 4743, 4495</v>
      </c>
      <c r="W157" t="str">
        <f>TRIM(V157)</f>
        <v>457339 ** -320, -778, 4403, 324, 1316, 3170, 4743, 4495</v>
      </c>
      <c r="X157">
        <f>SEARCH("~*",W157)</f>
        <v>8</v>
      </c>
      <c r="Y157" t="str">
        <f>LEFT(W157,X157-1)</f>
        <v xml:space="preserve">457339 </v>
      </c>
      <c r="AA157" t="str">
        <f>CONCATENATE(A157,",",D157,",",E157,",",F157,",",G157,",",H157,",",I157,",",J157,",",K157)</f>
        <v>457339,-320,-778,4403,324,1316,3170,4743,4495</v>
      </c>
    </row>
    <row r="158" spans="1:27">
      <c r="A158" s="1">
        <f>IF(ISBLANK(T158),"",VALUE(Y158))</f>
        <v>447840</v>
      </c>
      <c r="B158" s="1">
        <f>A158*4/10 -18</f>
        <v>179118</v>
      </c>
      <c r="C158" s="3">
        <f>B158/7000000</f>
        <v>2.5588285714285713E-2</v>
      </c>
      <c r="D158" s="6">
        <f>VALUE(MID(W158,$X158+2,L158-(X158+2)))</f>
        <v>-320</v>
      </c>
      <c r="E158" s="6">
        <f>VALUE(MID($W158,L158+1,M158-(L158+1)))</f>
        <v>-778</v>
      </c>
      <c r="F158" s="6">
        <f>VALUE(MID($W158,M158+1,N158-(M158+1)))</f>
        <v>4403</v>
      </c>
      <c r="G158" s="6">
        <f>VALUE(MID($W158,N158+1,O158-(N158+1)))</f>
        <v>324</v>
      </c>
      <c r="H158" s="6">
        <f>VALUE(MID($W158,O158+1,P158-(O158+1)))</f>
        <v>1316</v>
      </c>
      <c r="I158" s="6">
        <f>VALUE(MID($W158,P158+1,Q158-(P158+1)))</f>
        <v>3170</v>
      </c>
      <c r="J158" s="6">
        <f>VALUE(MID($W158,Q158+1,R158-(Q158+1)))</f>
        <v>4743</v>
      </c>
      <c r="K158" s="4">
        <f>VALUE(MID(W158,R158+1,LEN(W158)-(R158)))</f>
        <v>4495</v>
      </c>
      <c r="L158" s="4">
        <f>SEARCH(",",W158,X158)</f>
        <v>15</v>
      </c>
      <c r="M158" s="4">
        <f>SEARCH(",",$W158,L158+1)</f>
        <v>21</v>
      </c>
      <c r="N158" s="4">
        <f>SEARCH(",",$W158,M158+1)</f>
        <v>27</v>
      </c>
      <c r="O158" s="4">
        <f>SEARCH(",",$W158,N158+1)</f>
        <v>32</v>
      </c>
      <c r="P158" s="4">
        <f>SEARCH(",",$W158,O158+1)</f>
        <v>38</v>
      </c>
      <c r="Q158" s="4">
        <f>SEARCH(",",$W158,P158+1)</f>
        <v>44</v>
      </c>
      <c r="R158" s="4">
        <f>SEARCH(",",$W158,Q158+1)</f>
        <v>50</v>
      </c>
      <c r="T158" t="s">
        <v>423</v>
      </c>
      <c r="U158">
        <f>SEARCH(":",T158)</f>
        <v>6</v>
      </c>
      <c r="V158" t="str">
        <f>MID(T158,U158+1,LEN(T158)-(U158))</f>
        <v xml:space="preserve"> 447840 ** -320, -778, 4403, 324, 1316, 3170, 4743, 4495</v>
      </c>
      <c r="W158" t="str">
        <f>TRIM(V158)</f>
        <v>447840 ** -320, -778, 4403, 324, 1316, 3170, 4743, 4495</v>
      </c>
      <c r="X158">
        <f>SEARCH("~*",W158)</f>
        <v>8</v>
      </c>
      <c r="Y158" t="str">
        <f>LEFT(W158,X158-1)</f>
        <v xml:space="preserve">447840 </v>
      </c>
      <c r="AA158" t="str">
        <f>CONCATENATE(A158,",",D158,",",E158,",",F158,",",G158,",",H158,",",I158,",",J158,",",K158)</f>
        <v>447840,-320,-778,4403,324,1316,3170,4743,4495</v>
      </c>
    </row>
    <row r="159" spans="1:27">
      <c r="A159" s="1">
        <f>IF(ISBLANK(T159),"",VALUE(Y159))</f>
        <v>445861</v>
      </c>
      <c r="B159" s="1">
        <f>A159*4/10 -18</f>
        <v>178326.39999999999</v>
      </c>
      <c r="C159" s="3">
        <f>B159/7000000</f>
        <v>2.54752E-2</v>
      </c>
      <c r="D159" s="6">
        <f>VALUE(MID(W159,$X159+2,L159-(X159+2)))</f>
        <v>-320</v>
      </c>
      <c r="E159" s="6">
        <f>VALUE(MID($W159,L159+1,M159-(L159+1)))</f>
        <v>-778</v>
      </c>
      <c r="F159" s="6">
        <f>VALUE(MID($W159,M159+1,N159-(M159+1)))</f>
        <v>4403</v>
      </c>
      <c r="G159" s="6">
        <f>VALUE(MID($W159,N159+1,O159-(N159+1)))</f>
        <v>324</v>
      </c>
      <c r="H159" s="6">
        <f>VALUE(MID($W159,O159+1,P159-(O159+1)))</f>
        <v>1316</v>
      </c>
      <c r="I159" s="6">
        <f>VALUE(MID($W159,P159+1,Q159-(P159+1)))</f>
        <v>3170</v>
      </c>
      <c r="J159" s="6">
        <f>VALUE(MID($W159,Q159+1,R159-(Q159+1)))</f>
        <v>4743</v>
      </c>
      <c r="K159" s="4">
        <f>VALUE(MID(W159,R159+1,LEN(W159)-(R159)))</f>
        <v>4495</v>
      </c>
      <c r="L159" s="4">
        <f>SEARCH(",",W159,X159)</f>
        <v>15</v>
      </c>
      <c r="M159" s="4">
        <f>SEARCH(",",$W159,L159+1)</f>
        <v>21</v>
      </c>
      <c r="N159" s="4">
        <f>SEARCH(",",$W159,M159+1)</f>
        <v>27</v>
      </c>
      <c r="O159" s="4">
        <f>SEARCH(",",$W159,N159+1)</f>
        <v>32</v>
      </c>
      <c r="P159" s="4">
        <f>SEARCH(",",$W159,O159+1)</f>
        <v>38</v>
      </c>
      <c r="Q159" s="4">
        <f>SEARCH(",",$W159,P159+1)</f>
        <v>44</v>
      </c>
      <c r="R159" s="4">
        <f>SEARCH(",",$W159,Q159+1)</f>
        <v>50</v>
      </c>
      <c r="T159" t="s">
        <v>397</v>
      </c>
      <c r="U159">
        <f>SEARCH(":",T159)</f>
        <v>6</v>
      </c>
      <c r="V159" t="str">
        <f>MID(T159,U159+1,LEN(T159)-(U159))</f>
        <v xml:space="preserve"> 445861 ** -320, -778, 4403, 324, 1316, 3170, 4743, 4495</v>
      </c>
      <c r="W159" t="str">
        <f>TRIM(V159)</f>
        <v>445861 ** -320, -778, 4403, 324, 1316, 3170, 4743, 4495</v>
      </c>
      <c r="X159">
        <f>SEARCH("~*",W159)</f>
        <v>8</v>
      </c>
      <c r="Y159" t="str">
        <f>LEFT(W159,X159-1)</f>
        <v xml:space="preserve">445861 </v>
      </c>
      <c r="AA159" t="str">
        <f>CONCATENATE(A159,",",D159,",",E159,",",F159,",",G159,",",H159,",",I159,",",J159,",",K159)</f>
        <v>445861,-320,-778,4403,324,1316,3170,4743,4495</v>
      </c>
    </row>
    <row r="160" spans="1:27">
      <c r="A160" s="1">
        <f>IF(ISBLANK(T160),"",VALUE(Y160))</f>
        <v>438144</v>
      </c>
      <c r="B160" s="1">
        <f>A160*4/10 -18</f>
        <v>175239.6</v>
      </c>
      <c r="C160" s="3">
        <f>B160/7000000</f>
        <v>2.5034228571428573E-2</v>
      </c>
      <c r="D160" s="6">
        <f>VALUE(MID(W160,$X160+2,L160-(X160+2)))</f>
        <v>-320</v>
      </c>
      <c r="E160" s="6">
        <f>VALUE(MID($W160,L160+1,M160-(L160+1)))</f>
        <v>-778</v>
      </c>
      <c r="F160" s="6">
        <f>VALUE(MID($W160,M160+1,N160-(M160+1)))</f>
        <v>4403</v>
      </c>
      <c r="G160" s="6">
        <f>VALUE(MID($W160,N160+1,O160-(N160+1)))</f>
        <v>324</v>
      </c>
      <c r="H160" s="6">
        <f>VALUE(MID($W160,O160+1,P160-(O160+1)))</f>
        <v>1316</v>
      </c>
      <c r="I160" s="6">
        <f>VALUE(MID($W160,P160+1,Q160-(P160+1)))</f>
        <v>3170</v>
      </c>
      <c r="J160" s="6">
        <f>VALUE(MID($W160,Q160+1,R160-(Q160+1)))</f>
        <v>4743</v>
      </c>
      <c r="K160" s="4">
        <f>VALUE(MID(W160,R160+1,LEN(W160)-(R160)))</f>
        <v>4495</v>
      </c>
      <c r="L160" s="4">
        <f>SEARCH(",",W160,X160)</f>
        <v>15</v>
      </c>
      <c r="M160" s="4">
        <f>SEARCH(",",$W160,L160+1)</f>
        <v>21</v>
      </c>
      <c r="N160" s="4">
        <f>SEARCH(",",$W160,M160+1)</f>
        <v>27</v>
      </c>
      <c r="O160" s="4">
        <f>SEARCH(",",$W160,N160+1)</f>
        <v>32</v>
      </c>
      <c r="P160" s="4">
        <f>SEARCH(",",$W160,O160+1)</f>
        <v>38</v>
      </c>
      <c r="Q160" s="4">
        <f>SEARCH(",",$W160,P160+1)</f>
        <v>44</v>
      </c>
      <c r="R160" s="4">
        <f>SEARCH(",",$W160,Q160+1)</f>
        <v>50</v>
      </c>
      <c r="T160" t="s">
        <v>372</v>
      </c>
      <c r="U160">
        <f>SEARCH(":",T160)</f>
        <v>6</v>
      </c>
      <c r="V160" t="str">
        <f>MID(T160,U160+1,LEN(T160)-(U160))</f>
        <v xml:space="preserve"> 438144 ** -320, -778, 4403, 324, 1316, 3170, 4743, 4495</v>
      </c>
      <c r="W160" t="str">
        <f>TRIM(V160)</f>
        <v>438144 ** -320, -778, 4403, 324, 1316, 3170, 4743, 4495</v>
      </c>
      <c r="X160">
        <f>SEARCH("~*",W160)</f>
        <v>8</v>
      </c>
      <c r="Y160" t="str">
        <f>LEFT(W160,X160-1)</f>
        <v xml:space="preserve">438144 </v>
      </c>
      <c r="AA160" t="str">
        <f>CONCATENATE(A160,",",D160,",",E160,",",F160,",",G160,",",H160,",",I160,",",J160,",",K160)</f>
        <v>438144,-320,-778,4403,324,1316,3170,4743,4495</v>
      </c>
    </row>
    <row r="161" spans="1:27">
      <c r="A161" s="1">
        <f>IF(ISBLANK(T161),"",VALUE(Y161))</f>
        <v>430618</v>
      </c>
      <c r="B161" s="1">
        <f>A161*4/10 -18</f>
        <v>172229.2</v>
      </c>
      <c r="C161" s="3">
        <f>B161/7000000</f>
        <v>2.4604171428571429E-2</v>
      </c>
      <c r="D161" s="6">
        <f>VALUE(MID(W161,$X161+2,L161-(X161+2)))</f>
        <v>-320</v>
      </c>
      <c r="E161" s="6">
        <f>VALUE(MID($W161,L161+1,M161-(L161+1)))</f>
        <v>-778</v>
      </c>
      <c r="F161" s="6">
        <f>VALUE(MID($W161,M161+1,N161-(M161+1)))</f>
        <v>4403</v>
      </c>
      <c r="G161" s="6">
        <f>VALUE(MID($W161,N161+1,O161-(N161+1)))</f>
        <v>324</v>
      </c>
      <c r="H161" s="6">
        <f>VALUE(MID($W161,O161+1,P161-(O161+1)))</f>
        <v>1316</v>
      </c>
      <c r="I161" s="6">
        <f>VALUE(MID($W161,P161+1,Q161-(P161+1)))</f>
        <v>3170</v>
      </c>
      <c r="J161" s="6">
        <f>VALUE(MID($W161,Q161+1,R161-(Q161+1)))</f>
        <v>4743</v>
      </c>
      <c r="K161" s="4">
        <f>VALUE(MID(W161,R161+1,LEN(W161)-(R161)))</f>
        <v>4495</v>
      </c>
      <c r="L161" s="4">
        <f>SEARCH(",",W161,X161)</f>
        <v>15</v>
      </c>
      <c r="M161" s="4">
        <f>SEARCH(",",$W161,L161+1)</f>
        <v>21</v>
      </c>
      <c r="N161" s="4">
        <f>SEARCH(",",$W161,M161+1)</f>
        <v>27</v>
      </c>
      <c r="O161" s="4">
        <f>SEARCH(",",$W161,N161+1)</f>
        <v>32</v>
      </c>
      <c r="P161" s="4">
        <f>SEARCH(",",$W161,O161+1)</f>
        <v>38</v>
      </c>
      <c r="Q161" s="4">
        <f>SEARCH(",",$W161,P161+1)</f>
        <v>44</v>
      </c>
      <c r="R161" s="4">
        <f>SEARCH(",",$W161,Q161+1)</f>
        <v>50</v>
      </c>
      <c r="T161" t="s">
        <v>381</v>
      </c>
      <c r="U161">
        <f>SEARCH(":",T161)</f>
        <v>6</v>
      </c>
      <c r="V161" t="str">
        <f>MID(T161,U161+1,LEN(T161)-(U161))</f>
        <v xml:space="preserve"> 430618 ** -320, -778, 4403, 324, 1316, 3170, 4743, 4495</v>
      </c>
      <c r="W161" t="str">
        <f>TRIM(V161)</f>
        <v>430618 ** -320, -778, 4403, 324, 1316, 3170, 4743, 4495</v>
      </c>
      <c r="X161">
        <f>SEARCH("~*",W161)</f>
        <v>8</v>
      </c>
      <c r="Y161" t="str">
        <f>LEFT(W161,X161-1)</f>
        <v xml:space="preserve">430618 </v>
      </c>
      <c r="AA161" t="str">
        <f>CONCATENATE(A161,",",D161,",",E161,",",F161,",",G161,",",H161,",",I161,",",J161,",",K161)</f>
        <v>430618,-320,-778,4403,324,1316,3170,4743,4495</v>
      </c>
    </row>
    <row r="162" spans="1:27">
      <c r="A162" s="1">
        <f>IF(ISBLANK(T162),"",VALUE(Y162))</f>
        <v>409792</v>
      </c>
      <c r="B162" s="1">
        <f>A162*4/10 -18</f>
        <v>163898.79999999999</v>
      </c>
      <c r="C162" s="3">
        <f>B162/7000000</f>
        <v>2.3414114285714285E-2</v>
      </c>
      <c r="D162" s="6">
        <f>VALUE(MID(W162,$X162+2,L162-(X162+2)))</f>
        <v>-320</v>
      </c>
      <c r="E162" s="6">
        <f>VALUE(MID($W162,L162+1,M162-(L162+1)))</f>
        <v>-778</v>
      </c>
      <c r="F162" s="6">
        <f>VALUE(MID($W162,M162+1,N162-(M162+1)))</f>
        <v>4403</v>
      </c>
      <c r="G162" s="6">
        <f>VALUE(MID($W162,N162+1,O162-(N162+1)))</f>
        <v>324</v>
      </c>
      <c r="H162" s="6">
        <f>VALUE(MID($W162,O162+1,P162-(O162+1)))</f>
        <v>1316</v>
      </c>
      <c r="I162" s="6">
        <f>VALUE(MID($W162,P162+1,Q162-(P162+1)))</f>
        <v>3170</v>
      </c>
      <c r="J162" s="6">
        <f>VALUE(MID($W162,Q162+1,R162-(Q162+1)))</f>
        <v>4743</v>
      </c>
      <c r="K162" s="4">
        <f>VALUE(MID(W162,R162+1,LEN(W162)-(R162)))</f>
        <v>4495</v>
      </c>
      <c r="L162" s="4">
        <f>SEARCH(",",W162,X162)</f>
        <v>15</v>
      </c>
      <c r="M162" s="4">
        <f>SEARCH(",",$W162,L162+1)</f>
        <v>21</v>
      </c>
      <c r="N162" s="4">
        <f>SEARCH(",",$W162,M162+1)</f>
        <v>27</v>
      </c>
      <c r="O162" s="4">
        <f>SEARCH(",",$W162,N162+1)</f>
        <v>32</v>
      </c>
      <c r="P162" s="4">
        <f>SEARCH(",",$W162,O162+1)</f>
        <v>38</v>
      </c>
      <c r="Q162" s="4">
        <f>SEARCH(",",$W162,P162+1)</f>
        <v>44</v>
      </c>
      <c r="R162" s="4">
        <f>SEARCH(",",$W162,Q162+1)</f>
        <v>50</v>
      </c>
      <c r="T162" t="s">
        <v>336</v>
      </c>
      <c r="U162">
        <f>SEARCH(":",T162)</f>
        <v>6</v>
      </c>
      <c r="V162" t="str">
        <f>MID(T162,U162+1,LEN(T162)-(U162))</f>
        <v xml:space="preserve"> 409792 ** -320, -778, 4403, 324, 1316, 3170, 4743, 4495</v>
      </c>
      <c r="W162" t="str">
        <f>TRIM(V162)</f>
        <v>409792 ** -320, -778, 4403, 324, 1316, 3170, 4743, 4495</v>
      </c>
      <c r="X162">
        <f>SEARCH("~*",W162)</f>
        <v>8</v>
      </c>
      <c r="Y162" t="str">
        <f>LEFT(W162,X162-1)</f>
        <v xml:space="preserve">409792 </v>
      </c>
      <c r="AA162" t="str">
        <f>CONCATENATE(A162,",",D162,",",E162,",",F162,",",G162,",",H162,",",I162,",",J162,",",K162)</f>
        <v>409792,-320,-778,4403,324,1316,3170,4743,4495</v>
      </c>
    </row>
    <row r="163" spans="1:27">
      <c r="A163" s="1">
        <f>IF(ISBLANK(T163),"",VALUE(Y163))</f>
        <v>409776</v>
      </c>
      <c r="B163" s="1">
        <f>A163*4/10 -18</f>
        <v>163892.4</v>
      </c>
      <c r="C163" s="3">
        <f>B163/7000000</f>
        <v>2.3413199999999999E-2</v>
      </c>
      <c r="D163" s="6">
        <f>VALUE(MID(W163,$X163+2,L163-(X163+2)))</f>
        <v>-320</v>
      </c>
      <c r="E163" s="6">
        <f>VALUE(MID($W163,L163+1,M163-(L163+1)))</f>
        <v>-778</v>
      </c>
      <c r="F163" s="6">
        <f>VALUE(MID($W163,M163+1,N163-(M163+1)))</f>
        <v>4403</v>
      </c>
      <c r="G163" s="6">
        <f>VALUE(MID($W163,N163+1,O163-(N163+1)))</f>
        <v>324</v>
      </c>
      <c r="H163" s="6">
        <f>VALUE(MID($W163,O163+1,P163-(O163+1)))</f>
        <v>1316</v>
      </c>
      <c r="I163" s="6">
        <f>VALUE(MID($W163,P163+1,Q163-(P163+1)))</f>
        <v>3170</v>
      </c>
      <c r="J163" s="6">
        <f>VALUE(MID($W163,Q163+1,R163-(Q163+1)))</f>
        <v>4743</v>
      </c>
      <c r="K163" s="4">
        <f>VALUE(MID(W163,R163+1,LEN(W163)-(R163)))</f>
        <v>4495</v>
      </c>
      <c r="L163" s="4">
        <f>SEARCH(",",W163,X163)</f>
        <v>15</v>
      </c>
      <c r="M163" s="4">
        <f>SEARCH(",",$W163,L163+1)</f>
        <v>21</v>
      </c>
      <c r="N163" s="4">
        <f>SEARCH(",",$W163,M163+1)</f>
        <v>27</v>
      </c>
      <c r="O163" s="4">
        <f>SEARCH(",",$W163,N163+1)</f>
        <v>32</v>
      </c>
      <c r="P163" s="4">
        <f>SEARCH(",",$W163,O163+1)</f>
        <v>38</v>
      </c>
      <c r="Q163" s="4">
        <f>SEARCH(",",$W163,P163+1)</f>
        <v>44</v>
      </c>
      <c r="R163" s="4">
        <f>SEARCH(",",$W163,Q163+1)</f>
        <v>50</v>
      </c>
      <c r="T163" t="s">
        <v>396</v>
      </c>
      <c r="U163">
        <f>SEARCH(":",T163)</f>
        <v>6</v>
      </c>
      <c r="V163" t="str">
        <f>MID(T163,U163+1,LEN(T163)-(U163))</f>
        <v xml:space="preserve"> 409776 ** -320, -778, 4403, 324, 1316, 3170, 4743, 4495</v>
      </c>
      <c r="W163" t="str">
        <f>TRIM(V163)</f>
        <v>409776 ** -320, -778, 4403, 324, 1316, 3170, 4743, 4495</v>
      </c>
      <c r="X163">
        <f>SEARCH("~*",W163)</f>
        <v>8</v>
      </c>
      <c r="Y163" t="str">
        <f>LEFT(W163,X163-1)</f>
        <v xml:space="preserve">409776 </v>
      </c>
      <c r="AA163" t="str">
        <f>CONCATENATE(A163,",",D163,",",E163,",",F163,",",G163,",",H163,",",I163,",",J163,",",K163)</f>
        <v>409776,-320,-778,4403,324,1316,3170,4743,4495</v>
      </c>
    </row>
    <row r="164" spans="1:27">
      <c r="A164" s="1">
        <f>IF(ISBLANK(T164),"",VALUE(Y164))</f>
        <v>408473</v>
      </c>
      <c r="B164" s="1">
        <f>A164*4/10 -18</f>
        <v>163371.20000000001</v>
      </c>
      <c r="C164" s="3">
        <f>B164/7000000</f>
        <v>2.3338742857142859E-2</v>
      </c>
      <c r="D164" s="6">
        <f>VALUE(MID(W164,$X164+2,L164-(X164+2)))</f>
        <v>-320</v>
      </c>
      <c r="E164" s="6">
        <f>VALUE(MID($W164,L164+1,M164-(L164+1)))</f>
        <v>-778</v>
      </c>
      <c r="F164" s="6">
        <f>VALUE(MID($W164,M164+1,N164-(M164+1)))</f>
        <v>4403</v>
      </c>
      <c r="G164" s="6">
        <f>VALUE(MID($W164,N164+1,O164-(N164+1)))</f>
        <v>324</v>
      </c>
      <c r="H164" s="6">
        <f>VALUE(MID($W164,O164+1,P164-(O164+1)))</f>
        <v>1316</v>
      </c>
      <c r="I164" s="6">
        <f>VALUE(MID($W164,P164+1,Q164-(P164+1)))</f>
        <v>3170</v>
      </c>
      <c r="J164" s="6">
        <f>VALUE(MID($W164,Q164+1,R164-(Q164+1)))</f>
        <v>4743</v>
      </c>
      <c r="K164" s="4">
        <f>VALUE(MID(W164,R164+1,LEN(W164)-(R164)))</f>
        <v>4495</v>
      </c>
      <c r="L164" s="4">
        <f>SEARCH(",",W164,X164)</f>
        <v>15</v>
      </c>
      <c r="M164" s="4">
        <f>SEARCH(",",$W164,L164+1)</f>
        <v>21</v>
      </c>
      <c r="N164" s="4">
        <f>SEARCH(",",$W164,M164+1)</f>
        <v>27</v>
      </c>
      <c r="O164" s="4">
        <f>SEARCH(",",$W164,N164+1)</f>
        <v>32</v>
      </c>
      <c r="P164" s="4">
        <f>SEARCH(",",$W164,O164+1)</f>
        <v>38</v>
      </c>
      <c r="Q164" s="4">
        <f>SEARCH(",",$W164,P164+1)</f>
        <v>44</v>
      </c>
      <c r="R164" s="4">
        <f>SEARCH(",",$W164,Q164+1)</f>
        <v>50</v>
      </c>
      <c r="T164" t="s">
        <v>481</v>
      </c>
      <c r="U164">
        <f>SEARCH(":",T164)</f>
        <v>6</v>
      </c>
      <c r="V164" t="str">
        <f>MID(T164,U164+1,LEN(T164)-(U164))</f>
        <v xml:space="preserve"> 408473 ** -320, -778, 4403, 324, 1316, 3170, 4743, 4495</v>
      </c>
      <c r="W164" t="str">
        <f>TRIM(V164)</f>
        <v>408473 ** -320, -778, 4403, 324, 1316, 3170, 4743, 4495</v>
      </c>
      <c r="X164">
        <f>SEARCH("~*",W164)</f>
        <v>8</v>
      </c>
      <c r="Y164" t="str">
        <f>LEFT(W164,X164-1)</f>
        <v xml:space="preserve">408473 </v>
      </c>
      <c r="AA164" t="str">
        <f>CONCATENATE(A164,",",D164,",",E164,",",F164,",",G164,",",H164,",",I164,",",J164,",",K164)</f>
        <v>408473,-320,-778,4403,324,1316,3170,4743,4495</v>
      </c>
    </row>
    <row r="165" spans="1:27">
      <c r="A165" s="1">
        <f>IF(ISBLANK(T165),"",VALUE(Y165))</f>
        <v>403585</v>
      </c>
      <c r="B165" s="1">
        <f>A165*4/10 -18</f>
        <v>161416</v>
      </c>
      <c r="C165" s="3">
        <f>B165/7000000</f>
        <v>2.3059428571428571E-2</v>
      </c>
      <c r="D165" s="6">
        <f>VALUE(MID(W165,$X165+2,L165-(X165+2)))</f>
        <v>-320</v>
      </c>
      <c r="E165" s="6">
        <f>VALUE(MID($W165,L165+1,M165-(L165+1)))</f>
        <v>-778</v>
      </c>
      <c r="F165" s="6">
        <f>VALUE(MID($W165,M165+1,N165-(M165+1)))</f>
        <v>4403</v>
      </c>
      <c r="G165" s="6">
        <f>VALUE(MID($W165,N165+1,O165-(N165+1)))</f>
        <v>324</v>
      </c>
      <c r="H165" s="6">
        <f>VALUE(MID($W165,O165+1,P165-(O165+1)))</f>
        <v>1316</v>
      </c>
      <c r="I165" s="6">
        <f>VALUE(MID($W165,P165+1,Q165-(P165+1)))</f>
        <v>3170</v>
      </c>
      <c r="J165" s="6">
        <f>VALUE(MID($W165,Q165+1,R165-(Q165+1)))</f>
        <v>4743</v>
      </c>
      <c r="K165" s="4">
        <f>VALUE(MID(W165,R165+1,LEN(W165)-(R165)))</f>
        <v>4495</v>
      </c>
      <c r="L165" s="4">
        <f>SEARCH(",",W165,X165)</f>
        <v>15</v>
      </c>
      <c r="M165" s="4">
        <f>SEARCH(",",$W165,L165+1)</f>
        <v>21</v>
      </c>
      <c r="N165" s="4">
        <f>SEARCH(",",$W165,M165+1)</f>
        <v>27</v>
      </c>
      <c r="O165" s="4">
        <f>SEARCH(",",$W165,N165+1)</f>
        <v>32</v>
      </c>
      <c r="P165" s="4">
        <f>SEARCH(",",$W165,O165+1)</f>
        <v>38</v>
      </c>
      <c r="Q165" s="4">
        <f>SEARCH(",",$W165,P165+1)</f>
        <v>44</v>
      </c>
      <c r="R165" s="4">
        <f>SEARCH(",",$W165,Q165+1)</f>
        <v>50</v>
      </c>
      <c r="T165" t="s">
        <v>354</v>
      </c>
      <c r="U165">
        <f>SEARCH(":",T165)</f>
        <v>6</v>
      </c>
      <c r="V165" t="str">
        <f>MID(T165,U165+1,LEN(T165)-(U165))</f>
        <v xml:space="preserve"> 403585 ** -320, -778, 4403, 324, 1316, 3170, 4743, 4495</v>
      </c>
      <c r="W165" t="str">
        <f>TRIM(V165)</f>
        <v>403585 ** -320, -778, 4403, 324, 1316, 3170, 4743, 4495</v>
      </c>
      <c r="X165">
        <f>SEARCH("~*",W165)</f>
        <v>8</v>
      </c>
      <c r="Y165" t="str">
        <f>LEFT(W165,X165-1)</f>
        <v xml:space="preserve">403585 </v>
      </c>
      <c r="AA165" t="str">
        <f>CONCATENATE(A165,",",D165,",",E165,",",F165,",",G165,",",H165,",",I165,",",J165,",",K165)</f>
        <v>403585,-320,-778,4403,324,1316,3170,4743,4495</v>
      </c>
    </row>
    <row r="166" spans="1:27">
      <c r="A166" s="1">
        <f>IF(ISBLANK(T166),"",VALUE(Y166))</f>
        <v>401592</v>
      </c>
      <c r="B166" s="1">
        <f>A166*4/10 -18</f>
        <v>160618.79999999999</v>
      </c>
      <c r="C166" s="3">
        <f>B166/7000000</f>
        <v>2.2945542857142856E-2</v>
      </c>
      <c r="D166" s="6">
        <f>VALUE(MID(W166,$X166+2,L166-(X166+2)))</f>
        <v>-320</v>
      </c>
      <c r="E166" s="6">
        <f>VALUE(MID($W166,L166+1,M166-(L166+1)))</f>
        <v>-778</v>
      </c>
      <c r="F166" s="6">
        <f>VALUE(MID($W166,M166+1,N166-(M166+1)))</f>
        <v>4403</v>
      </c>
      <c r="G166" s="6">
        <f>VALUE(MID($W166,N166+1,O166-(N166+1)))</f>
        <v>324</v>
      </c>
      <c r="H166" s="6">
        <f>VALUE(MID($W166,O166+1,P166-(O166+1)))</f>
        <v>1316</v>
      </c>
      <c r="I166" s="6">
        <f>VALUE(MID($W166,P166+1,Q166-(P166+1)))</f>
        <v>3170</v>
      </c>
      <c r="J166" s="6">
        <f>VALUE(MID($W166,Q166+1,R166-(Q166+1)))</f>
        <v>4743</v>
      </c>
      <c r="K166" s="4">
        <f>VALUE(MID(W166,R166+1,LEN(W166)-(R166)))</f>
        <v>4495</v>
      </c>
      <c r="L166" s="4">
        <f>SEARCH(",",W166,X166)</f>
        <v>15</v>
      </c>
      <c r="M166" s="4">
        <f>SEARCH(",",$W166,L166+1)</f>
        <v>21</v>
      </c>
      <c r="N166" s="4">
        <f>SEARCH(",",$W166,M166+1)</f>
        <v>27</v>
      </c>
      <c r="O166" s="4">
        <f>SEARCH(",",$W166,N166+1)</f>
        <v>32</v>
      </c>
      <c r="P166" s="4">
        <f>SEARCH(",",$W166,O166+1)</f>
        <v>38</v>
      </c>
      <c r="Q166" s="4">
        <f>SEARCH(",",$W166,P166+1)</f>
        <v>44</v>
      </c>
      <c r="R166" s="4">
        <f>SEARCH(",",$W166,Q166+1)</f>
        <v>50</v>
      </c>
      <c r="T166" t="s">
        <v>512</v>
      </c>
      <c r="U166">
        <f>SEARCH(":",T166)</f>
        <v>6</v>
      </c>
      <c r="V166" t="str">
        <f>MID(T166,U166+1,LEN(T166)-(U166))</f>
        <v xml:space="preserve"> 401592 ** -320, -778, 4403, 324, 1316, 3170, 4743, 4495</v>
      </c>
      <c r="W166" t="str">
        <f>TRIM(V166)</f>
        <v>401592 ** -320, -778, 4403, 324, 1316, 3170, 4743, 4495</v>
      </c>
      <c r="X166">
        <f>SEARCH("~*",W166)</f>
        <v>8</v>
      </c>
      <c r="Y166" t="str">
        <f>LEFT(W166,X166-1)</f>
        <v xml:space="preserve">401592 </v>
      </c>
      <c r="AA166" t="str">
        <f>CONCATENATE(A166,",",D166,",",E166,",",F166,",",G166,",",H166,",",I166,",",J166,",",K166)</f>
        <v>401592,-320,-778,4403,324,1316,3170,4743,4495</v>
      </c>
    </row>
    <row r="167" spans="1:27">
      <c r="A167" s="1">
        <f>IF(ISBLANK(T167),"",VALUE(Y167))</f>
        <v>401229</v>
      </c>
      <c r="B167" s="1">
        <f>A167*4/10 -18</f>
        <v>160473.60000000001</v>
      </c>
      <c r="C167" s="3">
        <f>B167/7000000</f>
        <v>2.2924800000000002E-2</v>
      </c>
      <c r="D167" s="6">
        <f>VALUE(MID(W167,$X167+2,L167-(X167+2)))</f>
        <v>-320</v>
      </c>
      <c r="E167" s="6">
        <f>VALUE(MID($W167,L167+1,M167-(L167+1)))</f>
        <v>-778</v>
      </c>
      <c r="F167" s="6">
        <f>VALUE(MID($W167,M167+1,N167-(M167+1)))</f>
        <v>4403</v>
      </c>
      <c r="G167" s="6">
        <f>VALUE(MID($W167,N167+1,O167-(N167+1)))</f>
        <v>324</v>
      </c>
      <c r="H167" s="6">
        <f>VALUE(MID($W167,O167+1,P167-(O167+1)))</f>
        <v>1316</v>
      </c>
      <c r="I167" s="6">
        <f>VALUE(MID($W167,P167+1,Q167-(P167+1)))</f>
        <v>3170</v>
      </c>
      <c r="J167" s="6">
        <f>VALUE(MID($W167,Q167+1,R167-(Q167+1)))</f>
        <v>4743</v>
      </c>
      <c r="K167" s="4">
        <f>VALUE(MID(W167,R167+1,LEN(W167)-(R167)))</f>
        <v>4495</v>
      </c>
      <c r="L167" s="4">
        <f>SEARCH(",",W167,X167)</f>
        <v>15</v>
      </c>
      <c r="M167" s="4">
        <f>SEARCH(",",$W167,L167+1)</f>
        <v>21</v>
      </c>
      <c r="N167" s="4">
        <f>SEARCH(",",$W167,M167+1)</f>
        <v>27</v>
      </c>
      <c r="O167" s="4">
        <f>SEARCH(",",$W167,N167+1)</f>
        <v>32</v>
      </c>
      <c r="P167" s="4">
        <f>SEARCH(",",$W167,O167+1)</f>
        <v>38</v>
      </c>
      <c r="Q167" s="4">
        <f>SEARCH(",",$W167,P167+1)</f>
        <v>44</v>
      </c>
      <c r="R167" s="4">
        <f>SEARCH(",",$W167,Q167+1)</f>
        <v>50</v>
      </c>
      <c r="T167" t="s">
        <v>544</v>
      </c>
      <c r="U167">
        <f>SEARCH(":",T167)</f>
        <v>6</v>
      </c>
      <c r="V167" t="str">
        <f>MID(T167,U167+1,LEN(T167)-(U167))</f>
        <v xml:space="preserve"> 401229 ** -320, -778, 4403, 324, 1316, 3170, 4743, 4495</v>
      </c>
      <c r="W167" t="str">
        <f>TRIM(V167)</f>
        <v>401229 ** -320, -778, 4403, 324, 1316, 3170, 4743, 4495</v>
      </c>
      <c r="X167">
        <f>SEARCH("~*",W167)</f>
        <v>8</v>
      </c>
      <c r="Y167" t="str">
        <f>LEFT(W167,X167-1)</f>
        <v xml:space="preserve">401229 </v>
      </c>
      <c r="AA167" t="str">
        <f>CONCATENATE(A167,",",D167,",",E167,",",F167,",",G167,",",H167,",",I167,",",J167,",",K167)</f>
        <v>401229,-320,-778,4403,324,1316,3170,4743,4495</v>
      </c>
    </row>
    <row r="168" spans="1:27">
      <c r="A168" s="1">
        <f>IF(ISBLANK(T168),"",VALUE(Y168))</f>
        <v>399764</v>
      </c>
      <c r="B168" s="1">
        <f>A168*4/10 -18</f>
        <v>159887.6</v>
      </c>
      <c r="C168" s="3">
        <f>B168/7000000</f>
        <v>2.2841085714285714E-2</v>
      </c>
      <c r="D168" s="6">
        <f>VALUE(MID(W168,$X168+2,L168-(X168+2)))</f>
        <v>-320</v>
      </c>
      <c r="E168" s="6">
        <f>VALUE(MID($W168,L168+1,M168-(L168+1)))</f>
        <v>-778</v>
      </c>
      <c r="F168" s="6">
        <f>VALUE(MID($W168,M168+1,N168-(M168+1)))</f>
        <v>4403</v>
      </c>
      <c r="G168" s="6">
        <f>VALUE(MID($W168,N168+1,O168-(N168+1)))</f>
        <v>324</v>
      </c>
      <c r="H168" s="6">
        <f>VALUE(MID($W168,O168+1,P168-(O168+1)))</f>
        <v>1316</v>
      </c>
      <c r="I168" s="6">
        <f>VALUE(MID($W168,P168+1,Q168-(P168+1)))</f>
        <v>3170</v>
      </c>
      <c r="J168" s="6">
        <f>VALUE(MID($W168,Q168+1,R168-(Q168+1)))</f>
        <v>4743</v>
      </c>
      <c r="K168" s="4">
        <f>VALUE(MID(W168,R168+1,LEN(W168)-(R168)))</f>
        <v>4495</v>
      </c>
      <c r="L168" s="4">
        <f>SEARCH(",",W168,X168)</f>
        <v>15</v>
      </c>
      <c r="M168" s="4">
        <f>SEARCH(",",$W168,L168+1)</f>
        <v>21</v>
      </c>
      <c r="N168" s="4">
        <f>SEARCH(",",$W168,M168+1)</f>
        <v>27</v>
      </c>
      <c r="O168" s="4">
        <f>SEARCH(",",$W168,N168+1)</f>
        <v>32</v>
      </c>
      <c r="P168" s="4">
        <f>SEARCH(",",$W168,O168+1)</f>
        <v>38</v>
      </c>
      <c r="Q168" s="4">
        <f>SEARCH(",",$W168,P168+1)</f>
        <v>44</v>
      </c>
      <c r="R168" s="4">
        <f>SEARCH(",",$W168,Q168+1)</f>
        <v>50</v>
      </c>
      <c r="T168" t="s">
        <v>332</v>
      </c>
      <c r="U168">
        <f>SEARCH(":",T168)</f>
        <v>6</v>
      </c>
      <c r="V168" t="str">
        <f>MID(T168,U168+1,LEN(T168)-(U168))</f>
        <v xml:space="preserve"> 399764 ** -320, -778, 4403, 324, 1316, 3170, 4743, 4495</v>
      </c>
      <c r="W168" t="str">
        <f>TRIM(V168)</f>
        <v>399764 ** -320, -778, 4403, 324, 1316, 3170, 4743, 4495</v>
      </c>
      <c r="X168">
        <f>SEARCH("~*",W168)</f>
        <v>8</v>
      </c>
      <c r="Y168" t="str">
        <f>LEFT(W168,X168-1)</f>
        <v xml:space="preserve">399764 </v>
      </c>
      <c r="AA168" t="str">
        <f>CONCATENATE(A168,",",D168,",",E168,",",F168,",",G168,",",H168,",",I168,",",J168,",",K168)</f>
        <v>399764,-320,-778,4403,324,1316,3170,4743,4495</v>
      </c>
    </row>
    <row r="169" spans="1:27">
      <c r="A169" s="1">
        <f>IF(ISBLANK(T169),"",VALUE(Y169))</f>
        <v>398634</v>
      </c>
      <c r="B169" s="1">
        <f>A169*4/10 -18</f>
        <v>159435.6</v>
      </c>
      <c r="C169" s="3">
        <f>B169/7000000</f>
        <v>2.2776514285714287E-2</v>
      </c>
      <c r="D169" s="6">
        <f>VALUE(MID(W169,$X169+2,L169-(X169+2)))</f>
        <v>-320</v>
      </c>
      <c r="E169" s="6">
        <f>VALUE(MID($W169,L169+1,M169-(L169+1)))</f>
        <v>-778</v>
      </c>
      <c r="F169" s="6">
        <f>VALUE(MID($W169,M169+1,N169-(M169+1)))</f>
        <v>4403</v>
      </c>
      <c r="G169" s="6">
        <f>VALUE(MID($W169,N169+1,O169-(N169+1)))</f>
        <v>324</v>
      </c>
      <c r="H169" s="6">
        <f>VALUE(MID($W169,O169+1,P169-(O169+1)))</f>
        <v>1316</v>
      </c>
      <c r="I169" s="6">
        <f>VALUE(MID($W169,P169+1,Q169-(P169+1)))</f>
        <v>3170</v>
      </c>
      <c r="J169" s="6">
        <f>VALUE(MID($W169,Q169+1,R169-(Q169+1)))</f>
        <v>4743</v>
      </c>
      <c r="K169" s="4">
        <f>VALUE(MID(W169,R169+1,LEN(W169)-(R169)))</f>
        <v>4495</v>
      </c>
      <c r="L169" s="4">
        <f>SEARCH(",",W169,X169)</f>
        <v>15</v>
      </c>
      <c r="M169" s="4">
        <f>SEARCH(",",$W169,L169+1)</f>
        <v>21</v>
      </c>
      <c r="N169" s="4">
        <f>SEARCH(",",$W169,M169+1)</f>
        <v>27</v>
      </c>
      <c r="O169" s="4">
        <f>SEARCH(",",$W169,N169+1)</f>
        <v>32</v>
      </c>
      <c r="P169" s="4">
        <f>SEARCH(",",$W169,O169+1)</f>
        <v>38</v>
      </c>
      <c r="Q169" s="4">
        <f>SEARCH(",",$W169,P169+1)</f>
        <v>44</v>
      </c>
      <c r="R169" s="4">
        <f>SEARCH(",",$W169,Q169+1)</f>
        <v>50</v>
      </c>
      <c r="T169" t="s">
        <v>314</v>
      </c>
      <c r="U169">
        <f>SEARCH(":",T169)</f>
        <v>6</v>
      </c>
      <c r="V169" t="str">
        <f>MID(T169,U169+1,LEN(T169)-(U169))</f>
        <v xml:space="preserve"> 398634 ** -320, -778, 4403, 324, 1316, 3170, 4743, 4495</v>
      </c>
      <c r="W169" t="str">
        <f>TRIM(V169)</f>
        <v>398634 ** -320, -778, 4403, 324, 1316, 3170, 4743, 4495</v>
      </c>
      <c r="X169">
        <f>SEARCH("~*",W169)</f>
        <v>8</v>
      </c>
      <c r="Y169" t="str">
        <f>LEFT(W169,X169-1)</f>
        <v xml:space="preserve">398634 </v>
      </c>
      <c r="AA169" t="str">
        <f>CONCATENATE(A169,",",D169,",",E169,",",F169,",",G169,",",H169,",",I169,",",J169,",",K169)</f>
        <v>398634,-320,-778,4403,324,1316,3170,4743,4495</v>
      </c>
    </row>
    <row r="170" spans="1:27">
      <c r="A170" s="1">
        <f>IF(ISBLANK(T170),"",VALUE(Y170))</f>
        <v>397678</v>
      </c>
      <c r="B170" s="1">
        <f>A170*4/10 -18</f>
        <v>159053.20000000001</v>
      </c>
      <c r="C170" s="3">
        <f>B170/7000000</f>
        <v>2.2721885714285715E-2</v>
      </c>
      <c r="D170" s="6">
        <f>VALUE(MID(W170,$X170+2,L170-(X170+2)))</f>
        <v>-320</v>
      </c>
      <c r="E170" s="6">
        <f>VALUE(MID($W170,L170+1,M170-(L170+1)))</f>
        <v>-778</v>
      </c>
      <c r="F170" s="6">
        <f>VALUE(MID($W170,M170+1,N170-(M170+1)))</f>
        <v>4403</v>
      </c>
      <c r="G170" s="6">
        <f>VALUE(MID($W170,N170+1,O170-(N170+1)))</f>
        <v>324</v>
      </c>
      <c r="H170" s="6">
        <f>VALUE(MID($W170,O170+1,P170-(O170+1)))</f>
        <v>1316</v>
      </c>
      <c r="I170" s="6">
        <f>VALUE(MID($W170,P170+1,Q170-(P170+1)))</f>
        <v>3170</v>
      </c>
      <c r="J170" s="6">
        <f>VALUE(MID($W170,Q170+1,R170-(Q170+1)))</f>
        <v>4743</v>
      </c>
      <c r="K170" s="4">
        <f>VALUE(MID(W170,R170+1,LEN(W170)-(R170)))</f>
        <v>4495</v>
      </c>
      <c r="L170" s="4">
        <f>SEARCH(",",W170,X170)</f>
        <v>15</v>
      </c>
      <c r="M170" s="4">
        <f>SEARCH(",",$W170,L170+1)</f>
        <v>21</v>
      </c>
      <c r="N170" s="4">
        <f>SEARCH(",",$W170,M170+1)</f>
        <v>27</v>
      </c>
      <c r="O170" s="4">
        <f>SEARCH(",",$W170,N170+1)</f>
        <v>32</v>
      </c>
      <c r="P170" s="4">
        <f>SEARCH(",",$W170,O170+1)</f>
        <v>38</v>
      </c>
      <c r="Q170" s="4">
        <f>SEARCH(",",$W170,P170+1)</f>
        <v>44</v>
      </c>
      <c r="R170" s="4">
        <f>SEARCH(",",$W170,Q170+1)</f>
        <v>50</v>
      </c>
      <c r="T170" t="s">
        <v>382</v>
      </c>
      <c r="U170">
        <f>SEARCH(":",T170)</f>
        <v>6</v>
      </c>
      <c r="V170" t="str">
        <f>MID(T170,U170+1,LEN(T170)-(U170))</f>
        <v xml:space="preserve"> 397678 ** -320, -778, 4403, 324, 1316, 3170, 4743, 4495</v>
      </c>
      <c r="W170" t="str">
        <f>TRIM(V170)</f>
        <v>397678 ** -320, -778, 4403, 324, 1316, 3170, 4743, 4495</v>
      </c>
      <c r="X170">
        <f>SEARCH("~*",W170)</f>
        <v>8</v>
      </c>
      <c r="Y170" t="str">
        <f>LEFT(W170,X170-1)</f>
        <v xml:space="preserve">397678 </v>
      </c>
      <c r="AA170" t="str">
        <f>CONCATENATE(A170,",",D170,",",E170,",",F170,",",G170,",",H170,",",I170,",",J170,",",K170)</f>
        <v>397678,-320,-778,4403,324,1316,3170,4743,4495</v>
      </c>
    </row>
    <row r="171" spans="1:27">
      <c r="A171" s="1">
        <f>IF(ISBLANK(T171),"",VALUE(Y171))</f>
        <v>392865</v>
      </c>
      <c r="B171" s="1">
        <f>A171*4/10 -18</f>
        <v>157128</v>
      </c>
      <c r="C171" s="3">
        <f>B171/7000000</f>
        <v>2.2446857142857143E-2</v>
      </c>
      <c r="D171" s="6">
        <f>VALUE(MID(W171,$X171+2,L171-(X171+2)))</f>
        <v>-320</v>
      </c>
      <c r="E171" s="6">
        <f>VALUE(MID($W171,L171+1,M171-(L171+1)))</f>
        <v>-778</v>
      </c>
      <c r="F171" s="6">
        <f>VALUE(MID($W171,M171+1,N171-(M171+1)))</f>
        <v>4403</v>
      </c>
      <c r="G171" s="6">
        <f>VALUE(MID($W171,N171+1,O171-(N171+1)))</f>
        <v>324</v>
      </c>
      <c r="H171" s="6">
        <f>VALUE(MID($W171,O171+1,P171-(O171+1)))</f>
        <v>1316</v>
      </c>
      <c r="I171" s="6">
        <f>VALUE(MID($W171,P171+1,Q171-(P171+1)))</f>
        <v>3170</v>
      </c>
      <c r="J171" s="6">
        <f>VALUE(MID($W171,Q171+1,R171-(Q171+1)))</f>
        <v>4743</v>
      </c>
      <c r="K171" s="4">
        <f>VALUE(MID(W171,R171+1,LEN(W171)-(R171)))</f>
        <v>4495</v>
      </c>
      <c r="L171" s="4">
        <f>SEARCH(",",W171,X171)</f>
        <v>15</v>
      </c>
      <c r="M171" s="4">
        <f>SEARCH(",",$W171,L171+1)</f>
        <v>21</v>
      </c>
      <c r="N171" s="4">
        <f>SEARCH(",",$W171,M171+1)</f>
        <v>27</v>
      </c>
      <c r="O171" s="4">
        <f>SEARCH(",",$W171,N171+1)</f>
        <v>32</v>
      </c>
      <c r="P171" s="4">
        <f>SEARCH(",",$W171,O171+1)</f>
        <v>38</v>
      </c>
      <c r="Q171" s="4">
        <f>SEARCH(",",$W171,P171+1)</f>
        <v>44</v>
      </c>
      <c r="R171" s="4">
        <f>SEARCH(",",$W171,Q171+1)</f>
        <v>50</v>
      </c>
      <c r="T171" t="s">
        <v>426</v>
      </c>
      <c r="U171">
        <f>SEARCH(":",T171)</f>
        <v>6</v>
      </c>
      <c r="V171" t="str">
        <f>MID(T171,U171+1,LEN(T171)-(U171))</f>
        <v xml:space="preserve"> 392865 ** -320, -778, 4403, 324, 1316, 3170, 4743, 4495</v>
      </c>
      <c r="W171" t="str">
        <f>TRIM(V171)</f>
        <v>392865 ** -320, -778, 4403, 324, 1316, 3170, 4743, 4495</v>
      </c>
      <c r="X171">
        <f>SEARCH("~*",W171)</f>
        <v>8</v>
      </c>
      <c r="Y171" t="str">
        <f>LEFT(W171,X171-1)</f>
        <v xml:space="preserve">392865 </v>
      </c>
      <c r="AA171" t="str">
        <f>CONCATENATE(A171,",",D171,",",E171,",",F171,",",G171,",",H171,",",I171,",",J171,",",K171)</f>
        <v>392865,-320,-778,4403,324,1316,3170,4743,4495</v>
      </c>
    </row>
    <row r="172" spans="1:27">
      <c r="A172" s="1">
        <f>IF(ISBLANK(T172),"",VALUE(Y172))</f>
        <v>392517</v>
      </c>
      <c r="B172" s="1">
        <f>A172*4/10 -18</f>
        <v>156988.79999999999</v>
      </c>
      <c r="C172" s="3">
        <f>B172/7000000</f>
        <v>2.2426971428571425E-2</v>
      </c>
      <c r="D172" s="6">
        <f>VALUE(MID(W172,$X172+2,L172-(X172+2)))</f>
        <v>-320</v>
      </c>
      <c r="E172" s="6">
        <f>VALUE(MID($W172,L172+1,M172-(L172+1)))</f>
        <v>-778</v>
      </c>
      <c r="F172" s="6">
        <f>VALUE(MID($W172,M172+1,N172-(M172+1)))</f>
        <v>4403</v>
      </c>
      <c r="G172" s="6">
        <f>VALUE(MID($W172,N172+1,O172-(N172+1)))</f>
        <v>324</v>
      </c>
      <c r="H172" s="6">
        <f>VALUE(MID($W172,O172+1,P172-(O172+1)))</f>
        <v>1316</v>
      </c>
      <c r="I172" s="6">
        <f>VALUE(MID($W172,P172+1,Q172-(P172+1)))</f>
        <v>3170</v>
      </c>
      <c r="J172" s="6">
        <f>VALUE(MID($W172,Q172+1,R172-(Q172+1)))</f>
        <v>4743</v>
      </c>
      <c r="K172" s="4">
        <f>VALUE(MID(W172,R172+1,LEN(W172)-(R172)))</f>
        <v>4495</v>
      </c>
      <c r="L172" s="4">
        <f>SEARCH(",",W172,X172)</f>
        <v>15</v>
      </c>
      <c r="M172" s="4">
        <f>SEARCH(",",$W172,L172+1)</f>
        <v>21</v>
      </c>
      <c r="N172" s="4">
        <f>SEARCH(",",$W172,M172+1)</f>
        <v>27</v>
      </c>
      <c r="O172" s="4">
        <f>SEARCH(",",$W172,N172+1)</f>
        <v>32</v>
      </c>
      <c r="P172" s="4">
        <f>SEARCH(",",$W172,O172+1)</f>
        <v>38</v>
      </c>
      <c r="Q172" s="4">
        <f>SEARCH(",",$W172,P172+1)</f>
        <v>44</v>
      </c>
      <c r="R172" s="4">
        <f>SEARCH(",",$W172,Q172+1)</f>
        <v>50</v>
      </c>
      <c r="T172" t="s">
        <v>306</v>
      </c>
      <c r="U172">
        <f>SEARCH(":",T172)</f>
        <v>6</v>
      </c>
      <c r="V172" t="str">
        <f>MID(T172,U172+1,LEN(T172)-(U172))</f>
        <v xml:space="preserve"> 392517 ** -320, -778, 4403, 324, 1316, 3170, 4743, 4495</v>
      </c>
      <c r="W172" t="str">
        <f>TRIM(V172)</f>
        <v>392517 ** -320, -778, 4403, 324, 1316, 3170, 4743, 4495</v>
      </c>
      <c r="X172">
        <f>SEARCH("~*",W172)</f>
        <v>8</v>
      </c>
      <c r="Y172" t="str">
        <f>LEFT(W172,X172-1)</f>
        <v xml:space="preserve">392517 </v>
      </c>
      <c r="AA172" t="str">
        <f>CONCATENATE(A172,",",D172,",",E172,",",F172,",",G172,",",H172,",",I172,",",J172,",",K172)</f>
        <v>392517,-320,-778,4403,324,1316,3170,4743,4495</v>
      </c>
    </row>
    <row r="173" spans="1:27">
      <c r="A173" s="1">
        <f>IF(ISBLANK(T173),"",VALUE(Y173))</f>
        <v>387076</v>
      </c>
      <c r="B173" s="1">
        <f>A173*4/10 -18</f>
        <v>154812.4</v>
      </c>
      <c r="C173" s="3">
        <f>B173/7000000</f>
        <v>2.2116057142857141E-2</v>
      </c>
      <c r="D173" s="6">
        <f>VALUE(MID(W173,$X173+2,L173-(X173+2)))</f>
        <v>-320</v>
      </c>
      <c r="E173" s="6">
        <f>VALUE(MID($W173,L173+1,M173-(L173+1)))</f>
        <v>-778</v>
      </c>
      <c r="F173" s="6">
        <f>VALUE(MID($W173,M173+1,N173-(M173+1)))</f>
        <v>4403</v>
      </c>
      <c r="G173" s="6">
        <f>VALUE(MID($W173,N173+1,O173-(N173+1)))</f>
        <v>324</v>
      </c>
      <c r="H173" s="6">
        <f>VALUE(MID($W173,O173+1,P173-(O173+1)))</f>
        <v>1316</v>
      </c>
      <c r="I173" s="6">
        <f>VALUE(MID($W173,P173+1,Q173-(P173+1)))</f>
        <v>3170</v>
      </c>
      <c r="J173" s="6">
        <f>VALUE(MID($W173,Q173+1,R173-(Q173+1)))</f>
        <v>4743</v>
      </c>
      <c r="K173" s="4">
        <f>VALUE(MID(W173,R173+1,LEN(W173)-(R173)))</f>
        <v>4495</v>
      </c>
      <c r="L173" s="4">
        <f>SEARCH(",",W173,X173)</f>
        <v>15</v>
      </c>
      <c r="M173" s="4">
        <f>SEARCH(",",$W173,L173+1)</f>
        <v>21</v>
      </c>
      <c r="N173" s="4">
        <f>SEARCH(",",$W173,M173+1)</f>
        <v>27</v>
      </c>
      <c r="O173" s="4">
        <f>SEARCH(",",$W173,N173+1)</f>
        <v>32</v>
      </c>
      <c r="P173" s="4">
        <f>SEARCH(",",$W173,O173+1)</f>
        <v>38</v>
      </c>
      <c r="Q173" s="4">
        <f>SEARCH(",",$W173,P173+1)</f>
        <v>44</v>
      </c>
      <c r="R173" s="4">
        <f>SEARCH(",",$W173,Q173+1)</f>
        <v>50</v>
      </c>
      <c r="T173" t="s">
        <v>565</v>
      </c>
      <c r="U173">
        <f>SEARCH(":",T173)</f>
        <v>6</v>
      </c>
      <c r="V173" t="str">
        <f>MID(T173,U173+1,LEN(T173)-(U173))</f>
        <v xml:space="preserve"> 387076 ** -320, -778, 4403, 324, 1316, 3170, 4743, 4495</v>
      </c>
      <c r="W173" t="str">
        <f>TRIM(V173)</f>
        <v>387076 ** -320, -778, 4403, 324, 1316, 3170, 4743, 4495</v>
      </c>
      <c r="X173">
        <f>SEARCH("~*",W173)</f>
        <v>8</v>
      </c>
      <c r="Y173" t="str">
        <f>LEFT(W173,X173-1)</f>
        <v xml:space="preserve">387076 </v>
      </c>
      <c r="AA173" t="str">
        <f>CONCATENATE(A173,",",D173,",",E173,",",F173,",",G173,",",H173,",",I173,",",J173,",",K173)</f>
        <v>387076,-320,-778,4403,324,1316,3170,4743,4495</v>
      </c>
    </row>
    <row r="174" spans="1:27">
      <c r="A174" s="1">
        <f>IF(ISBLANK(T174),"",VALUE(Y174))</f>
        <v>381830</v>
      </c>
      <c r="B174" s="1">
        <f>A174*4/10 -18</f>
        <v>152714</v>
      </c>
      <c r="C174" s="3">
        <f>B174/7000000</f>
        <v>2.1816285714285715E-2</v>
      </c>
      <c r="D174" s="6">
        <f>VALUE(MID(W174,$X174+2,L174-(X174+2)))</f>
        <v>-320</v>
      </c>
      <c r="E174" s="6">
        <f>VALUE(MID($W174,L174+1,M174-(L174+1)))</f>
        <v>-778</v>
      </c>
      <c r="F174" s="6">
        <f>VALUE(MID($W174,M174+1,N174-(M174+1)))</f>
        <v>4403</v>
      </c>
      <c r="G174" s="6">
        <f>VALUE(MID($W174,N174+1,O174-(N174+1)))</f>
        <v>324</v>
      </c>
      <c r="H174" s="6">
        <f>VALUE(MID($W174,O174+1,P174-(O174+1)))</f>
        <v>1316</v>
      </c>
      <c r="I174" s="6">
        <f>VALUE(MID($W174,P174+1,Q174-(P174+1)))</f>
        <v>3170</v>
      </c>
      <c r="J174" s="6">
        <f>VALUE(MID($W174,Q174+1,R174-(Q174+1)))</f>
        <v>4743</v>
      </c>
      <c r="K174" s="4">
        <f>VALUE(MID(W174,R174+1,LEN(W174)-(R174)))</f>
        <v>4495</v>
      </c>
      <c r="L174" s="4">
        <f>SEARCH(",",W174,X174)</f>
        <v>15</v>
      </c>
      <c r="M174" s="4">
        <f>SEARCH(",",$W174,L174+1)</f>
        <v>21</v>
      </c>
      <c r="N174" s="4">
        <f>SEARCH(",",$W174,M174+1)</f>
        <v>27</v>
      </c>
      <c r="O174" s="4">
        <f>SEARCH(",",$W174,N174+1)</f>
        <v>32</v>
      </c>
      <c r="P174" s="4">
        <f>SEARCH(",",$W174,O174+1)</f>
        <v>38</v>
      </c>
      <c r="Q174" s="4">
        <f>SEARCH(",",$W174,P174+1)</f>
        <v>44</v>
      </c>
      <c r="R174" s="4">
        <f>SEARCH(",",$W174,Q174+1)</f>
        <v>50</v>
      </c>
      <c r="T174" t="s">
        <v>335</v>
      </c>
      <c r="U174">
        <f>SEARCH(":",T174)</f>
        <v>6</v>
      </c>
      <c r="V174" t="str">
        <f>MID(T174,U174+1,LEN(T174)-(U174))</f>
        <v xml:space="preserve"> 381830 ** -320, -778, 4403, 324, 1316, 3170, 4743, 4495</v>
      </c>
      <c r="W174" t="str">
        <f>TRIM(V174)</f>
        <v>381830 ** -320, -778, 4403, 324, 1316, 3170, 4743, 4495</v>
      </c>
      <c r="X174">
        <f>SEARCH("~*",W174)</f>
        <v>8</v>
      </c>
      <c r="Y174" t="str">
        <f>LEFT(W174,X174-1)</f>
        <v xml:space="preserve">381830 </v>
      </c>
      <c r="AA174" t="str">
        <f>CONCATENATE(A174,",",D174,",",E174,",",F174,",",G174,",",H174,",",I174,",",J174,",",K174)</f>
        <v>381830,-320,-778,4403,324,1316,3170,4743,4495</v>
      </c>
    </row>
    <row r="175" spans="1:27">
      <c r="A175" s="1">
        <f>IF(ISBLANK(T175),"",VALUE(Y175))</f>
        <v>374639</v>
      </c>
      <c r="B175" s="1">
        <f>A175*4/10 -18</f>
        <v>149837.6</v>
      </c>
      <c r="C175" s="3">
        <f>B175/7000000</f>
        <v>2.1405371428571428E-2</v>
      </c>
      <c r="D175" s="6">
        <f>VALUE(MID(W175,$X175+2,L175-(X175+2)))</f>
        <v>-320</v>
      </c>
      <c r="E175" s="6">
        <f>VALUE(MID($W175,L175+1,M175-(L175+1)))</f>
        <v>-778</v>
      </c>
      <c r="F175" s="6">
        <f>VALUE(MID($W175,M175+1,N175-(M175+1)))</f>
        <v>4403</v>
      </c>
      <c r="G175" s="6">
        <f>VALUE(MID($W175,N175+1,O175-(N175+1)))</f>
        <v>324</v>
      </c>
      <c r="H175" s="6">
        <f>VALUE(MID($W175,O175+1,P175-(O175+1)))</f>
        <v>1316</v>
      </c>
      <c r="I175" s="6">
        <f>VALUE(MID($W175,P175+1,Q175-(P175+1)))</f>
        <v>3170</v>
      </c>
      <c r="J175" s="6">
        <f>VALUE(MID($W175,Q175+1,R175-(Q175+1)))</f>
        <v>4743</v>
      </c>
      <c r="K175" s="4">
        <f>VALUE(MID(W175,R175+1,LEN(W175)-(R175)))</f>
        <v>4495</v>
      </c>
      <c r="L175" s="4">
        <f>SEARCH(",",W175,X175)</f>
        <v>15</v>
      </c>
      <c r="M175" s="4">
        <f>SEARCH(",",$W175,L175+1)</f>
        <v>21</v>
      </c>
      <c r="N175" s="4">
        <f>SEARCH(",",$W175,M175+1)</f>
        <v>27</v>
      </c>
      <c r="O175" s="4">
        <f>SEARCH(",",$W175,N175+1)</f>
        <v>32</v>
      </c>
      <c r="P175" s="4">
        <f>SEARCH(",",$W175,O175+1)</f>
        <v>38</v>
      </c>
      <c r="Q175" s="4">
        <f>SEARCH(",",$W175,P175+1)</f>
        <v>44</v>
      </c>
      <c r="R175" s="4">
        <f>SEARCH(",",$W175,Q175+1)</f>
        <v>50</v>
      </c>
      <c r="T175" t="s">
        <v>409</v>
      </c>
      <c r="U175">
        <f>SEARCH(":",T175)</f>
        <v>6</v>
      </c>
      <c r="V175" t="str">
        <f>MID(T175,U175+1,LEN(T175)-(U175))</f>
        <v xml:space="preserve"> 374639 ** -320, -778, 4403, 324, 1316, 3170, 4743, 4495</v>
      </c>
      <c r="W175" t="str">
        <f>TRIM(V175)</f>
        <v>374639 ** -320, -778, 4403, 324, 1316, 3170, 4743, 4495</v>
      </c>
      <c r="X175">
        <f>SEARCH("~*",W175)</f>
        <v>8</v>
      </c>
      <c r="Y175" t="str">
        <f>LEFT(W175,X175-1)</f>
        <v xml:space="preserve">374639 </v>
      </c>
      <c r="AA175" t="str">
        <f>CONCATENATE(A175,",",D175,",",E175,",",F175,",",G175,",",H175,",",I175,",",J175,",",K175)</f>
        <v>374639,-320,-778,4403,324,1316,3170,4743,4495</v>
      </c>
    </row>
    <row r="176" spans="1:27">
      <c r="A176" s="1">
        <f>IF(ISBLANK(T176),"",VALUE(Y176))</f>
        <v>372873</v>
      </c>
      <c r="B176" s="1">
        <f>A176*4/10 -18</f>
        <v>149131.20000000001</v>
      </c>
      <c r="C176" s="3">
        <f>B176/7000000</f>
        <v>2.1304457142857145E-2</v>
      </c>
      <c r="D176" s="6">
        <f>VALUE(MID(W176,$X176+2,L176-(X176+2)))</f>
        <v>-320</v>
      </c>
      <c r="E176" s="6">
        <f>VALUE(MID($W176,L176+1,M176-(L176+1)))</f>
        <v>-778</v>
      </c>
      <c r="F176" s="6">
        <f>VALUE(MID($W176,M176+1,N176-(M176+1)))</f>
        <v>4403</v>
      </c>
      <c r="G176" s="6">
        <f>VALUE(MID($W176,N176+1,O176-(N176+1)))</f>
        <v>324</v>
      </c>
      <c r="H176" s="6">
        <f>VALUE(MID($W176,O176+1,P176-(O176+1)))</f>
        <v>1316</v>
      </c>
      <c r="I176" s="6">
        <f>VALUE(MID($W176,P176+1,Q176-(P176+1)))</f>
        <v>3170</v>
      </c>
      <c r="J176" s="6">
        <f>VALUE(MID($W176,Q176+1,R176-(Q176+1)))</f>
        <v>4743</v>
      </c>
      <c r="K176" s="4">
        <f>VALUE(MID(W176,R176+1,LEN(W176)-(R176)))</f>
        <v>4495</v>
      </c>
      <c r="L176" s="4">
        <f>SEARCH(",",W176,X176)</f>
        <v>15</v>
      </c>
      <c r="M176" s="4">
        <f>SEARCH(",",$W176,L176+1)</f>
        <v>21</v>
      </c>
      <c r="N176" s="4">
        <f>SEARCH(",",$W176,M176+1)</f>
        <v>27</v>
      </c>
      <c r="O176" s="4">
        <f>SEARCH(",",$W176,N176+1)</f>
        <v>32</v>
      </c>
      <c r="P176" s="4">
        <f>SEARCH(",",$W176,O176+1)</f>
        <v>38</v>
      </c>
      <c r="Q176" s="4">
        <f>SEARCH(",",$W176,P176+1)</f>
        <v>44</v>
      </c>
      <c r="R176" s="4">
        <f>SEARCH(",",$W176,Q176+1)</f>
        <v>50</v>
      </c>
      <c r="T176" t="s">
        <v>533</v>
      </c>
      <c r="U176">
        <f>SEARCH(":",T176)</f>
        <v>6</v>
      </c>
      <c r="V176" t="str">
        <f>MID(T176,U176+1,LEN(T176)-(U176))</f>
        <v xml:space="preserve"> 372873 ** -320, -778, 4403, 324, 1316, 3170, 4743, 4495</v>
      </c>
      <c r="W176" t="str">
        <f>TRIM(V176)</f>
        <v>372873 ** -320, -778, 4403, 324, 1316, 3170, 4743, 4495</v>
      </c>
      <c r="X176">
        <f>SEARCH("~*",W176)</f>
        <v>8</v>
      </c>
      <c r="Y176" t="str">
        <f>LEFT(W176,X176-1)</f>
        <v xml:space="preserve">372873 </v>
      </c>
      <c r="AA176" t="str">
        <f>CONCATENATE(A176,",",D176,",",E176,",",F176,",",G176,",",H176,",",I176,",",J176,",",K176)</f>
        <v>372873,-320,-778,4403,324,1316,3170,4743,4495</v>
      </c>
    </row>
    <row r="177" spans="1:27">
      <c r="A177" s="1">
        <f>IF(ISBLANK(T177),"",VALUE(Y177))</f>
        <v>372318</v>
      </c>
      <c r="B177" s="1">
        <f>A177*4/10 -18</f>
        <v>148909.20000000001</v>
      </c>
      <c r="C177" s="3">
        <f>B177/7000000</f>
        <v>2.1272742857142857E-2</v>
      </c>
      <c r="D177" s="6">
        <f>VALUE(MID(W177,$X177+2,L177-(X177+2)))</f>
        <v>-320</v>
      </c>
      <c r="E177" s="6">
        <f>VALUE(MID($W177,L177+1,M177-(L177+1)))</f>
        <v>-778</v>
      </c>
      <c r="F177" s="6">
        <f>VALUE(MID($W177,M177+1,N177-(M177+1)))</f>
        <v>4403</v>
      </c>
      <c r="G177" s="6">
        <f>VALUE(MID($W177,N177+1,O177-(N177+1)))</f>
        <v>324</v>
      </c>
      <c r="H177" s="6">
        <f>VALUE(MID($W177,O177+1,P177-(O177+1)))</f>
        <v>1316</v>
      </c>
      <c r="I177" s="6">
        <f>VALUE(MID($W177,P177+1,Q177-(P177+1)))</f>
        <v>3170</v>
      </c>
      <c r="J177" s="6">
        <f>VALUE(MID($W177,Q177+1,R177-(Q177+1)))</f>
        <v>4743</v>
      </c>
      <c r="K177" s="4">
        <f>VALUE(MID(W177,R177+1,LEN(W177)-(R177)))</f>
        <v>4495</v>
      </c>
      <c r="L177" s="4">
        <f>SEARCH(",",W177,X177)</f>
        <v>15</v>
      </c>
      <c r="M177" s="4">
        <f>SEARCH(",",$W177,L177+1)</f>
        <v>21</v>
      </c>
      <c r="N177" s="4">
        <f>SEARCH(",",$W177,M177+1)</f>
        <v>27</v>
      </c>
      <c r="O177" s="4">
        <f>SEARCH(",",$W177,N177+1)</f>
        <v>32</v>
      </c>
      <c r="P177" s="4">
        <f>SEARCH(",",$W177,O177+1)</f>
        <v>38</v>
      </c>
      <c r="Q177" s="4">
        <f>SEARCH(",",$W177,P177+1)</f>
        <v>44</v>
      </c>
      <c r="R177" s="4">
        <f>SEARCH(",",$W177,Q177+1)</f>
        <v>50</v>
      </c>
      <c r="T177" t="s">
        <v>437</v>
      </c>
      <c r="U177">
        <f>SEARCH(":",T177)</f>
        <v>6</v>
      </c>
      <c r="V177" t="str">
        <f>MID(T177,U177+1,LEN(T177)-(U177))</f>
        <v xml:space="preserve"> 372318 ** -320, -778, 4403, 324, 1316, 3170, 4743, 4495</v>
      </c>
      <c r="W177" t="str">
        <f>TRIM(V177)</f>
        <v>372318 ** -320, -778, 4403, 324, 1316, 3170, 4743, 4495</v>
      </c>
      <c r="X177">
        <f>SEARCH("~*",W177)</f>
        <v>8</v>
      </c>
      <c r="Y177" t="str">
        <f>LEFT(W177,X177-1)</f>
        <v xml:space="preserve">372318 </v>
      </c>
      <c r="AA177" t="str">
        <f>CONCATENATE(A177,",",D177,",",E177,",",F177,",",G177,",",H177,",",I177,",",J177,",",K177)</f>
        <v>372318,-320,-778,4403,324,1316,3170,4743,4495</v>
      </c>
    </row>
    <row r="178" spans="1:27">
      <c r="A178" s="1">
        <f>IF(ISBLANK(T178),"",VALUE(Y178))</f>
        <v>366979</v>
      </c>
      <c r="B178" s="1">
        <f>A178*4/10 -18</f>
        <v>146773.6</v>
      </c>
      <c r="C178" s="3">
        <f>B178/7000000</f>
        <v>2.0967657142857143E-2</v>
      </c>
      <c r="D178" s="6">
        <f>VALUE(MID(W178,$X178+2,L178-(X178+2)))</f>
        <v>-320</v>
      </c>
      <c r="E178" s="6">
        <f>VALUE(MID($W178,L178+1,M178-(L178+1)))</f>
        <v>-778</v>
      </c>
      <c r="F178" s="6">
        <f>VALUE(MID($W178,M178+1,N178-(M178+1)))</f>
        <v>4403</v>
      </c>
      <c r="G178" s="6">
        <f>VALUE(MID($W178,N178+1,O178-(N178+1)))</f>
        <v>324</v>
      </c>
      <c r="H178" s="6">
        <f>VALUE(MID($W178,O178+1,P178-(O178+1)))</f>
        <v>1316</v>
      </c>
      <c r="I178" s="6">
        <f>VALUE(MID($W178,P178+1,Q178-(P178+1)))</f>
        <v>3170</v>
      </c>
      <c r="J178" s="6">
        <f>VALUE(MID($W178,Q178+1,R178-(Q178+1)))</f>
        <v>4743</v>
      </c>
      <c r="K178" s="4">
        <f>VALUE(MID(W178,R178+1,LEN(W178)-(R178)))</f>
        <v>4495</v>
      </c>
      <c r="L178" s="4">
        <f>SEARCH(",",W178,X178)</f>
        <v>15</v>
      </c>
      <c r="M178" s="4">
        <f>SEARCH(",",$W178,L178+1)</f>
        <v>21</v>
      </c>
      <c r="N178" s="4">
        <f>SEARCH(",",$W178,M178+1)</f>
        <v>27</v>
      </c>
      <c r="O178" s="4">
        <f>SEARCH(",",$W178,N178+1)</f>
        <v>32</v>
      </c>
      <c r="P178" s="4">
        <f>SEARCH(",",$W178,O178+1)</f>
        <v>38</v>
      </c>
      <c r="Q178" s="4">
        <f>SEARCH(",",$W178,P178+1)</f>
        <v>44</v>
      </c>
      <c r="R178" s="4">
        <f>SEARCH(",",$W178,Q178+1)</f>
        <v>50</v>
      </c>
      <c r="T178" t="s">
        <v>520</v>
      </c>
      <c r="U178">
        <f>SEARCH(":",T178)</f>
        <v>6</v>
      </c>
      <c r="V178" t="str">
        <f>MID(T178,U178+1,LEN(T178)-(U178))</f>
        <v xml:space="preserve"> 366979 ** -320, -778, 4403, 324, 1316, 3170, 4743, 4495</v>
      </c>
      <c r="W178" t="str">
        <f>TRIM(V178)</f>
        <v>366979 ** -320, -778, 4403, 324, 1316, 3170, 4743, 4495</v>
      </c>
      <c r="X178">
        <f>SEARCH("~*",W178)</f>
        <v>8</v>
      </c>
      <c r="Y178" t="str">
        <f>LEFT(W178,X178-1)</f>
        <v xml:space="preserve">366979 </v>
      </c>
      <c r="AA178" t="str">
        <f>CONCATENATE(A178,",",D178,",",E178,",",F178,",",G178,",",H178,",",I178,",",J178,",",K178)</f>
        <v>366979,-320,-778,4403,324,1316,3170,4743,4495</v>
      </c>
    </row>
    <row r="179" spans="1:27">
      <c r="A179" s="1">
        <f>IF(ISBLANK(T179),"",VALUE(Y179))</f>
        <v>364359</v>
      </c>
      <c r="B179" s="1">
        <f>A179*4/10 -18</f>
        <v>145725.6</v>
      </c>
      <c r="C179" s="3">
        <f>B179/7000000</f>
        <v>2.0817942857142859E-2</v>
      </c>
      <c r="D179" s="6">
        <f>VALUE(MID(W179,$X179+2,L179-(X179+2)))</f>
        <v>-320</v>
      </c>
      <c r="E179" s="6">
        <f>VALUE(MID($W179,L179+1,M179-(L179+1)))</f>
        <v>-778</v>
      </c>
      <c r="F179" s="6">
        <f>VALUE(MID($W179,M179+1,N179-(M179+1)))</f>
        <v>4403</v>
      </c>
      <c r="G179" s="6">
        <f>VALUE(MID($W179,N179+1,O179-(N179+1)))</f>
        <v>324</v>
      </c>
      <c r="H179" s="6">
        <f>VALUE(MID($W179,O179+1,P179-(O179+1)))</f>
        <v>1316</v>
      </c>
      <c r="I179" s="6">
        <f>VALUE(MID($W179,P179+1,Q179-(P179+1)))</f>
        <v>3170</v>
      </c>
      <c r="J179" s="6">
        <f>VALUE(MID($W179,Q179+1,R179-(Q179+1)))</f>
        <v>4743</v>
      </c>
      <c r="K179" s="4">
        <f>VALUE(MID(W179,R179+1,LEN(W179)-(R179)))</f>
        <v>4495</v>
      </c>
      <c r="L179" s="4">
        <f>SEARCH(",",W179,X179)</f>
        <v>15</v>
      </c>
      <c r="M179" s="4">
        <f>SEARCH(",",$W179,L179+1)</f>
        <v>21</v>
      </c>
      <c r="N179" s="4">
        <f>SEARCH(",",$W179,M179+1)</f>
        <v>27</v>
      </c>
      <c r="O179" s="4">
        <f>SEARCH(",",$W179,N179+1)</f>
        <v>32</v>
      </c>
      <c r="P179" s="4">
        <f>SEARCH(",",$W179,O179+1)</f>
        <v>38</v>
      </c>
      <c r="Q179" s="4">
        <f>SEARCH(",",$W179,P179+1)</f>
        <v>44</v>
      </c>
      <c r="R179" s="4">
        <f>SEARCH(",",$W179,Q179+1)</f>
        <v>50</v>
      </c>
      <c r="T179" t="s">
        <v>471</v>
      </c>
      <c r="U179">
        <f>SEARCH(":",T179)</f>
        <v>6</v>
      </c>
      <c r="V179" t="str">
        <f>MID(T179,U179+1,LEN(T179)-(U179))</f>
        <v xml:space="preserve"> 364359 ** -320, -778, 4403, 324, 1316, 3170, 4743, 4495</v>
      </c>
      <c r="W179" t="str">
        <f>TRIM(V179)</f>
        <v>364359 ** -320, -778, 4403, 324, 1316, 3170, 4743, 4495</v>
      </c>
      <c r="X179">
        <f>SEARCH("~*",W179)</f>
        <v>8</v>
      </c>
      <c r="Y179" t="str">
        <f>LEFT(W179,X179-1)</f>
        <v xml:space="preserve">364359 </v>
      </c>
      <c r="AA179" t="str">
        <f>CONCATENATE(A179,",",D179,",",E179,",",F179,",",G179,",",H179,",",I179,",",J179,",",K179)</f>
        <v>364359,-320,-778,4403,324,1316,3170,4743,4495</v>
      </c>
    </row>
    <row r="180" spans="1:27">
      <c r="A180" s="1">
        <f>IF(ISBLANK(T180),"",VALUE(Y180))</f>
        <v>352440</v>
      </c>
      <c r="B180" s="1">
        <f>A180*4/10 -18</f>
        <v>140958</v>
      </c>
      <c r="C180" s="3">
        <f>B180/7000000</f>
        <v>2.0136857142857144E-2</v>
      </c>
      <c r="D180" s="6">
        <f>VALUE(MID(W180,$X180+2,L180-(X180+2)))</f>
        <v>-320</v>
      </c>
      <c r="E180" s="6">
        <f>VALUE(MID($W180,L180+1,M180-(L180+1)))</f>
        <v>-778</v>
      </c>
      <c r="F180" s="6">
        <f>VALUE(MID($W180,M180+1,N180-(M180+1)))</f>
        <v>4403</v>
      </c>
      <c r="G180" s="6">
        <f>VALUE(MID($W180,N180+1,O180-(N180+1)))</f>
        <v>324</v>
      </c>
      <c r="H180" s="6">
        <f>VALUE(MID($W180,O180+1,P180-(O180+1)))</f>
        <v>1316</v>
      </c>
      <c r="I180" s="6">
        <f>VALUE(MID($W180,P180+1,Q180-(P180+1)))</f>
        <v>3170</v>
      </c>
      <c r="J180" s="6">
        <f>VALUE(MID($W180,Q180+1,R180-(Q180+1)))</f>
        <v>4743</v>
      </c>
      <c r="K180" s="4">
        <f>VALUE(MID(W180,R180+1,LEN(W180)-(R180)))</f>
        <v>4495</v>
      </c>
      <c r="L180" s="4">
        <f>SEARCH(",",W180,X180)</f>
        <v>15</v>
      </c>
      <c r="M180" s="4">
        <f>SEARCH(",",$W180,L180+1)</f>
        <v>21</v>
      </c>
      <c r="N180" s="4">
        <f>SEARCH(",",$W180,M180+1)</f>
        <v>27</v>
      </c>
      <c r="O180" s="4">
        <f>SEARCH(",",$W180,N180+1)</f>
        <v>32</v>
      </c>
      <c r="P180" s="4">
        <f>SEARCH(",",$W180,O180+1)</f>
        <v>38</v>
      </c>
      <c r="Q180" s="4">
        <f>SEARCH(",",$W180,P180+1)</f>
        <v>44</v>
      </c>
      <c r="R180" s="4">
        <f>SEARCH(",",$W180,Q180+1)</f>
        <v>50</v>
      </c>
      <c r="T180" t="s">
        <v>318</v>
      </c>
      <c r="U180">
        <f>SEARCH(":",T180)</f>
        <v>6</v>
      </c>
      <c r="V180" t="str">
        <f>MID(T180,U180+1,LEN(T180)-(U180))</f>
        <v xml:space="preserve"> 352440 ** -320, -778, 4403, 324, 1316, 3170, 4743, 4495</v>
      </c>
      <c r="W180" t="str">
        <f>TRIM(V180)</f>
        <v>352440 ** -320, -778, 4403, 324, 1316, 3170, 4743, 4495</v>
      </c>
      <c r="X180">
        <f>SEARCH("~*",W180)</f>
        <v>8</v>
      </c>
      <c r="Y180" t="str">
        <f>LEFT(W180,X180-1)</f>
        <v xml:space="preserve">352440 </v>
      </c>
      <c r="AA180" t="str">
        <f>CONCATENATE(A180,",",D180,",",E180,",",F180,",",G180,",",H180,",",I180,",",J180,",",K180)</f>
        <v>352440,-320,-778,4403,324,1316,3170,4743,4495</v>
      </c>
    </row>
    <row r="181" spans="1:27">
      <c r="A181" s="1">
        <f>IF(ISBLANK(T181),"",VALUE(Y181))</f>
        <v>336746</v>
      </c>
      <c r="B181" s="1">
        <f>A181*4/10 -18</f>
        <v>134680.4</v>
      </c>
      <c r="C181" s="3">
        <f>B181/7000000</f>
        <v>1.9240057142857141E-2</v>
      </c>
      <c r="D181" s="6">
        <f>VALUE(MID(W181,$X181+2,L181-(X181+2)))</f>
        <v>-320</v>
      </c>
      <c r="E181" s="6">
        <f>VALUE(MID($W181,L181+1,M181-(L181+1)))</f>
        <v>-778</v>
      </c>
      <c r="F181" s="6">
        <f>VALUE(MID($W181,M181+1,N181-(M181+1)))</f>
        <v>4403</v>
      </c>
      <c r="G181" s="6">
        <f>VALUE(MID($W181,N181+1,O181-(N181+1)))</f>
        <v>324</v>
      </c>
      <c r="H181" s="6">
        <f>VALUE(MID($W181,O181+1,P181-(O181+1)))</f>
        <v>1316</v>
      </c>
      <c r="I181" s="6">
        <f>VALUE(MID($W181,P181+1,Q181-(P181+1)))</f>
        <v>3170</v>
      </c>
      <c r="J181" s="6">
        <f>VALUE(MID($W181,Q181+1,R181-(Q181+1)))</f>
        <v>4743</v>
      </c>
      <c r="K181" s="4">
        <f>VALUE(MID(W181,R181+1,LEN(W181)-(R181)))</f>
        <v>4495</v>
      </c>
      <c r="L181" s="4">
        <f>SEARCH(",",W181,X181)</f>
        <v>15</v>
      </c>
      <c r="M181" s="4">
        <f>SEARCH(",",$W181,L181+1)</f>
        <v>21</v>
      </c>
      <c r="N181" s="4">
        <f>SEARCH(",",$W181,M181+1)</f>
        <v>27</v>
      </c>
      <c r="O181" s="4">
        <f>SEARCH(",",$W181,N181+1)</f>
        <v>32</v>
      </c>
      <c r="P181" s="4">
        <f>SEARCH(",",$W181,O181+1)</f>
        <v>38</v>
      </c>
      <c r="Q181" s="4">
        <f>SEARCH(",",$W181,P181+1)</f>
        <v>44</v>
      </c>
      <c r="R181" s="4">
        <f>SEARCH(",",$W181,Q181+1)</f>
        <v>50</v>
      </c>
      <c r="T181" t="s">
        <v>526</v>
      </c>
      <c r="U181">
        <f>SEARCH(":",T181)</f>
        <v>6</v>
      </c>
      <c r="V181" t="str">
        <f>MID(T181,U181+1,LEN(T181)-(U181))</f>
        <v xml:space="preserve"> 336746 ** -320, -778, 4403, 324, 1316, 3170, 4743, 4495</v>
      </c>
      <c r="W181" t="str">
        <f>TRIM(V181)</f>
        <v>336746 ** -320, -778, 4403, 324, 1316, 3170, 4743, 4495</v>
      </c>
      <c r="X181">
        <f>SEARCH("~*",W181)</f>
        <v>8</v>
      </c>
      <c r="Y181" t="str">
        <f>LEFT(W181,X181-1)</f>
        <v xml:space="preserve">336746 </v>
      </c>
      <c r="AA181" t="str">
        <f>CONCATENATE(A181,",",D181,",",E181,",",F181,",",G181,",",H181,",",I181,",",J181,",",K181)</f>
        <v>336746,-320,-778,4403,324,1316,3170,4743,4495</v>
      </c>
    </row>
    <row r="182" spans="1:27">
      <c r="A182" s="1">
        <f>IF(ISBLANK(T182),"",VALUE(Y182))</f>
        <v>335226</v>
      </c>
      <c r="B182" s="1">
        <f>A182*4/10 -18</f>
        <v>134072.4</v>
      </c>
      <c r="C182" s="3">
        <f>B182/7000000</f>
        <v>1.9153199999999999E-2</v>
      </c>
      <c r="D182" s="6">
        <f>VALUE(MID(W182,$X182+2,L182-(X182+2)))</f>
        <v>-320</v>
      </c>
      <c r="E182" s="6">
        <f>VALUE(MID($W182,L182+1,M182-(L182+1)))</f>
        <v>-778</v>
      </c>
      <c r="F182" s="6">
        <f>VALUE(MID($W182,M182+1,N182-(M182+1)))</f>
        <v>4403</v>
      </c>
      <c r="G182" s="6">
        <f>VALUE(MID($W182,N182+1,O182-(N182+1)))</f>
        <v>324</v>
      </c>
      <c r="H182" s="6">
        <f>VALUE(MID($W182,O182+1,P182-(O182+1)))</f>
        <v>1316</v>
      </c>
      <c r="I182" s="6">
        <f>VALUE(MID($W182,P182+1,Q182-(P182+1)))</f>
        <v>3170</v>
      </c>
      <c r="J182" s="6">
        <f>VALUE(MID($W182,Q182+1,R182-(Q182+1)))</f>
        <v>4743</v>
      </c>
      <c r="K182" s="4">
        <f>VALUE(MID(W182,R182+1,LEN(W182)-(R182)))</f>
        <v>4495</v>
      </c>
      <c r="L182" s="4">
        <f>SEARCH(",",W182,X182)</f>
        <v>15</v>
      </c>
      <c r="M182" s="4">
        <f>SEARCH(",",$W182,L182+1)</f>
        <v>21</v>
      </c>
      <c r="N182" s="4">
        <f>SEARCH(",",$W182,M182+1)</f>
        <v>27</v>
      </c>
      <c r="O182" s="4">
        <f>SEARCH(",",$W182,N182+1)</f>
        <v>32</v>
      </c>
      <c r="P182" s="4">
        <f>SEARCH(",",$W182,O182+1)</f>
        <v>38</v>
      </c>
      <c r="Q182" s="4">
        <f>SEARCH(",",$W182,P182+1)</f>
        <v>44</v>
      </c>
      <c r="R182" s="4">
        <f>SEARCH(",",$W182,Q182+1)</f>
        <v>50</v>
      </c>
      <c r="T182" t="s">
        <v>393</v>
      </c>
      <c r="U182">
        <f>SEARCH(":",T182)</f>
        <v>6</v>
      </c>
      <c r="V182" t="str">
        <f>MID(T182,U182+1,LEN(T182)-(U182))</f>
        <v xml:space="preserve"> 335226 ** -320, -778, 4403, 324, 1316, 3170, 4743, 4495</v>
      </c>
      <c r="W182" t="str">
        <f>TRIM(V182)</f>
        <v>335226 ** -320, -778, 4403, 324, 1316, 3170, 4743, 4495</v>
      </c>
      <c r="X182">
        <f>SEARCH("~*",W182)</f>
        <v>8</v>
      </c>
      <c r="Y182" t="str">
        <f>LEFT(W182,X182-1)</f>
        <v xml:space="preserve">335226 </v>
      </c>
      <c r="AA182" t="str">
        <f>CONCATENATE(A182,",",D182,",",E182,",",F182,",",G182,",",H182,",",I182,",",J182,",",K182)</f>
        <v>335226,-320,-778,4403,324,1316,3170,4743,4495</v>
      </c>
    </row>
    <row r="183" spans="1:27">
      <c r="A183" s="1">
        <f>IF(ISBLANK(T183),"",VALUE(Y183))</f>
        <v>334039</v>
      </c>
      <c r="B183" s="1">
        <f>A183*4/10 -18</f>
        <v>133597.6</v>
      </c>
      <c r="C183" s="3">
        <f>B183/7000000</f>
        <v>1.9085371428571429E-2</v>
      </c>
      <c r="D183" s="6">
        <f>VALUE(MID(W183,$X183+2,L183-(X183+2)))</f>
        <v>-320</v>
      </c>
      <c r="E183" s="6">
        <f>VALUE(MID($W183,L183+1,M183-(L183+1)))</f>
        <v>-778</v>
      </c>
      <c r="F183" s="6">
        <f>VALUE(MID($W183,M183+1,N183-(M183+1)))</f>
        <v>4403</v>
      </c>
      <c r="G183" s="6">
        <f>VALUE(MID($W183,N183+1,O183-(N183+1)))</f>
        <v>324</v>
      </c>
      <c r="H183" s="6">
        <f>VALUE(MID($W183,O183+1,P183-(O183+1)))</f>
        <v>1316</v>
      </c>
      <c r="I183" s="6">
        <f>VALUE(MID($W183,P183+1,Q183-(P183+1)))</f>
        <v>3170</v>
      </c>
      <c r="J183" s="6">
        <f>VALUE(MID($W183,Q183+1,R183-(Q183+1)))</f>
        <v>4743</v>
      </c>
      <c r="K183" s="4">
        <f>VALUE(MID(W183,R183+1,LEN(W183)-(R183)))</f>
        <v>4495</v>
      </c>
      <c r="L183" s="4">
        <f>SEARCH(",",W183,X183)</f>
        <v>15</v>
      </c>
      <c r="M183" s="4">
        <f>SEARCH(",",$W183,L183+1)</f>
        <v>21</v>
      </c>
      <c r="N183" s="4">
        <f>SEARCH(",",$W183,M183+1)</f>
        <v>27</v>
      </c>
      <c r="O183" s="4">
        <f>SEARCH(",",$W183,N183+1)</f>
        <v>32</v>
      </c>
      <c r="P183" s="4">
        <f>SEARCH(",",$W183,O183+1)</f>
        <v>38</v>
      </c>
      <c r="Q183" s="4">
        <f>SEARCH(",",$W183,P183+1)</f>
        <v>44</v>
      </c>
      <c r="R183" s="4">
        <f>SEARCH(",",$W183,Q183+1)</f>
        <v>50</v>
      </c>
      <c r="T183" t="s">
        <v>467</v>
      </c>
      <c r="U183">
        <f>SEARCH(":",T183)</f>
        <v>6</v>
      </c>
      <c r="V183" t="str">
        <f>MID(T183,U183+1,LEN(T183)-(U183))</f>
        <v xml:space="preserve"> 334039 ** -320, -778, 4403, 324, 1316, 3170, 4743, 4495</v>
      </c>
      <c r="W183" t="str">
        <f>TRIM(V183)</f>
        <v>334039 ** -320, -778, 4403, 324, 1316, 3170, 4743, 4495</v>
      </c>
      <c r="X183">
        <f>SEARCH("~*",W183)</f>
        <v>8</v>
      </c>
      <c r="Y183" t="str">
        <f>LEFT(W183,X183-1)</f>
        <v xml:space="preserve">334039 </v>
      </c>
      <c r="AA183" t="str">
        <f>CONCATENATE(A183,",",D183,",",E183,",",F183,",",G183,",",H183,",",I183,",",J183,",",K183)</f>
        <v>334039,-320,-778,4403,324,1316,3170,4743,4495</v>
      </c>
    </row>
    <row r="184" spans="1:27">
      <c r="A184" s="1">
        <f>IF(ISBLANK(T184),"",VALUE(Y184))</f>
        <v>329577</v>
      </c>
      <c r="B184" s="1">
        <f>A184*4/10 -18</f>
        <v>131812.79999999999</v>
      </c>
      <c r="C184" s="3">
        <f>B184/7000000</f>
        <v>1.8830399999999997E-2</v>
      </c>
      <c r="D184" s="6">
        <f>VALUE(MID(W184,$X184+2,L184-(X184+2)))</f>
        <v>-320</v>
      </c>
      <c r="E184" s="6">
        <f>VALUE(MID($W184,L184+1,M184-(L184+1)))</f>
        <v>-778</v>
      </c>
      <c r="F184" s="6">
        <f>VALUE(MID($W184,M184+1,N184-(M184+1)))</f>
        <v>4403</v>
      </c>
      <c r="G184" s="6">
        <f>VALUE(MID($W184,N184+1,O184-(N184+1)))</f>
        <v>324</v>
      </c>
      <c r="H184" s="6">
        <f>VALUE(MID($W184,O184+1,P184-(O184+1)))</f>
        <v>1316</v>
      </c>
      <c r="I184" s="6">
        <f>VALUE(MID($W184,P184+1,Q184-(P184+1)))</f>
        <v>3170</v>
      </c>
      <c r="J184" s="6">
        <f>VALUE(MID($W184,Q184+1,R184-(Q184+1)))</f>
        <v>4743</v>
      </c>
      <c r="K184" s="4">
        <f>VALUE(MID(W184,R184+1,LEN(W184)-(R184)))</f>
        <v>4495</v>
      </c>
      <c r="L184" s="4">
        <f>SEARCH(",",W184,X184)</f>
        <v>15</v>
      </c>
      <c r="M184" s="4">
        <f>SEARCH(",",$W184,L184+1)</f>
        <v>21</v>
      </c>
      <c r="N184" s="4">
        <f>SEARCH(",",$W184,M184+1)</f>
        <v>27</v>
      </c>
      <c r="O184" s="4">
        <f>SEARCH(",",$W184,N184+1)</f>
        <v>32</v>
      </c>
      <c r="P184" s="4">
        <f>SEARCH(",",$W184,O184+1)</f>
        <v>38</v>
      </c>
      <c r="Q184" s="4">
        <f>SEARCH(",",$W184,P184+1)</f>
        <v>44</v>
      </c>
      <c r="R184" s="4">
        <f>SEARCH(",",$W184,Q184+1)</f>
        <v>50</v>
      </c>
      <c r="T184" t="s">
        <v>311</v>
      </c>
      <c r="U184">
        <f>SEARCH(":",T184)</f>
        <v>6</v>
      </c>
      <c r="V184" t="str">
        <f>MID(T184,U184+1,LEN(T184)-(U184))</f>
        <v xml:space="preserve"> 329577 ** -320, -778, 4403, 324, 1316, 3170, 4743, 4495</v>
      </c>
      <c r="W184" t="str">
        <f>TRIM(V184)</f>
        <v>329577 ** -320, -778, 4403, 324, 1316, 3170, 4743, 4495</v>
      </c>
      <c r="X184">
        <f>SEARCH("~*",W184)</f>
        <v>8</v>
      </c>
      <c r="Y184" t="str">
        <f>LEFT(W184,X184-1)</f>
        <v xml:space="preserve">329577 </v>
      </c>
      <c r="AA184" t="str">
        <f>CONCATENATE(A184,",",D184,",",E184,",",F184,",",G184,",",H184,",",I184,",",J184,",",K184)</f>
        <v>329577,-320,-778,4403,324,1316,3170,4743,4495</v>
      </c>
    </row>
    <row r="185" spans="1:27">
      <c r="A185" s="1">
        <f>IF(ISBLANK(T185),"",VALUE(Y185))</f>
        <v>328377</v>
      </c>
      <c r="B185" s="1">
        <f>A185*4/10 -18</f>
        <v>131332.79999999999</v>
      </c>
      <c r="C185" s="3">
        <f>B185/7000000</f>
        <v>1.8761828571428569E-2</v>
      </c>
      <c r="D185" s="6">
        <f>VALUE(MID(W185,$X185+2,L185-(X185+2)))</f>
        <v>-320</v>
      </c>
      <c r="E185" s="6">
        <f>VALUE(MID($W185,L185+1,M185-(L185+1)))</f>
        <v>-778</v>
      </c>
      <c r="F185" s="6">
        <f>VALUE(MID($W185,M185+1,N185-(M185+1)))</f>
        <v>4403</v>
      </c>
      <c r="G185" s="6">
        <f>VALUE(MID($W185,N185+1,O185-(N185+1)))</f>
        <v>324</v>
      </c>
      <c r="H185" s="6">
        <f>VALUE(MID($W185,O185+1,P185-(O185+1)))</f>
        <v>1316</v>
      </c>
      <c r="I185" s="6">
        <f>VALUE(MID($W185,P185+1,Q185-(P185+1)))</f>
        <v>3170</v>
      </c>
      <c r="J185" s="6">
        <f>VALUE(MID($W185,Q185+1,R185-(Q185+1)))</f>
        <v>4743</v>
      </c>
      <c r="K185" s="4">
        <f>VALUE(MID(W185,R185+1,LEN(W185)-(R185)))</f>
        <v>4495</v>
      </c>
      <c r="L185" s="4">
        <f>SEARCH(",",W185,X185)</f>
        <v>15</v>
      </c>
      <c r="M185" s="4">
        <f>SEARCH(",",$W185,L185+1)</f>
        <v>21</v>
      </c>
      <c r="N185" s="4">
        <f>SEARCH(",",$W185,M185+1)</f>
        <v>27</v>
      </c>
      <c r="O185" s="4">
        <f>SEARCH(",",$W185,N185+1)</f>
        <v>32</v>
      </c>
      <c r="P185" s="4">
        <f>SEARCH(",",$W185,O185+1)</f>
        <v>38</v>
      </c>
      <c r="Q185" s="4">
        <f>SEARCH(",",$W185,P185+1)</f>
        <v>44</v>
      </c>
      <c r="R185" s="4">
        <f>SEARCH(",",$W185,Q185+1)</f>
        <v>50</v>
      </c>
      <c r="T185" t="s">
        <v>493</v>
      </c>
      <c r="U185">
        <f>SEARCH(":",T185)</f>
        <v>6</v>
      </c>
      <c r="V185" t="str">
        <f>MID(T185,U185+1,LEN(T185)-(U185))</f>
        <v xml:space="preserve"> 328377 ** -320, -778, 4403, 324, 1316, 3170, 4743, 4495</v>
      </c>
      <c r="W185" t="str">
        <f>TRIM(V185)</f>
        <v>328377 ** -320, -778, 4403, 324, 1316, 3170, 4743, 4495</v>
      </c>
      <c r="X185">
        <f>SEARCH("~*",W185)</f>
        <v>8</v>
      </c>
      <c r="Y185" t="str">
        <f>LEFT(W185,X185-1)</f>
        <v xml:space="preserve">328377 </v>
      </c>
      <c r="AA185" t="str">
        <f>CONCATENATE(A185,",",D185,",",E185,",",F185,",",G185,",",H185,",",I185,",",J185,",",K185)</f>
        <v>328377,-320,-778,4403,324,1316,3170,4743,4495</v>
      </c>
    </row>
    <row r="186" spans="1:27">
      <c r="A186" s="1">
        <f>IF(ISBLANK(T186),"",VALUE(Y186))</f>
        <v>324784</v>
      </c>
      <c r="B186" s="1">
        <f>A186*4/10 -18</f>
        <v>129895.6</v>
      </c>
      <c r="C186" s="3">
        <f>B186/7000000</f>
        <v>1.8556514285714285E-2</v>
      </c>
      <c r="D186" s="6">
        <f>VALUE(MID(W186,$X186+2,L186-(X186+2)))</f>
        <v>-320</v>
      </c>
      <c r="E186" s="6">
        <f>VALUE(MID($W186,L186+1,M186-(L186+1)))</f>
        <v>-778</v>
      </c>
      <c r="F186" s="6">
        <f>VALUE(MID($W186,M186+1,N186-(M186+1)))</f>
        <v>4403</v>
      </c>
      <c r="G186" s="6">
        <f>VALUE(MID($W186,N186+1,O186-(N186+1)))</f>
        <v>324</v>
      </c>
      <c r="H186" s="6">
        <f>VALUE(MID($W186,O186+1,P186-(O186+1)))</f>
        <v>1316</v>
      </c>
      <c r="I186" s="6">
        <f>VALUE(MID($W186,P186+1,Q186-(P186+1)))</f>
        <v>3170</v>
      </c>
      <c r="J186" s="6">
        <f>VALUE(MID($W186,Q186+1,R186-(Q186+1)))</f>
        <v>4743</v>
      </c>
      <c r="K186" s="4">
        <f>VALUE(MID(W186,R186+1,LEN(W186)-(R186)))</f>
        <v>4495</v>
      </c>
      <c r="L186" s="4">
        <f>SEARCH(",",W186,X186)</f>
        <v>15</v>
      </c>
      <c r="M186" s="4">
        <f>SEARCH(",",$W186,L186+1)</f>
        <v>21</v>
      </c>
      <c r="N186" s="4">
        <f>SEARCH(",",$W186,M186+1)</f>
        <v>27</v>
      </c>
      <c r="O186" s="4">
        <f>SEARCH(",",$W186,N186+1)</f>
        <v>32</v>
      </c>
      <c r="P186" s="4">
        <f>SEARCH(",",$W186,O186+1)</f>
        <v>38</v>
      </c>
      <c r="Q186" s="4">
        <f>SEARCH(",",$W186,P186+1)</f>
        <v>44</v>
      </c>
      <c r="R186" s="4">
        <f>SEARCH(",",$W186,Q186+1)</f>
        <v>50</v>
      </c>
      <c r="T186" t="s">
        <v>416</v>
      </c>
      <c r="U186">
        <f>SEARCH(":",T186)</f>
        <v>6</v>
      </c>
      <c r="V186" t="str">
        <f>MID(T186,U186+1,LEN(T186)-(U186))</f>
        <v xml:space="preserve"> 324784 ** -320, -778, 4403, 324, 1316, 3170, 4743, 4495</v>
      </c>
      <c r="W186" t="str">
        <f>TRIM(V186)</f>
        <v>324784 ** -320, -778, 4403, 324, 1316, 3170, 4743, 4495</v>
      </c>
      <c r="X186">
        <f>SEARCH("~*",W186)</f>
        <v>8</v>
      </c>
      <c r="Y186" t="str">
        <f>LEFT(W186,X186-1)</f>
        <v xml:space="preserve">324784 </v>
      </c>
      <c r="AA186" t="str">
        <f>CONCATENATE(A186,",",D186,",",E186,",",F186,",",G186,",",H186,",",I186,",",J186,",",K186)</f>
        <v>324784,-320,-778,4403,324,1316,3170,4743,4495</v>
      </c>
    </row>
    <row r="187" spans="1:27">
      <c r="A187" s="1">
        <f>IF(ISBLANK(T187),"",VALUE(Y187))</f>
        <v>324211</v>
      </c>
      <c r="B187" s="1">
        <f>A187*4/10 -18</f>
        <v>129666.4</v>
      </c>
      <c r="C187" s="3">
        <f>B187/7000000</f>
        <v>1.8523771428571426E-2</v>
      </c>
      <c r="D187" s="6">
        <f>VALUE(MID(W187,$X187+2,L187-(X187+2)))</f>
        <v>-320</v>
      </c>
      <c r="E187" s="6">
        <f>VALUE(MID($W187,L187+1,M187-(L187+1)))</f>
        <v>-778</v>
      </c>
      <c r="F187" s="6">
        <f>VALUE(MID($W187,M187+1,N187-(M187+1)))</f>
        <v>4403</v>
      </c>
      <c r="G187" s="6">
        <f>VALUE(MID($W187,N187+1,O187-(N187+1)))</f>
        <v>324</v>
      </c>
      <c r="H187" s="6">
        <f>VALUE(MID($W187,O187+1,P187-(O187+1)))</f>
        <v>1316</v>
      </c>
      <c r="I187" s="6">
        <f>VALUE(MID($W187,P187+1,Q187-(P187+1)))</f>
        <v>3170</v>
      </c>
      <c r="J187" s="6">
        <f>VALUE(MID($W187,Q187+1,R187-(Q187+1)))</f>
        <v>4743</v>
      </c>
      <c r="K187" s="4">
        <f>VALUE(MID(W187,R187+1,LEN(W187)-(R187)))</f>
        <v>4495</v>
      </c>
      <c r="L187" s="4">
        <f>SEARCH(",",W187,X187)</f>
        <v>15</v>
      </c>
      <c r="M187" s="4">
        <f>SEARCH(",",$W187,L187+1)</f>
        <v>21</v>
      </c>
      <c r="N187" s="4">
        <f>SEARCH(",",$W187,M187+1)</f>
        <v>27</v>
      </c>
      <c r="O187" s="4">
        <f>SEARCH(",",$W187,N187+1)</f>
        <v>32</v>
      </c>
      <c r="P187" s="4">
        <f>SEARCH(",",$W187,O187+1)</f>
        <v>38</v>
      </c>
      <c r="Q187" s="4">
        <f>SEARCH(",",$W187,P187+1)</f>
        <v>44</v>
      </c>
      <c r="R187" s="4">
        <f>SEARCH(",",$W187,Q187+1)</f>
        <v>50</v>
      </c>
      <c r="T187" t="s">
        <v>320</v>
      </c>
      <c r="U187">
        <f>SEARCH(":",T187)</f>
        <v>6</v>
      </c>
      <c r="V187" t="str">
        <f>MID(T187,U187+1,LEN(T187)-(U187))</f>
        <v xml:space="preserve"> 324211 ** -320, -778, 4403, 324, 1316, 3170, 4743, 4495</v>
      </c>
      <c r="W187" t="str">
        <f>TRIM(V187)</f>
        <v>324211 ** -320, -778, 4403, 324, 1316, 3170, 4743, 4495</v>
      </c>
      <c r="X187">
        <f>SEARCH("~*",W187)</f>
        <v>8</v>
      </c>
      <c r="Y187" t="str">
        <f>LEFT(W187,X187-1)</f>
        <v xml:space="preserve">324211 </v>
      </c>
      <c r="AA187" t="str">
        <f>CONCATENATE(A187,",",D187,",",E187,",",F187,",",G187,",",H187,",",I187,",",J187,",",K187)</f>
        <v>324211,-320,-778,4403,324,1316,3170,4743,4495</v>
      </c>
    </row>
    <row r="188" spans="1:27">
      <c r="A188" s="1">
        <f>IF(ISBLANK(T188),"",VALUE(Y188))</f>
        <v>322732</v>
      </c>
      <c r="B188" s="1">
        <f>A188*4/10 -18</f>
        <v>129074.8</v>
      </c>
      <c r="C188" s="3">
        <f>B188/7000000</f>
        <v>1.8439257142857143E-2</v>
      </c>
      <c r="D188" s="6">
        <f>VALUE(MID(W188,$X188+2,L188-(X188+2)))</f>
        <v>-320</v>
      </c>
      <c r="E188" s="6">
        <f>VALUE(MID($W188,L188+1,M188-(L188+1)))</f>
        <v>-778</v>
      </c>
      <c r="F188" s="6">
        <f>VALUE(MID($W188,M188+1,N188-(M188+1)))</f>
        <v>4403</v>
      </c>
      <c r="G188" s="6">
        <f>VALUE(MID($W188,N188+1,O188-(N188+1)))</f>
        <v>324</v>
      </c>
      <c r="H188" s="6">
        <f>VALUE(MID($W188,O188+1,P188-(O188+1)))</f>
        <v>1316</v>
      </c>
      <c r="I188" s="6">
        <f>VALUE(MID($W188,P188+1,Q188-(P188+1)))</f>
        <v>3170</v>
      </c>
      <c r="J188" s="6">
        <f>VALUE(MID($W188,Q188+1,R188-(Q188+1)))</f>
        <v>4743</v>
      </c>
      <c r="K188" s="4">
        <f>VALUE(MID(W188,R188+1,LEN(W188)-(R188)))</f>
        <v>4495</v>
      </c>
      <c r="L188" s="4">
        <f>SEARCH(",",W188,X188)</f>
        <v>15</v>
      </c>
      <c r="M188" s="4">
        <f>SEARCH(",",$W188,L188+1)</f>
        <v>21</v>
      </c>
      <c r="N188" s="4">
        <f>SEARCH(",",$W188,M188+1)</f>
        <v>27</v>
      </c>
      <c r="O188" s="4">
        <f>SEARCH(",",$W188,N188+1)</f>
        <v>32</v>
      </c>
      <c r="P188" s="4">
        <f>SEARCH(",",$W188,O188+1)</f>
        <v>38</v>
      </c>
      <c r="Q188" s="4">
        <f>SEARCH(",",$W188,P188+1)</f>
        <v>44</v>
      </c>
      <c r="R188" s="4">
        <f>SEARCH(",",$W188,Q188+1)</f>
        <v>50</v>
      </c>
      <c r="T188" t="s">
        <v>347</v>
      </c>
      <c r="U188">
        <f>SEARCH(":",T188)</f>
        <v>6</v>
      </c>
      <c r="V188" t="str">
        <f>MID(T188,U188+1,LEN(T188)-(U188))</f>
        <v xml:space="preserve"> 322732 ** -320, -778, 4403, 324, 1316, 3170, 4743, 4495</v>
      </c>
      <c r="W188" t="str">
        <f>TRIM(V188)</f>
        <v>322732 ** -320, -778, 4403, 324, 1316, 3170, 4743, 4495</v>
      </c>
      <c r="X188">
        <f>SEARCH("~*",W188)</f>
        <v>8</v>
      </c>
      <c r="Y188" t="str">
        <f>LEFT(W188,X188-1)</f>
        <v xml:space="preserve">322732 </v>
      </c>
      <c r="AA188" t="str">
        <f>CONCATENATE(A188,",",D188,",",E188,",",F188,",",G188,",",H188,",",I188,",",J188,",",K188)</f>
        <v>322732,-320,-778,4403,324,1316,3170,4743,4495</v>
      </c>
    </row>
    <row r="189" spans="1:27">
      <c r="A189" s="1">
        <f>IF(ISBLANK(T189),"",VALUE(Y189))</f>
        <v>317338</v>
      </c>
      <c r="B189" s="1">
        <f>A189*4/10 -18</f>
        <v>126917.2</v>
      </c>
      <c r="C189" s="3">
        <f>B189/7000000</f>
        <v>1.8131028571428572E-2</v>
      </c>
      <c r="D189" s="6">
        <f>VALUE(MID(W189,$X189+2,L189-(X189+2)))</f>
        <v>-320</v>
      </c>
      <c r="E189" s="6">
        <f>VALUE(MID($W189,L189+1,M189-(L189+1)))</f>
        <v>-778</v>
      </c>
      <c r="F189" s="6">
        <f>VALUE(MID($W189,M189+1,N189-(M189+1)))</f>
        <v>4403</v>
      </c>
      <c r="G189" s="6">
        <f>VALUE(MID($W189,N189+1,O189-(N189+1)))</f>
        <v>324</v>
      </c>
      <c r="H189" s="6">
        <f>VALUE(MID($W189,O189+1,P189-(O189+1)))</f>
        <v>1316</v>
      </c>
      <c r="I189" s="6">
        <f>VALUE(MID($W189,P189+1,Q189-(P189+1)))</f>
        <v>3170</v>
      </c>
      <c r="J189" s="6">
        <f>VALUE(MID($W189,Q189+1,R189-(Q189+1)))</f>
        <v>4743</v>
      </c>
      <c r="K189" s="4">
        <f>VALUE(MID(W189,R189+1,LEN(W189)-(R189)))</f>
        <v>4495</v>
      </c>
      <c r="L189" s="4">
        <f>SEARCH(",",W189,X189)</f>
        <v>15</v>
      </c>
      <c r="M189" s="4">
        <f>SEARCH(",",$W189,L189+1)</f>
        <v>21</v>
      </c>
      <c r="N189" s="4">
        <f>SEARCH(",",$W189,M189+1)</f>
        <v>27</v>
      </c>
      <c r="O189" s="4">
        <f>SEARCH(",",$W189,N189+1)</f>
        <v>32</v>
      </c>
      <c r="P189" s="4">
        <f>SEARCH(",",$W189,O189+1)</f>
        <v>38</v>
      </c>
      <c r="Q189" s="4">
        <f>SEARCH(",",$W189,P189+1)</f>
        <v>44</v>
      </c>
      <c r="R189" s="4">
        <f>SEARCH(",",$W189,Q189+1)</f>
        <v>50</v>
      </c>
      <c r="T189" t="s">
        <v>503</v>
      </c>
      <c r="U189">
        <f>SEARCH(":",T189)</f>
        <v>6</v>
      </c>
      <c r="V189" t="str">
        <f>MID(T189,U189+1,LEN(T189)-(U189))</f>
        <v xml:space="preserve"> 317338 ** -320, -778, 4403, 324, 1316, 3170, 4743, 4495</v>
      </c>
      <c r="W189" t="str">
        <f>TRIM(V189)</f>
        <v>317338 ** -320, -778, 4403, 324, 1316, 3170, 4743, 4495</v>
      </c>
      <c r="X189">
        <f>SEARCH("~*",W189)</f>
        <v>8</v>
      </c>
      <c r="Y189" t="str">
        <f>LEFT(W189,X189-1)</f>
        <v xml:space="preserve">317338 </v>
      </c>
      <c r="AA189" t="str">
        <f>CONCATENATE(A189,",",D189,",",E189,",",F189,",",G189,",",H189,",",I189,",",J189,",",K189)</f>
        <v>317338,-320,-778,4403,324,1316,3170,4743,4495</v>
      </c>
    </row>
    <row r="190" spans="1:27">
      <c r="A190" s="1">
        <f>IF(ISBLANK(T190),"",VALUE(Y190))</f>
        <v>316429</v>
      </c>
      <c r="B190" s="1">
        <f>A190*4/10 -18</f>
        <v>126553.60000000001</v>
      </c>
      <c r="C190" s="3">
        <f>B190/7000000</f>
        <v>1.8079085714285716E-2</v>
      </c>
      <c r="D190" s="6">
        <f>VALUE(MID(W190,$X190+2,L190-(X190+2)))</f>
        <v>-320</v>
      </c>
      <c r="E190" s="6">
        <f>VALUE(MID($W190,L190+1,M190-(L190+1)))</f>
        <v>-778</v>
      </c>
      <c r="F190" s="6">
        <f>VALUE(MID($W190,M190+1,N190-(M190+1)))</f>
        <v>4403</v>
      </c>
      <c r="G190" s="6">
        <f>VALUE(MID($W190,N190+1,O190-(N190+1)))</f>
        <v>324</v>
      </c>
      <c r="H190" s="6">
        <f>VALUE(MID($W190,O190+1,P190-(O190+1)))</f>
        <v>1316</v>
      </c>
      <c r="I190" s="6">
        <f>VALUE(MID($W190,P190+1,Q190-(P190+1)))</f>
        <v>3170</v>
      </c>
      <c r="J190" s="6">
        <f>VALUE(MID($W190,Q190+1,R190-(Q190+1)))</f>
        <v>4743</v>
      </c>
      <c r="K190" s="4">
        <f>VALUE(MID(W190,R190+1,LEN(W190)-(R190)))</f>
        <v>4495</v>
      </c>
      <c r="L190" s="4">
        <f>SEARCH(",",W190,X190)</f>
        <v>15</v>
      </c>
      <c r="M190" s="4">
        <f>SEARCH(",",$W190,L190+1)</f>
        <v>21</v>
      </c>
      <c r="N190" s="4">
        <f>SEARCH(",",$W190,M190+1)</f>
        <v>27</v>
      </c>
      <c r="O190" s="4">
        <f>SEARCH(",",$W190,N190+1)</f>
        <v>32</v>
      </c>
      <c r="P190" s="4">
        <f>SEARCH(",",$W190,O190+1)</f>
        <v>38</v>
      </c>
      <c r="Q190" s="4">
        <f>SEARCH(",",$W190,P190+1)</f>
        <v>44</v>
      </c>
      <c r="R190" s="4">
        <f>SEARCH(",",$W190,Q190+1)</f>
        <v>50</v>
      </c>
      <c r="T190" t="s">
        <v>466</v>
      </c>
      <c r="U190">
        <f>SEARCH(":",T190)</f>
        <v>6</v>
      </c>
      <c r="V190" t="str">
        <f>MID(T190,U190+1,LEN(T190)-(U190))</f>
        <v xml:space="preserve"> 316429 ** -320, -778, 4403, 324, 1316, 3170, 4743, 4495</v>
      </c>
      <c r="W190" t="str">
        <f>TRIM(V190)</f>
        <v>316429 ** -320, -778, 4403, 324, 1316, 3170, 4743, 4495</v>
      </c>
      <c r="X190">
        <f>SEARCH("~*",W190)</f>
        <v>8</v>
      </c>
      <c r="Y190" t="str">
        <f>LEFT(W190,X190-1)</f>
        <v xml:space="preserve">316429 </v>
      </c>
      <c r="AA190" t="str">
        <f>CONCATENATE(A190,",",D190,",",E190,",",F190,",",G190,",",H190,",",I190,",",J190,",",K190)</f>
        <v>316429,-320,-778,4403,324,1316,3170,4743,4495</v>
      </c>
    </row>
    <row r="191" spans="1:27">
      <c r="A191" s="1">
        <f>IF(ISBLANK(T191),"",VALUE(Y191))</f>
        <v>312953</v>
      </c>
      <c r="B191" s="1">
        <f>A191*4/10 -18</f>
        <v>125163.2</v>
      </c>
      <c r="C191" s="3">
        <f>B191/7000000</f>
        <v>1.7880457142857142E-2</v>
      </c>
      <c r="D191" s="6">
        <f>VALUE(MID(W191,$X191+2,L191-(X191+2)))</f>
        <v>-320</v>
      </c>
      <c r="E191" s="6">
        <f>VALUE(MID($W191,L191+1,M191-(L191+1)))</f>
        <v>-778</v>
      </c>
      <c r="F191" s="6">
        <f>VALUE(MID($W191,M191+1,N191-(M191+1)))</f>
        <v>4403</v>
      </c>
      <c r="G191" s="6">
        <f>VALUE(MID($W191,N191+1,O191-(N191+1)))</f>
        <v>324</v>
      </c>
      <c r="H191" s="6">
        <f>VALUE(MID($W191,O191+1,P191-(O191+1)))</f>
        <v>1316</v>
      </c>
      <c r="I191" s="6">
        <f>VALUE(MID($W191,P191+1,Q191-(P191+1)))</f>
        <v>3170</v>
      </c>
      <c r="J191" s="6">
        <f>VALUE(MID($W191,Q191+1,R191-(Q191+1)))</f>
        <v>4743</v>
      </c>
      <c r="K191" s="4">
        <f>VALUE(MID(W191,R191+1,LEN(W191)-(R191)))</f>
        <v>4495</v>
      </c>
      <c r="L191" s="4">
        <f>SEARCH(",",W191,X191)</f>
        <v>15</v>
      </c>
      <c r="M191" s="4">
        <f>SEARCH(",",$W191,L191+1)</f>
        <v>21</v>
      </c>
      <c r="N191" s="4">
        <f>SEARCH(",",$W191,M191+1)</f>
        <v>27</v>
      </c>
      <c r="O191" s="4">
        <f>SEARCH(",",$W191,N191+1)</f>
        <v>32</v>
      </c>
      <c r="P191" s="4">
        <f>SEARCH(",",$W191,O191+1)</f>
        <v>38</v>
      </c>
      <c r="Q191" s="4">
        <f>SEARCH(",",$W191,P191+1)</f>
        <v>44</v>
      </c>
      <c r="R191" s="4">
        <f>SEARCH(",",$W191,Q191+1)</f>
        <v>50</v>
      </c>
      <c r="T191" t="s">
        <v>338</v>
      </c>
      <c r="U191">
        <f>SEARCH(":",T191)</f>
        <v>6</v>
      </c>
      <c r="V191" t="str">
        <f>MID(T191,U191+1,LEN(T191)-(U191))</f>
        <v xml:space="preserve"> 312953 ** -320, -778, 4403, 324, 1316, 3170, 4743, 4495</v>
      </c>
      <c r="W191" t="str">
        <f>TRIM(V191)</f>
        <v>312953 ** -320, -778, 4403, 324, 1316, 3170, 4743, 4495</v>
      </c>
      <c r="X191">
        <f>SEARCH("~*",W191)</f>
        <v>8</v>
      </c>
      <c r="Y191" t="str">
        <f>LEFT(W191,X191-1)</f>
        <v xml:space="preserve">312953 </v>
      </c>
      <c r="AA191" t="str">
        <f>CONCATENATE(A191,",",D191,",",E191,",",F191,",",G191,",",H191,",",I191,",",J191,",",K191)</f>
        <v>312953,-320,-778,4403,324,1316,3170,4743,4495</v>
      </c>
    </row>
    <row r="192" spans="1:27">
      <c r="A192" s="1">
        <f>IF(ISBLANK(T192),"",VALUE(Y192))</f>
        <v>312429</v>
      </c>
      <c r="B192" s="1">
        <f>A192*4/10 -18</f>
        <v>124953.60000000001</v>
      </c>
      <c r="C192" s="3">
        <f>B192/7000000</f>
        <v>1.7850514285714287E-2</v>
      </c>
      <c r="D192" s="6">
        <f>VALUE(MID(W192,$X192+2,L192-(X192+2)))</f>
        <v>-320</v>
      </c>
      <c r="E192" s="6">
        <f>VALUE(MID($W192,L192+1,M192-(L192+1)))</f>
        <v>-778</v>
      </c>
      <c r="F192" s="6">
        <f>VALUE(MID($W192,M192+1,N192-(M192+1)))</f>
        <v>4403</v>
      </c>
      <c r="G192" s="6">
        <f>VALUE(MID($W192,N192+1,O192-(N192+1)))</f>
        <v>324</v>
      </c>
      <c r="H192" s="6">
        <f>VALUE(MID($W192,O192+1,P192-(O192+1)))</f>
        <v>1316</v>
      </c>
      <c r="I192" s="6">
        <f>VALUE(MID($W192,P192+1,Q192-(P192+1)))</f>
        <v>3170</v>
      </c>
      <c r="J192" s="6">
        <f>VALUE(MID($W192,Q192+1,R192-(Q192+1)))</f>
        <v>4743</v>
      </c>
      <c r="K192" s="4">
        <f>VALUE(MID(W192,R192+1,LEN(W192)-(R192)))</f>
        <v>4495</v>
      </c>
      <c r="L192" s="4">
        <f>SEARCH(",",W192,X192)</f>
        <v>15</v>
      </c>
      <c r="M192" s="4">
        <f>SEARCH(",",$W192,L192+1)</f>
        <v>21</v>
      </c>
      <c r="N192" s="4">
        <f>SEARCH(",",$W192,M192+1)</f>
        <v>27</v>
      </c>
      <c r="O192" s="4">
        <f>SEARCH(",",$W192,N192+1)</f>
        <v>32</v>
      </c>
      <c r="P192" s="4">
        <f>SEARCH(",",$W192,O192+1)</f>
        <v>38</v>
      </c>
      <c r="Q192" s="4">
        <f>SEARCH(",",$W192,P192+1)</f>
        <v>44</v>
      </c>
      <c r="R192" s="4">
        <f>SEARCH(",",$W192,Q192+1)</f>
        <v>50</v>
      </c>
      <c r="T192" t="s">
        <v>495</v>
      </c>
      <c r="U192">
        <f>SEARCH(":",T192)</f>
        <v>6</v>
      </c>
      <c r="V192" t="str">
        <f>MID(T192,U192+1,LEN(T192)-(U192))</f>
        <v xml:space="preserve"> 312429 ** -320, -778, 4403, 324, 1316, 3170, 4743, 4495</v>
      </c>
      <c r="W192" t="str">
        <f>TRIM(V192)</f>
        <v>312429 ** -320, -778, 4403, 324, 1316, 3170, 4743, 4495</v>
      </c>
      <c r="X192">
        <f>SEARCH("~*",W192)</f>
        <v>8</v>
      </c>
      <c r="Y192" t="str">
        <f>LEFT(W192,X192-1)</f>
        <v xml:space="preserve">312429 </v>
      </c>
      <c r="AA192" t="str">
        <f>CONCATENATE(A192,",",D192,",",E192,",",F192,",",G192,",",H192,",",I192,",",J192,",",K192)</f>
        <v>312429,-320,-778,4403,324,1316,3170,4743,4495</v>
      </c>
    </row>
    <row r="193" spans="1:27">
      <c r="A193" s="1">
        <f>IF(ISBLANK(T193),"",VALUE(Y193))</f>
        <v>311840</v>
      </c>
      <c r="B193" s="1">
        <f>A193*4/10 -18</f>
        <v>124718</v>
      </c>
      <c r="C193" s="3">
        <f>B193/7000000</f>
        <v>1.7816857142857141E-2</v>
      </c>
      <c r="D193" s="6">
        <f>VALUE(MID(W193,$X193+2,L193-(X193+2)))</f>
        <v>-320</v>
      </c>
      <c r="E193" s="6">
        <f>VALUE(MID($W193,L193+1,M193-(L193+1)))</f>
        <v>-778</v>
      </c>
      <c r="F193" s="6">
        <f>VALUE(MID($W193,M193+1,N193-(M193+1)))</f>
        <v>4403</v>
      </c>
      <c r="G193" s="6">
        <f>VALUE(MID($W193,N193+1,O193-(N193+1)))</f>
        <v>324</v>
      </c>
      <c r="H193" s="6">
        <f>VALUE(MID($W193,O193+1,P193-(O193+1)))</f>
        <v>1316</v>
      </c>
      <c r="I193" s="6">
        <f>VALUE(MID($W193,P193+1,Q193-(P193+1)))</f>
        <v>3170</v>
      </c>
      <c r="J193" s="6">
        <f>VALUE(MID($W193,Q193+1,R193-(Q193+1)))</f>
        <v>4743</v>
      </c>
      <c r="K193" s="4">
        <f>VALUE(MID(W193,R193+1,LEN(W193)-(R193)))</f>
        <v>4495</v>
      </c>
      <c r="L193" s="4">
        <f>SEARCH(",",W193,X193)</f>
        <v>15</v>
      </c>
      <c r="M193" s="4">
        <f>SEARCH(",",$W193,L193+1)</f>
        <v>21</v>
      </c>
      <c r="N193" s="4">
        <f>SEARCH(",",$W193,M193+1)</f>
        <v>27</v>
      </c>
      <c r="O193" s="4">
        <f>SEARCH(",",$W193,N193+1)</f>
        <v>32</v>
      </c>
      <c r="P193" s="4">
        <f>SEARCH(",",$W193,O193+1)</f>
        <v>38</v>
      </c>
      <c r="Q193" s="4">
        <f>SEARCH(",",$W193,P193+1)</f>
        <v>44</v>
      </c>
      <c r="R193" s="4">
        <f>SEARCH(",",$W193,Q193+1)</f>
        <v>50</v>
      </c>
      <c r="T193" t="s">
        <v>333</v>
      </c>
      <c r="U193">
        <f>SEARCH(":",T193)</f>
        <v>6</v>
      </c>
      <c r="V193" t="str">
        <f>MID(T193,U193+1,LEN(T193)-(U193))</f>
        <v xml:space="preserve"> 311840 ** -320, -778, 4403, 324, 1316, 3170, 4743, 4495</v>
      </c>
      <c r="W193" t="str">
        <f>TRIM(V193)</f>
        <v>311840 ** -320, -778, 4403, 324, 1316, 3170, 4743, 4495</v>
      </c>
      <c r="X193">
        <f>SEARCH("~*",W193)</f>
        <v>8</v>
      </c>
      <c r="Y193" t="str">
        <f>LEFT(W193,X193-1)</f>
        <v xml:space="preserve">311840 </v>
      </c>
      <c r="AA193" t="str">
        <f>CONCATENATE(A193,",",D193,",",E193,",",F193,",",G193,",",H193,",",I193,",",J193,",",K193)</f>
        <v>311840,-320,-778,4403,324,1316,3170,4743,4495</v>
      </c>
    </row>
    <row r="194" spans="1:27">
      <c r="A194" s="1">
        <f>IF(ISBLANK(T194),"",VALUE(Y194))</f>
        <v>310010</v>
      </c>
      <c r="B194" s="1">
        <f>A194*4/10 -18</f>
        <v>123986</v>
      </c>
      <c r="C194" s="3">
        <f>B194/7000000</f>
        <v>1.7712285714285715E-2</v>
      </c>
      <c r="D194" s="6">
        <f>VALUE(MID(W194,$X194+2,L194-(X194+2)))</f>
        <v>-320</v>
      </c>
      <c r="E194" s="6">
        <f>VALUE(MID($W194,L194+1,M194-(L194+1)))</f>
        <v>-778</v>
      </c>
      <c r="F194" s="6">
        <f>VALUE(MID($W194,M194+1,N194-(M194+1)))</f>
        <v>4403</v>
      </c>
      <c r="G194" s="6">
        <f>VALUE(MID($W194,N194+1,O194-(N194+1)))</f>
        <v>324</v>
      </c>
      <c r="H194" s="6">
        <f>VALUE(MID($W194,O194+1,P194-(O194+1)))</f>
        <v>1316</v>
      </c>
      <c r="I194" s="6">
        <f>VALUE(MID($W194,P194+1,Q194-(P194+1)))</f>
        <v>3170</v>
      </c>
      <c r="J194" s="6">
        <f>VALUE(MID($W194,Q194+1,R194-(Q194+1)))</f>
        <v>4743</v>
      </c>
      <c r="K194" s="4">
        <f>VALUE(MID(W194,R194+1,LEN(W194)-(R194)))</f>
        <v>4495</v>
      </c>
      <c r="L194" s="4">
        <f>SEARCH(",",W194,X194)</f>
        <v>15</v>
      </c>
      <c r="M194" s="4">
        <f>SEARCH(",",$W194,L194+1)</f>
        <v>21</v>
      </c>
      <c r="N194" s="4">
        <f>SEARCH(",",$W194,M194+1)</f>
        <v>27</v>
      </c>
      <c r="O194" s="4">
        <f>SEARCH(",",$W194,N194+1)</f>
        <v>32</v>
      </c>
      <c r="P194" s="4">
        <f>SEARCH(",",$W194,O194+1)</f>
        <v>38</v>
      </c>
      <c r="Q194" s="4">
        <f>SEARCH(",",$W194,P194+1)</f>
        <v>44</v>
      </c>
      <c r="R194" s="4">
        <f>SEARCH(",",$W194,Q194+1)</f>
        <v>50</v>
      </c>
      <c r="T194" t="s">
        <v>301</v>
      </c>
      <c r="U194">
        <f>SEARCH(":",T194)</f>
        <v>6</v>
      </c>
      <c r="V194" t="str">
        <f>MID(T194,U194+1,LEN(T194)-(U194))</f>
        <v xml:space="preserve"> 310010 ** -320, -778, 4403, 324, 1316, 3170, 4743, 4495</v>
      </c>
      <c r="W194" t="str">
        <f>TRIM(V194)</f>
        <v>310010 ** -320, -778, 4403, 324, 1316, 3170, 4743, 4495</v>
      </c>
      <c r="X194">
        <f>SEARCH("~*",W194)</f>
        <v>8</v>
      </c>
      <c r="Y194" t="str">
        <f>LEFT(W194,X194-1)</f>
        <v xml:space="preserve">310010 </v>
      </c>
      <c r="AA194" t="str">
        <f>CONCATENATE(A194,",",D194,",",E194,",",F194,",",G194,",",H194,",",I194,",",J194,",",K194)</f>
        <v>310010,-320,-778,4403,324,1316,3170,4743,4495</v>
      </c>
    </row>
    <row r="195" spans="1:27">
      <c r="A195" s="1">
        <f>IF(ISBLANK(T195),"",VALUE(Y195))</f>
        <v>309195</v>
      </c>
      <c r="B195" s="1">
        <f>A195*4/10 -18</f>
        <v>123660</v>
      </c>
      <c r="C195" s="3">
        <f>B195/7000000</f>
        <v>1.7665714285714285E-2</v>
      </c>
      <c r="D195" s="6">
        <f>VALUE(MID(W195,$X195+2,L195-(X195+2)))</f>
        <v>-320</v>
      </c>
      <c r="E195" s="6">
        <f>VALUE(MID($W195,L195+1,M195-(L195+1)))</f>
        <v>-778</v>
      </c>
      <c r="F195" s="6">
        <f>VALUE(MID($W195,M195+1,N195-(M195+1)))</f>
        <v>4403</v>
      </c>
      <c r="G195" s="6">
        <f>VALUE(MID($W195,N195+1,O195-(N195+1)))</f>
        <v>324</v>
      </c>
      <c r="H195" s="6">
        <f>VALUE(MID($W195,O195+1,P195-(O195+1)))</f>
        <v>1316</v>
      </c>
      <c r="I195" s="6">
        <f>VALUE(MID($W195,P195+1,Q195-(P195+1)))</f>
        <v>3170</v>
      </c>
      <c r="J195" s="6">
        <f>VALUE(MID($W195,Q195+1,R195-(Q195+1)))</f>
        <v>4743</v>
      </c>
      <c r="K195" s="4">
        <f>VALUE(MID(W195,R195+1,LEN(W195)-(R195)))</f>
        <v>4495</v>
      </c>
      <c r="L195" s="4">
        <f>SEARCH(",",W195,X195)</f>
        <v>15</v>
      </c>
      <c r="M195" s="4">
        <f>SEARCH(",",$W195,L195+1)</f>
        <v>21</v>
      </c>
      <c r="N195" s="4">
        <f>SEARCH(",",$W195,M195+1)</f>
        <v>27</v>
      </c>
      <c r="O195" s="4">
        <f>SEARCH(",",$W195,N195+1)</f>
        <v>32</v>
      </c>
      <c r="P195" s="4">
        <f>SEARCH(",",$W195,O195+1)</f>
        <v>38</v>
      </c>
      <c r="Q195" s="4">
        <f>SEARCH(",",$W195,P195+1)</f>
        <v>44</v>
      </c>
      <c r="R195" s="4">
        <f>SEARCH(",",$W195,Q195+1)</f>
        <v>50</v>
      </c>
      <c r="T195" t="s">
        <v>521</v>
      </c>
      <c r="U195">
        <f>SEARCH(":",T195)</f>
        <v>6</v>
      </c>
      <c r="V195" t="str">
        <f>MID(T195,U195+1,LEN(T195)-(U195))</f>
        <v xml:space="preserve"> 309195 ** -320, -778, 4403, 324, 1316, 3170, 4743, 4495</v>
      </c>
      <c r="W195" t="str">
        <f>TRIM(V195)</f>
        <v>309195 ** -320, -778, 4403, 324, 1316, 3170, 4743, 4495</v>
      </c>
      <c r="X195">
        <f>SEARCH("~*",W195)</f>
        <v>8</v>
      </c>
      <c r="Y195" t="str">
        <f>LEFT(W195,X195-1)</f>
        <v xml:space="preserve">309195 </v>
      </c>
      <c r="AA195" t="str">
        <f>CONCATENATE(A195,",",D195,",",E195,",",F195,",",G195,",",H195,",",I195,",",J195,",",K195)</f>
        <v>309195,-320,-778,4403,324,1316,3170,4743,4495</v>
      </c>
    </row>
    <row r="196" spans="1:27">
      <c r="A196" s="1">
        <f>IF(ISBLANK(T196),"",VALUE(Y196))</f>
        <v>308193</v>
      </c>
      <c r="B196" s="1">
        <f>A196*4/10 -18</f>
        <v>123259.2</v>
      </c>
      <c r="C196" s="3">
        <f>B196/7000000</f>
        <v>1.7608457142857144E-2</v>
      </c>
      <c r="D196" s="6">
        <f>VALUE(MID(W196,$X196+2,L196-(X196+2)))</f>
        <v>-320</v>
      </c>
      <c r="E196" s="6">
        <f>VALUE(MID($W196,L196+1,M196-(L196+1)))</f>
        <v>-778</v>
      </c>
      <c r="F196" s="6">
        <f>VALUE(MID($W196,M196+1,N196-(M196+1)))</f>
        <v>4403</v>
      </c>
      <c r="G196" s="6">
        <f>VALUE(MID($W196,N196+1,O196-(N196+1)))</f>
        <v>324</v>
      </c>
      <c r="H196" s="6">
        <f>VALUE(MID($W196,O196+1,P196-(O196+1)))</f>
        <v>1316</v>
      </c>
      <c r="I196" s="6">
        <f>VALUE(MID($W196,P196+1,Q196-(P196+1)))</f>
        <v>3170</v>
      </c>
      <c r="J196" s="6">
        <f>VALUE(MID($W196,Q196+1,R196-(Q196+1)))</f>
        <v>4743</v>
      </c>
      <c r="K196" s="4">
        <f>VALUE(MID(W196,R196+1,LEN(W196)-(R196)))</f>
        <v>4495</v>
      </c>
      <c r="L196" s="4">
        <f>SEARCH(",",W196,X196)</f>
        <v>15</v>
      </c>
      <c r="M196" s="4">
        <f>SEARCH(",",$W196,L196+1)</f>
        <v>21</v>
      </c>
      <c r="N196" s="4">
        <f>SEARCH(",",$W196,M196+1)</f>
        <v>27</v>
      </c>
      <c r="O196" s="4">
        <f>SEARCH(",",$W196,N196+1)</f>
        <v>32</v>
      </c>
      <c r="P196" s="4">
        <f>SEARCH(",",$W196,O196+1)</f>
        <v>38</v>
      </c>
      <c r="Q196" s="4">
        <f>SEARCH(",",$W196,P196+1)</f>
        <v>44</v>
      </c>
      <c r="R196" s="4">
        <f>SEARCH(",",$W196,Q196+1)</f>
        <v>50</v>
      </c>
      <c r="T196" t="s">
        <v>289</v>
      </c>
      <c r="U196">
        <f>SEARCH(":",T196)</f>
        <v>6</v>
      </c>
      <c r="V196" t="str">
        <f>MID(T196,U196+1,LEN(T196)-(U196))</f>
        <v xml:space="preserve"> 308193 ** -320, -778, 4403, 324, 1316, 3170, 4743, 4495</v>
      </c>
      <c r="W196" t="str">
        <f>TRIM(V196)</f>
        <v>308193 ** -320, -778, 4403, 324, 1316, 3170, 4743, 4495</v>
      </c>
      <c r="X196">
        <f>SEARCH("~*",W196)</f>
        <v>8</v>
      </c>
      <c r="Y196" t="str">
        <f>LEFT(W196,X196-1)</f>
        <v xml:space="preserve">308193 </v>
      </c>
      <c r="AA196" t="str">
        <f>CONCATENATE(A196,",",D196,",",E196,",",F196,",",G196,",",H196,",",I196,",",J196,",",K196)</f>
        <v>308193,-320,-778,4403,324,1316,3170,4743,4495</v>
      </c>
    </row>
    <row r="197" spans="1:27">
      <c r="A197" s="1">
        <f>IF(ISBLANK(T197),"",VALUE(Y197))</f>
        <v>306444</v>
      </c>
      <c r="B197" s="1">
        <f>A197*4/10 -18</f>
        <v>122559.6</v>
      </c>
      <c r="C197" s="3">
        <f>B197/7000000</f>
        <v>1.7508514285714285E-2</v>
      </c>
      <c r="D197" s="6">
        <f>VALUE(MID(W197,$X197+2,L197-(X197+2)))</f>
        <v>-320</v>
      </c>
      <c r="E197" s="6">
        <f>VALUE(MID($W197,L197+1,M197-(L197+1)))</f>
        <v>-778</v>
      </c>
      <c r="F197" s="6">
        <f>VALUE(MID($W197,M197+1,N197-(M197+1)))</f>
        <v>4403</v>
      </c>
      <c r="G197" s="6">
        <f>VALUE(MID($W197,N197+1,O197-(N197+1)))</f>
        <v>324</v>
      </c>
      <c r="H197" s="6">
        <f>VALUE(MID($W197,O197+1,P197-(O197+1)))</f>
        <v>1316</v>
      </c>
      <c r="I197" s="6">
        <f>VALUE(MID($W197,P197+1,Q197-(P197+1)))</f>
        <v>3170</v>
      </c>
      <c r="J197" s="6">
        <f>VALUE(MID($W197,Q197+1,R197-(Q197+1)))</f>
        <v>4743</v>
      </c>
      <c r="K197" s="4">
        <f>VALUE(MID(W197,R197+1,LEN(W197)-(R197)))</f>
        <v>4495</v>
      </c>
      <c r="L197" s="4">
        <f>SEARCH(",",W197,X197)</f>
        <v>15</v>
      </c>
      <c r="M197" s="4">
        <f>SEARCH(",",$W197,L197+1)</f>
        <v>21</v>
      </c>
      <c r="N197" s="4">
        <f>SEARCH(",",$W197,M197+1)</f>
        <v>27</v>
      </c>
      <c r="O197" s="4">
        <f>SEARCH(",",$W197,N197+1)</f>
        <v>32</v>
      </c>
      <c r="P197" s="4">
        <f>SEARCH(",",$W197,O197+1)</f>
        <v>38</v>
      </c>
      <c r="Q197" s="4">
        <f>SEARCH(",",$W197,P197+1)</f>
        <v>44</v>
      </c>
      <c r="R197" s="4">
        <f>SEARCH(",",$W197,Q197+1)</f>
        <v>50</v>
      </c>
      <c r="T197" t="s">
        <v>510</v>
      </c>
      <c r="U197">
        <f>SEARCH(":",T197)</f>
        <v>6</v>
      </c>
      <c r="V197" t="str">
        <f>MID(T197,U197+1,LEN(T197)-(U197))</f>
        <v xml:space="preserve"> 306444 ** -320, -778, 4403, 324, 1316, 3170, 4743, 4495</v>
      </c>
      <c r="W197" t="str">
        <f>TRIM(V197)</f>
        <v>306444 ** -320, -778, 4403, 324, 1316, 3170, 4743, 4495</v>
      </c>
      <c r="X197">
        <f>SEARCH("~*",W197)</f>
        <v>8</v>
      </c>
      <c r="Y197" t="str">
        <f>LEFT(W197,X197-1)</f>
        <v xml:space="preserve">306444 </v>
      </c>
      <c r="AA197" t="str">
        <f>CONCATENATE(A197,",",D197,",",E197,",",F197,",",G197,",",H197,",",I197,",",J197,",",K197)</f>
        <v>306444,-320,-778,4403,324,1316,3170,4743,4495</v>
      </c>
    </row>
    <row r="198" spans="1:27">
      <c r="A198" s="1">
        <f>IF(ISBLANK(T198),"",VALUE(Y198))</f>
        <v>305008</v>
      </c>
      <c r="B198" s="1">
        <f>A198*4/10 -18</f>
        <v>121985.2</v>
      </c>
      <c r="C198" s="3">
        <f>B198/7000000</f>
        <v>1.7426457142857142E-2</v>
      </c>
      <c r="D198" s="6">
        <f>VALUE(MID(W198,$X198+2,L198-(X198+2)))</f>
        <v>-320</v>
      </c>
      <c r="E198" s="6">
        <f>VALUE(MID($W198,L198+1,M198-(L198+1)))</f>
        <v>-778</v>
      </c>
      <c r="F198" s="6">
        <f>VALUE(MID($W198,M198+1,N198-(M198+1)))</f>
        <v>4403</v>
      </c>
      <c r="G198" s="6">
        <f>VALUE(MID($W198,N198+1,O198-(N198+1)))</f>
        <v>324</v>
      </c>
      <c r="H198" s="6">
        <f>VALUE(MID($W198,O198+1,P198-(O198+1)))</f>
        <v>1316</v>
      </c>
      <c r="I198" s="6">
        <f>VALUE(MID($W198,P198+1,Q198-(P198+1)))</f>
        <v>3170</v>
      </c>
      <c r="J198" s="6">
        <f>VALUE(MID($W198,Q198+1,R198-(Q198+1)))</f>
        <v>4743</v>
      </c>
      <c r="K198" s="4">
        <f>VALUE(MID(W198,R198+1,LEN(W198)-(R198)))</f>
        <v>4495</v>
      </c>
      <c r="L198" s="4">
        <f>SEARCH(",",W198,X198)</f>
        <v>15</v>
      </c>
      <c r="M198" s="4">
        <f>SEARCH(",",$W198,L198+1)</f>
        <v>21</v>
      </c>
      <c r="N198" s="4">
        <f>SEARCH(",",$W198,M198+1)</f>
        <v>27</v>
      </c>
      <c r="O198" s="4">
        <f>SEARCH(",",$W198,N198+1)</f>
        <v>32</v>
      </c>
      <c r="P198" s="4">
        <f>SEARCH(",",$W198,O198+1)</f>
        <v>38</v>
      </c>
      <c r="Q198" s="4">
        <f>SEARCH(",",$W198,P198+1)</f>
        <v>44</v>
      </c>
      <c r="R198" s="4">
        <f>SEARCH(",",$W198,Q198+1)</f>
        <v>50</v>
      </c>
      <c r="T198" t="s">
        <v>363</v>
      </c>
      <c r="U198">
        <f>SEARCH(":",T198)</f>
        <v>6</v>
      </c>
      <c r="V198" t="str">
        <f>MID(T198,U198+1,LEN(T198)-(U198))</f>
        <v xml:space="preserve"> 305008 ** -320, -778, 4403, 324, 1316, 3170, 4743, 4495</v>
      </c>
      <c r="W198" t="str">
        <f>TRIM(V198)</f>
        <v>305008 ** -320, -778, 4403, 324, 1316, 3170, 4743, 4495</v>
      </c>
      <c r="X198">
        <f>SEARCH("~*",W198)</f>
        <v>8</v>
      </c>
      <c r="Y198" t="str">
        <f>LEFT(W198,X198-1)</f>
        <v xml:space="preserve">305008 </v>
      </c>
      <c r="AA198" t="str">
        <f>CONCATENATE(A198,",",D198,",",E198,",",F198,",",G198,",",H198,",",I198,",",J198,",",K198)</f>
        <v>305008,-320,-778,4403,324,1316,3170,4743,4495</v>
      </c>
    </row>
    <row r="199" spans="1:27">
      <c r="A199" s="1">
        <f>IF(ISBLANK(T199),"",VALUE(Y199))</f>
        <v>299533</v>
      </c>
      <c r="B199" s="1">
        <f>A199*4/10 -18</f>
        <v>119795.2</v>
      </c>
      <c r="C199" s="3">
        <f>B199/7000000</f>
        <v>1.71136E-2</v>
      </c>
      <c r="D199" s="6">
        <f>VALUE(MID(W199,$X199+2,L199-(X199+2)))</f>
        <v>-320</v>
      </c>
      <c r="E199" s="6">
        <f>VALUE(MID($W199,L199+1,M199-(L199+1)))</f>
        <v>-778</v>
      </c>
      <c r="F199" s="6">
        <f>VALUE(MID($W199,M199+1,N199-(M199+1)))</f>
        <v>4403</v>
      </c>
      <c r="G199" s="6">
        <f>VALUE(MID($W199,N199+1,O199-(N199+1)))</f>
        <v>324</v>
      </c>
      <c r="H199" s="6">
        <f>VALUE(MID($W199,O199+1,P199-(O199+1)))</f>
        <v>1316</v>
      </c>
      <c r="I199" s="6">
        <f>VALUE(MID($W199,P199+1,Q199-(P199+1)))</f>
        <v>3170</v>
      </c>
      <c r="J199" s="6">
        <f>VALUE(MID($W199,Q199+1,R199-(Q199+1)))</f>
        <v>4743</v>
      </c>
      <c r="K199" s="4">
        <f>VALUE(MID(W199,R199+1,LEN(W199)-(R199)))</f>
        <v>4495</v>
      </c>
      <c r="L199" s="4">
        <f>SEARCH(",",W199,X199)</f>
        <v>15</v>
      </c>
      <c r="M199" s="4">
        <f>SEARCH(",",$W199,L199+1)</f>
        <v>21</v>
      </c>
      <c r="N199" s="4">
        <f>SEARCH(",",$W199,M199+1)</f>
        <v>27</v>
      </c>
      <c r="O199" s="4">
        <f>SEARCH(",",$W199,N199+1)</f>
        <v>32</v>
      </c>
      <c r="P199" s="4">
        <f>SEARCH(",",$W199,O199+1)</f>
        <v>38</v>
      </c>
      <c r="Q199" s="4">
        <f>SEARCH(",",$W199,P199+1)</f>
        <v>44</v>
      </c>
      <c r="R199" s="4">
        <f>SEARCH(",",$W199,Q199+1)</f>
        <v>50</v>
      </c>
      <c r="T199" t="s">
        <v>509</v>
      </c>
      <c r="U199">
        <f>SEARCH(":",T199)</f>
        <v>6</v>
      </c>
      <c r="V199" t="str">
        <f>MID(T199,U199+1,LEN(T199)-(U199))</f>
        <v xml:space="preserve"> 299533 ** -320, -778, 4403, 324, 1316, 3170, 4743, 4495</v>
      </c>
      <c r="W199" t="str">
        <f>TRIM(V199)</f>
        <v>299533 ** -320, -778, 4403, 324, 1316, 3170, 4743, 4495</v>
      </c>
      <c r="X199">
        <f>SEARCH("~*",W199)</f>
        <v>8</v>
      </c>
      <c r="Y199" t="str">
        <f>LEFT(W199,X199-1)</f>
        <v xml:space="preserve">299533 </v>
      </c>
      <c r="AA199" t="str">
        <f>CONCATENATE(A199,",",D199,",",E199,",",F199,",",G199,",",H199,",",I199,",",J199,",",K199)</f>
        <v>299533,-320,-778,4403,324,1316,3170,4743,4495</v>
      </c>
    </row>
    <row r="200" spans="1:27">
      <c r="A200" s="1">
        <f>IF(ISBLANK(T200),"",VALUE(Y200))</f>
        <v>297201</v>
      </c>
      <c r="B200" s="1">
        <f>A200*4/10 -18</f>
        <v>118862.39999999999</v>
      </c>
      <c r="C200" s="3">
        <f>B200/7000000</f>
        <v>1.6980342857142856E-2</v>
      </c>
      <c r="D200" s="6">
        <f>VALUE(MID(W200,$X200+2,L200-(X200+2)))</f>
        <v>-320</v>
      </c>
      <c r="E200" s="6">
        <f>VALUE(MID($W200,L200+1,M200-(L200+1)))</f>
        <v>-778</v>
      </c>
      <c r="F200" s="6">
        <f>VALUE(MID($W200,M200+1,N200-(M200+1)))</f>
        <v>4403</v>
      </c>
      <c r="G200" s="6">
        <f>VALUE(MID($W200,N200+1,O200-(N200+1)))</f>
        <v>324</v>
      </c>
      <c r="H200" s="6">
        <f>VALUE(MID($W200,O200+1,P200-(O200+1)))</f>
        <v>1316</v>
      </c>
      <c r="I200" s="6">
        <f>VALUE(MID($W200,P200+1,Q200-(P200+1)))</f>
        <v>3170</v>
      </c>
      <c r="J200" s="6">
        <f>VALUE(MID($W200,Q200+1,R200-(Q200+1)))</f>
        <v>4743</v>
      </c>
      <c r="K200" s="4">
        <f>VALUE(MID(W200,R200+1,LEN(W200)-(R200)))</f>
        <v>4495</v>
      </c>
      <c r="L200" s="4">
        <f>SEARCH(",",W200,X200)</f>
        <v>15</v>
      </c>
      <c r="M200" s="4">
        <f>SEARCH(",",$W200,L200+1)</f>
        <v>21</v>
      </c>
      <c r="N200" s="4">
        <f>SEARCH(",",$W200,M200+1)</f>
        <v>27</v>
      </c>
      <c r="O200" s="4">
        <f>SEARCH(",",$W200,N200+1)</f>
        <v>32</v>
      </c>
      <c r="P200" s="4">
        <f>SEARCH(",",$W200,O200+1)</f>
        <v>38</v>
      </c>
      <c r="Q200" s="4">
        <f>SEARCH(",",$W200,P200+1)</f>
        <v>44</v>
      </c>
      <c r="R200" s="4">
        <f>SEARCH(",",$W200,Q200+1)</f>
        <v>50</v>
      </c>
      <c r="T200" t="s">
        <v>308</v>
      </c>
      <c r="U200">
        <f>SEARCH(":",T200)</f>
        <v>6</v>
      </c>
      <c r="V200" t="str">
        <f>MID(T200,U200+1,LEN(T200)-(U200))</f>
        <v xml:space="preserve"> 297201 ** -320, -778, 4403, 324, 1316, 3170, 4743, 4495</v>
      </c>
      <c r="W200" t="str">
        <f>TRIM(V200)</f>
        <v>297201 ** -320, -778, 4403, 324, 1316, 3170, 4743, 4495</v>
      </c>
      <c r="X200">
        <f>SEARCH("~*",W200)</f>
        <v>8</v>
      </c>
      <c r="Y200" t="str">
        <f>LEFT(W200,X200-1)</f>
        <v xml:space="preserve">297201 </v>
      </c>
      <c r="AA200" t="str">
        <f>CONCATENATE(A200,",",D200,",",E200,",",F200,",",G200,",",H200,",",I200,",",J200,",",K200)</f>
        <v>297201,-320,-778,4403,324,1316,3170,4743,4495</v>
      </c>
    </row>
    <row r="201" spans="1:27">
      <c r="A201" s="1">
        <f>IF(ISBLANK(T201),"",VALUE(Y201))</f>
        <v>296157</v>
      </c>
      <c r="B201" s="1">
        <f>A201*4/10 -18</f>
        <v>118444.8</v>
      </c>
      <c r="C201" s="3">
        <f>B201/7000000</f>
        <v>1.6920685714285715E-2</v>
      </c>
      <c r="D201" s="6">
        <f>VALUE(MID(W201,$X201+2,L201-(X201+2)))</f>
        <v>-320</v>
      </c>
      <c r="E201" s="6">
        <f>VALUE(MID($W201,L201+1,M201-(L201+1)))</f>
        <v>-778</v>
      </c>
      <c r="F201" s="6">
        <f>VALUE(MID($W201,M201+1,N201-(M201+1)))</f>
        <v>4403</v>
      </c>
      <c r="G201" s="6">
        <f>VALUE(MID($W201,N201+1,O201-(N201+1)))</f>
        <v>324</v>
      </c>
      <c r="H201" s="6">
        <f>VALUE(MID($W201,O201+1,P201-(O201+1)))</f>
        <v>1316</v>
      </c>
      <c r="I201" s="6">
        <f>VALUE(MID($W201,P201+1,Q201-(P201+1)))</f>
        <v>3170</v>
      </c>
      <c r="J201" s="6">
        <f>VALUE(MID($W201,Q201+1,R201-(Q201+1)))</f>
        <v>4743</v>
      </c>
      <c r="K201" s="4">
        <f>VALUE(MID(W201,R201+1,LEN(W201)-(R201)))</f>
        <v>4495</v>
      </c>
      <c r="L201" s="4">
        <f>SEARCH(",",W201,X201)</f>
        <v>15</v>
      </c>
      <c r="M201" s="4">
        <f>SEARCH(",",$W201,L201+1)</f>
        <v>21</v>
      </c>
      <c r="N201" s="4">
        <f>SEARCH(",",$W201,M201+1)</f>
        <v>27</v>
      </c>
      <c r="O201" s="4">
        <f>SEARCH(",",$W201,N201+1)</f>
        <v>32</v>
      </c>
      <c r="P201" s="4">
        <f>SEARCH(",",$W201,O201+1)</f>
        <v>38</v>
      </c>
      <c r="Q201" s="4">
        <f>SEARCH(",",$W201,P201+1)</f>
        <v>44</v>
      </c>
      <c r="R201" s="4">
        <f>SEARCH(",",$W201,Q201+1)</f>
        <v>50</v>
      </c>
      <c r="T201" t="s">
        <v>511</v>
      </c>
      <c r="U201">
        <f>SEARCH(":",T201)</f>
        <v>6</v>
      </c>
      <c r="V201" t="str">
        <f>MID(T201,U201+1,LEN(T201)-(U201))</f>
        <v xml:space="preserve"> 296157 ** -320, -778, 4403, 324, 1316, 3170, 4743, 4495</v>
      </c>
      <c r="W201" t="str">
        <f>TRIM(V201)</f>
        <v>296157 ** -320, -778, 4403, 324, 1316, 3170, 4743, 4495</v>
      </c>
      <c r="X201">
        <f>SEARCH("~*",W201)</f>
        <v>8</v>
      </c>
      <c r="Y201" t="str">
        <f>LEFT(W201,X201-1)</f>
        <v xml:space="preserve">296157 </v>
      </c>
      <c r="AA201" t="str">
        <f>CONCATENATE(A201,",",D201,",",E201,",",F201,",",G201,",",H201,",",I201,",",J201,",",K201)</f>
        <v>296157,-320,-778,4403,324,1316,3170,4743,4495</v>
      </c>
    </row>
    <row r="202" spans="1:27">
      <c r="A202" s="1">
        <f>IF(ISBLANK(T202),"",VALUE(Y202))</f>
        <v>289127</v>
      </c>
      <c r="B202" s="1">
        <f>A202*4/10 -18</f>
        <v>115632.8</v>
      </c>
      <c r="C202" s="3">
        <f>B202/7000000</f>
        <v>1.6518971428571429E-2</v>
      </c>
      <c r="D202" s="6">
        <f>VALUE(MID(W202,$X202+2,L202-(X202+2)))</f>
        <v>-320</v>
      </c>
      <c r="E202" s="6">
        <f>VALUE(MID($W202,L202+1,M202-(L202+1)))</f>
        <v>-778</v>
      </c>
      <c r="F202" s="6">
        <f>VALUE(MID($W202,M202+1,N202-(M202+1)))</f>
        <v>4403</v>
      </c>
      <c r="G202" s="6">
        <f>VALUE(MID($W202,N202+1,O202-(N202+1)))</f>
        <v>324</v>
      </c>
      <c r="H202" s="6">
        <f>VALUE(MID($W202,O202+1,P202-(O202+1)))</f>
        <v>1316</v>
      </c>
      <c r="I202" s="6">
        <f>VALUE(MID($W202,P202+1,Q202-(P202+1)))</f>
        <v>3170</v>
      </c>
      <c r="J202" s="6">
        <f>VALUE(MID($W202,Q202+1,R202-(Q202+1)))</f>
        <v>4743</v>
      </c>
      <c r="K202" s="4">
        <f>VALUE(MID(W202,R202+1,LEN(W202)-(R202)))</f>
        <v>4495</v>
      </c>
      <c r="L202" s="4">
        <f>SEARCH(",",W202,X202)</f>
        <v>15</v>
      </c>
      <c r="M202" s="4">
        <f>SEARCH(",",$W202,L202+1)</f>
        <v>21</v>
      </c>
      <c r="N202" s="4">
        <f>SEARCH(",",$W202,M202+1)</f>
        <v>27</v>
      </c>
      <c r="O202" s="4">
        <f>SEARCH(",",$W202,N202+1)</f>
        <v>32</v>
      </c>
      <c r="P202" s="4">
        <f>SEARCH(",",$W202,O202+1)</f>
        <v>38</v>
      </c>
      <c r="Q202" s="4">
        <f>SEARCH(",",$W202,P202+1)</f>
        <v>44</v>
      </c>
      <c r="R202" s="4">
        <f>SEARCH(",",$W202,Q202+1)</f>
        <v>50</v>
      </c>
      <c r="T202" t="s">
        <v>358</v>
      </c>
      <c r="U202">
        <f>SEARCH(":",T202)</f>
        <v>6</v>
      </c>
      <c r="V202" t="str">
        <f>MID(T202,U202+1,LEN(T202)-(U202))</f>
        <v xml:space="preserve"> 289127 ** -320, -778, 4403, 324, 1316, 3170, 4743, 4495</v>
      </c>
      <c r="W202" t="str">
        <f>TRIM(V202)</f>
        <v>289127 ** -320, -778, 4403, 324, 1316, 3170, 4743, 4495</v>
      </c>
      <c r="X202">
        <f>SEARCH("~*",W202)</f>
        <v>8</v>
      </c>
      <c r="Y202" t="str">
        <f>LEFT(W202,X202-1)</f>
        <v xml:space="preserve">289127 </v>
      </c>
      <c r="AA202" t="str">
        <f>CONCATENATE(A202,",",D202,",",E202,",",F202,",",G202,",",H202,",",I202,",",J202,",",K202)</f>
        <v>289127,-320,-778,4403,324,1316,3170,4743,4495</v>
      </c>
    </row>
    <row r="203" spans="1:27">
      <c r="A203" s="1">
        <f>IF(ISBLANK(T203),"",VALUE(Y203))</f>
        <v>286798</v>
      </c>
      <c r="B203" s="1">
        <f>A203*4/10 -18</f>
        <v>114701.2</v>
      </c>
      <c r="C203" s="3">
        <f>B203/7000000</f>
        <v>1.6385885714285713E-2</v>
      </c>
      <c r="D203" s="6">
        <f>VALUE(MID(W203,$X203+2,L203-(X203+2)))</f>
        <v>-320</v>
      </c>
      <c r="E203" s="6">
        <f>VALUE(MID($W203,L203+1,M203-(L203+1)))</f>
        <v>-778</v>
      </c>
      <c r="F203" s="6">
        <f>VALUE(MID($W203,M203+1,N203-(M203+1)))</f>
        <v>4403</v>
      </c>
      <c r="G203" s="6">
        <f>VALUE(MID($W203,N203+1,O203-(N203+1)))</f>
        <v>324</v>
      </c>
      <c r="H203" s="6">
        <f>VALUE(MID($W203,O203+1,P203-(O203+1)))</f>
        <v>1316</v>
      </c>
      <c r="I203" s="6">
        <f>VALUE(MID($W203,P203+1,Q203-(P203+1)))</f>
        <v>3170</v>
      </c>
      <c r="J203" s="6">
        <f>VALUE(MID($W203,Q203+1,R203-(Q203+1)))</f>
        <v>4743</v>
      </c>
      <c r="K203" s="4">
        <f>VALUE(MID(W203,R203+1,LEN(W203)-(R203)))</f>
        <v>4495</v>
      </c>
      <c r="L203" s="4">
        <f>SEARCH(",",W203,X203)</f>
        <v>15</v>
      </c>
      <c r="M203" s="4">
        <f>SEARCH(",",$W203,L203+1)</f>
        <v>21</v>
      </c>
      <c r="N203" s="4">
        <f>SEARCH(",",$W203,M203+1)</f>
        <v>27</v>
      </c>
      <c r="O203" s="4">
        <f>SEARCH(",",$W203,N203+1)</f>
        <v>32</v>
      </c>
      <c r="P203" s="4">
        <f>SEARCH(",",$W203,O203+1)</f>
        <v>38</v>
      </c>
      <c r="Q203" s="4">
        <f>SEARCH(",",$W203,P203+1)</f>
        <v>44</v>
      </c>
      <c r="R203" s="4">
        <f>SEARCH(",",$W203,Q203+1)</f>
        <v>50</v>
      </c>
      <c r="T203" t="s">
        <v>300</v>
      </c>
      <c r="U203">
        <f>SEARCH(":",T203)</f>
        <v>6</v>
      </c>
      <c r="V203" t="str">
        <f>MID(T203,U203+1,LEN(T203)-(U203))</f>
        <v xml:space="preserve"> 286798 ** -320, -778, 4403, 324, 1316, 3170, 4743, 4495</v>
      </c>
      <c r="W203" t="str">
        <f>TRIM(V203)</f>
        <v>286798 ** -320, -778, 4403, 324, 1316, 3170, 4743, 4495</v>
      </c>
      <c r="X203">
        <f>SEARCH("~*",W203)</f>
        <v>8</v>
      </c>
      <c r="Y203" t="str">
        <f>LEFT(W203,X203-1)</f>
        <v xml:space="preserve">286798 </v>
      </c>
      <c r="AA203" t="str">
        <f>CONCATENATE(A203,",",D203,",",E203,",",F203,",",G203,",",H203,",",I203,",",J203,",",K203)</f>
        <v>286798,-320,-778,4403,324,1316,3170,4743,4495</v>
      </c>
    </row>
    <row r="204" spans="1:27">
      <c r="A204" s="1">
        <f>IF(ISBLANK(T204),"",VALUE(Y204))</f>
        <v>285582</v>
      </c>
      <c r="B204" s="1">
        <f>A204*4/10 -18</f>
        <v>114214.8</v>
      </c>
      <c r="C204" s="3">
        <f>B204/7000000</f>
        <v>1.6316400000000002E-2</v>
      </c>
      <c r="D204" s="6">
        <f>VALUE(MID(W204,$X204+2,L204-(X204+2)))</f>
        <v>-320</v>
      </c>
      <c r="E204" s="6">
        <f>VALUE(MID($W204,L204+1,M204-(L204+1)))</f>
        <v>-778</v>
      </c>
      <c r="F204" s="6">
        <f>VALUE(MID($W204,M204+1,N204-(M204+1)))</f>
        <v>4403</v>
      </c>
      <c r="G204" s="6">
        <f>VALUE(MID($W204,N204+1,O204-(N204+1)))</f>
        <v>324</v>
      </c>
      <c r="H204" s="6">
        <f>VALUE(MID($W204,O204+1,P204-(O204+1)))</f>
        <v>1316</v>
      </c>
      <c r="I204" s="6">
        <f>VALUE(MID($W204,P204+1,Q204-(P204+1)))</f>
        <v>3170</v>
      </c>
      <c r="J204" s="6">
        <f>VALUE(MID($W204,Q204+1,R204-(Q204+1)))</f>
        <v>4743</v>
      </c>
      <c r="K204" s="4">
        <f>VALUE(MID(W204,R204+1,LEN(W204)-(R204)))</f>
        <v>4495</v>
      </c>
      <c r="L204" s="4">
        <f>SEARCH(",",W204,X204)</f>
        <v>15</v>
      </c>
      <c r="M204" s="4">
        <f>SEARCH(",",$W204,L204+1)</f>
        <v>21</v>
      </c>
      <c r="N204" s="4">
        <f>SEARCH(",",$W204,M204+1)</f>
        <v>27</v>
      </c>
      <c r="O204" s="4">
        <f>SEARCH(",",$W204,N204+1)</f>
        <v>32</v>
      </c>
      <c r="P204" s="4">
        <f>SEARCH(",",$W204,O204+1)</f>
        <v>38</v>
      </c>
      <c r="Q204" s="4">
        <f>SEARCH(",",$W204,P204+1)</f>
        <v>44</v>
      </c>
      <c r="R204" s="4">
        <f>SEARCH(",",$W204,Q204+1)</f>
        <v>50</v>
      </c>
      <c r="T204" t="s">
        <v>366</v>
      </c>
      <c r="U204">
        <f>SEARCH(":",T204)</f>
        <v>6</v>
      </c>
      <c r="V204" t="str">
        <f>MID(T204,U204+1,LEN(T204)-(U204))</f>
        <v xml:space="preserve"> 285582 ** -320, -778, 4403, 324, 1316, 3170, 4743, 4495</v>
      </c>
      <c r="W204" t="str">
        <f>TRIM(V204)</f>
        <v>285582 ** -320, -778, 4403, 324, 1316, 3170, 4743, 4495</v>
      </c>
      <c r="X204">
        <f>SEARCH("~*",W204)</f>
        <v>8</v>
      </c>
      <c r="Y204" t="str">
        <f>LEFT(W204,X204-1)</f>
        <v xml:space="preserve">285582 </v>
      </c>
      <c r="AA204" t="str">
        <f>CONCATENATE(A204,",",D204,",",E204,",",F204,",",G204,",",H204,",",I204,",",J204,",",K204)</f>
        <v>285582,-320,-778,4403,324,1316,3170,4743,4495</v>
      </c>
    </row>
    <row r="205" spans="1:27">
      <c r="A205" s="1">
        <f>IF(ISBLANK(T205),"",VALUE(Y205))</f>
        <v>282278</v>
      </c>
      <c r="B205" s="1">
        <f>A205*4/10 -18</f>
        <v>112893.2</v>
      </c>
      <c r="C205" s="3">
        <f>B205/7000000</f>
        <v>1.6127599999999999E-2</v>
      </c>
      <c r="D205" s="6">
        <f>VALUE(MID(W205,$X205+2,L205-(X205+2)))</f>
        <v>-320</v>
      </c>
      <c r="E205" s="6">
        <f>VALUE(MID($W205,L205+1,M205-(L205+1)))</f>
        <v>-778</v>
      </c>
      <c r="F205" s="6">
        <f>VALUE(MID($W205,M205+1,N205-(M205+1)))</f>
        <v>4403</v>
      </c>
      <c r="G205" s="6">
        <f>VALUE(MID($W205,N205+1,O205-(N205+1)))</f>
        <v>324</v>
      </c>
      <c r="H205" s="6">
        <f>VALUE(MID($W205,O205+1,P205-(O205+1)))</f>
        <v>1316</v>
      </c>
      <c r="I205" s="6">
        <f>VALUE(MID($W205,P205+1,Q205-(P205+1)))</f>
        <v>3170</v>
      </c>
      <c r="J205" s="6">
        <f>VALUE(MID($W205,Q205+1,R205-(Q205+1)))</f>
        <v>4743</v>
      </c>
      <c r="K205" s="4">
        <f>VALUE(MID(W205,R205+1,LEN(W205)-(R205)))</f>
        <v>4495</v>
      </c>
      <c r="L205" s="4">
        <f>SEARCH(",",W205,X205)</f>
        <v>15</v>
      </c>
      <c r="M205" s="4">
        <f>SEARCH(",",$W205,L205+1)</f>
        <v>21</v>
      </c>
      <c r="N205" s="4">
        <f>SEARCH(",",$W205,M205+1)</f>
        <v>27</v>
      </c>
      <c r="O205" s="4">
        <f>SEARCH(",",$W205,N205+1)</f>
        <v>32</v>
      </c>
      <c r="P205" s="4">
        <f>SEARCH(",",$W205,O205+1)</f>
        <v>38</v>
      </c>
      <c r="Q205" s="4">
        <f>SEARCH(",",$W205,P205+1)</f>
        <v>44</v>
      </c>
      <c r="R205" s="4">
        <f>SEARCH(",",$W205,Q205+1)</f>
        <v>50</v>
      </c>
      <c r="T205" t="s">
        <v>537</v>
      </c>
      <c r="U205">
        <f>SEARCH(":",T205)</f>
        <v>6</v>
      </c>
      <c r="V205" t="str">
        <f>MID(T205,U205+1,LEN(T205)-(U205))</f>
        <v xml:space="preserve"> 282278 ** -320, -778, 4403, 324, 1316, 3170, 4743, 4495</v>
      </c>
      <c r="W205" t="str">
        <f>TRIM(V205)</f>
        <v>282278 ** -320, -778, 4403, 324, 1316, 3170, 4743, 4495</v>
      </c>
      <c r="X205">
        <f>SEARCH("~*",W205)</f>
        <v>8</v>
      </c>
      <c r="Y205" t="str">
        <f>LEFT(W205,X205-1)</f>
        <v xml:space="preserve">282278 </v>
      </c>
      <c r="AA205" t="str">
        <f>CONCATENATE(A205,",",D205,",",E205,",",F205,",",G205,",",H205,",",I205,",",J205,",",K205)</f>
        <v>282278,-320,-778,4403,324,1316,3170,4743,4495</v>
      </c>
    </row>
    <row r="206" spans="1:27">
      <c r="A206" s="1">
        <f>IF(ISBLANK(T206),"",VALUE(Y206))</f>
        <v>279671</v>
      </c>
      <c r="B206" s="1">
        <f>A206*4/10 -18</f>
        <v>111850.4</v>
      </c>
      <c r="C206" s="3">
        <f>B206/7000000</f>
        <v>1.5978628571428569E-2</v>
      </c>
      <c r="D206" s="6">
        <f>VALUE(MID(W206,$X206+2,L206-(X206+2)))</f>
        <v>-320</v>
      </c>
      <c r="E206" s="6">
        <f>VALUE(MID($W206,L206+1,M206-(L206+1)))</f>
        <v>-778</v>
      </c>
      <c r="F206" s="6">
        <f>VALUE(MID($W206,M206+1,N206-(M206+1)))</f>
        <v>4403</v>
      </c>
      <c r="G206" s="6">
        <f>VALUE(MID($W206,N206+1,O206-(N206+1)))</f>
        <v>324</v>
      </c>
      <c r="H206" s="6">
        <f>VALUE(MID($W206,O206+1,P206-(O206+1)))</f>
        <v>1316</v>
      </c>
      <c r="I206" s="6">
        <f>VALUE(MID($W206,P206+1,Q206-(P206+1)))</f>
        <v>3170</v>
      </c>
      <c r="J206" s="6">
        <f>VALUE(MID($W206,Q206+1,R206-(Q206+1)))</f>
        <v>4743</v>
      </c>
      <c r="K206" s="4">
        <f>VALUE(MID(W206,R206+1,LEN(W206)-(R206)))</f>
        <v>4495</v>
      </c>
      <c r="L206" s="4">
        <f>SEARCH(",",W206,X206)</f>
        <v>15</v>
      </c>
      <c r="M206" s="4">
        <f>SEARCH(",",$W206,L206+1)</f>
        <v>21</v>
      </c>
      <c r="N206" s="4">
        <f>SEARCH(",",$W206,M206+1)</f>
        <v>27</v>
      </c>
      <c r="O206" s="4">
        <f>SEARCH(",",$W206,N206+1)</f>
        <v>32</v>
      </c>
      <c r="P206" s="4">
        <f>SEARCH(",",$W206,O206+1)</f>
        <v>38</v>
      </c>
      <c r="Q206" s="4">
        <f>SEARCH(",",$W206,P206+1)</f>
        <v>44</v>
      </c>
      <c r="R206" s="4">
        <f>SEARCH(",",$W206,Q206+1)</f>
        <v>50</v>
      </c>
      <c r="T206" t="s">
        <v>517</v>
      </c>
      <c r="U206">
        <f>SEARCH(":",T206)</f>
        <v>6</v>
      </c>
      <c r="V206" t="str">
        <f>MID(T206,U206+1,LEN(T206)-(U206))</f>
        <v xml:space="preserve"> 279671 ** -320, -778, 4403, 324, 1316, 3170, 4743, 4495</v>
      </c>
      <c r="W206" t="str">
        <f>TRIM(V206)</f>
        <v>279671 ** -320, -778, 4403, 324, 1316, 3170, 4743, 4495</v>
      </c>
      <c r="X206">
        <f>SEARCH("~*",W206)</f>
        <v>8</v>
      </c>
      <c r="Y206" t="str">
        <f>LEFT(W206,X206-1)</f>
        <v xml:space="preserve">279671 </v>
      </c>
      <c r="AA206" t="str">
        <f>CONCATENATE(A206,",",D206,",",E206,",",F206,",",G206,",",H206,",",I206,",",J206,",",K206)</f>
        <v>279671,-320,-778,4403,324,1316,3170,4743,4495</v>
      </c>
    </row>
    <row r="207" spans="1:27">
      <c r="A207" s="1">
        <f>IF(ISBLANK(T207),"",VALUE(Y207))</f>
        <v>278429</v>
      </c>
      <c r="B207" s="1">
        <f>A207*4/10 -18</f>
        <v>111353.60000000001</v>
      </c>
      <c r="C207" s="3">
        <f>B207/7000000</f>
        <v>1.5907657142857145E-2</v>
      </c>
      <c r="D207" s="6">
        <f>VALUE(MID(W207,$X207+2,L207-(X207+2)))</f>
        <v>-320</v>
      </c>
      <c r="E207" s="6">
        <f>VALUE(MID($W207,L207+1,M207-(L207+1)))</f>
        <v>-778</v>
      </c>
      <c r="F207" s="6">
        <f>VALUE(MID($W207,M207+1,N207-(M207+1)))</f>
        <v>4403</v>
      </c>
      <c r="G207" s="6">
        <f>VALUE(MID($W207,N207+1,O207-(N207+1)))</f>
        <v>324</v>
      </c>
      <c r="H207" s="6">
        <f>VALUE(MID($W207,O207+1,P207-(O207+1)))</f>
        <v>1316</v>
      </c>
      <c r="I207" s="6">
        <f>VALUE(MID($W207,P207+1,Q207-(P207+1)))</f>
        <v>3170</v>
      </c>
      <c r="J207" s="6">
        <f>VALUE(MID($W207,Q207+1,R207-(Q207+1)))</f>
        <v>4743</v>
      </c>
      <c r="K207" s="4">
        <f>VALUE(MID(W207,R207+1,LEN(W207)-(R207)))</f>
        <v>4495</v>
      </c>
      <c r="L207" s="4">
        <f>SEARCH(",",W207,X207)</f>
        <v>15</v>
      </c>
      <c r="M207" s="4">
        <f>SEARCH(",",$W207,L207+1)</f>
        <v>21</v>
      </c>
      <c r="N207" s="4">
        <f>SEARCH(",",$W207,M207+1)</f>
        <v>27</v>
      </c>
      <c r="O207" s="4">
        <f>SEARCH(",",$W207,N207+1)</f>
        <v>32</v>
      </c>
      <c r="P207" s="4">
        <f>SEARCH(",",$W207,O207+1)</f>
        <v>38</v>
      </c>
      <c r="Q207" s="4">
        <f>SEARCH(",",$W207,P207+1)</f>
        <v>44</v>
      </c>
      <c r="R207" s="4">
        <f>SEARCH(",",$W207,Q207+1)</f>
        <v>50</v>
      </c>
      <c r="T207" t="s">
        <v>530</v>
      </c>
      <c r="U207">
        <f>SEARCH(":",T207)</f>
        <v>6</v>
      </c>
      <c r="V207" t="str">
        <f>MID(T207,U207+1,LEN(T207)-(U207))</f>
        <v xml:space="preserve"> 278429 ** -320, -778, 4403, 324, 1316, 3170, 4743, 4495</v>
      </c>
      <c r="W207" t="str">
        <f>TRIM(V207)</f>
        <v>278429 ** -320, -778, 4403, 324, 1316, 3170, 4743, 4495</v>
      </c>
      <c r="X207">
        <f>SEARCH("~*",W207)</f>
        <v>8</v>
      </c>
      <c r="Y207" t="str">
        <f>LEFT(W207,X207-1)</f>
        <v xml:space="preserve">278429 </v>
      </c>
      <c r="AA207" t="str">
        <f>CONCATENATE(A207,",",D207,",",E207,",",F207,",",G207,",",H207,",",I207,",",J207,",",K207)</f>
        <v>278429,-320,-778,4403,324,1316,3170,4743,4495</v>
      </c>
    </row>
    <row r="208" spans="1:27">
      <c r="A208" s="1">
        <f>IF(ISBLANK(T208),"",VALUE(Y208))</f>
        <v>278236</v>
      </c>
      <c r="B208" s="1">
        <f>A208*4/10 -18</f>
        <v>111276.4</v>
      </c>
      <c r="C208" s="3">
        <f>B208/7000000</f>
        <v>1.5896628571428571E-2</v>
      </c>
      <c r="D208" s="6">
        <f>VALUE(MID(W208,$X208+2,L208-(X208+2)))</f>
        <v>-320</v>
      </c>
      <c r="E208" s="6">
        <f>VALUE(MID($W208,L208+1,M208-(L208+1)))</f>
        <v>-778</v>
      </c>
      <c r="F208" s="6">
        <f>VALUE(MID($W208,M208+1,N208-(M208+1)))</f>
        <v>4403</v>
      </c>
      <c r="G208" s="6">
        <f>VALUE(MID($W208,N208+1,O208-(N208+1)))</f>
        <v>324</v>
      </c>
      <c r="H208" s="6">
        <f>VALUE(MID($W208,O208+1,P208-(O208+1)))</f>
        <v>1316</v>
      </c>
      <c r="I208" s="6">
        <f>VALUE(MID($W208,P208+1,Q208-(P208+1)))</f>
        <v>3170</v>
      </c>
      <c r="J208" s="6">
        <f>VALUE(MID($W208,Q208+1,R208-(Q208+1)))</f>
        <v>4743</v>
      </c>
      <c r="K208" s="4">
        <f>VALUE(MID(W208,R208+1,LEN(W208)-(R208)))</f>
        <v>4495</v>
      </c>
      <c r="L208" s="4">
        <f>SEARCH(",",W208,X208)</f>
        <v>15</v>
      </c>
      <c r="M208" s="4">
        <f>SEARCH(",",$W208,L208+1)</f>
        <v>21</v>
      </c>
      <c r="N208" s="4">
        <f>SEARCH(",",$W208,M208+1)</f>
        <v>27</v>
      </c>
      <c r="O208" s="4">
        <f>SEARCH(",",$W208,N208+1)</f>
        <v>32</v>
      </c>
      <c r="P208" s="4">
        <f>SEARCH(",",$W208,O208+1)</f>
        <v>38</v>
      </c>
      <c r="Q208" s="4">
        <f>SEARCH(",",$W208,P208+1)</f>
        <v>44</v>
      </c>
      <c r="R208" s="4">
        <f>SEARCH(",",$W208,Q208+1)</f>
        <v>50</v>
      </c>
      <c r="T208" t="s">
        <v>299</v>
      </c>
      <c r="U208">
        <f>SEARCH(":",T208)</f>
        <v>6</v>
      </c>
      <c r="V208" t="str">
        <f>MID(T208,U208+1,LEN(T208)-(U208))</f>
        <v xml:space="preserve"> 278236 ** -320, -778, 4403, 324, 1316, 3170, 4743, 4495</v>
      </c>
      <c r="W208" t="str">
        <f>TRIM(V208)</f>
        <v>278236 ** -320, -778, 4403, 324, 1316, 3170, 4743, 4495</v>
      </c>
      <c r="X208">
        <f>SEARCH("~*",W208)</f>
        <v>8</v>
      </c>
      <c r="Y208" t="str">
        <f>LEFT(W208,X208-1)</f>
        <v xml:space="preserve">278236 </v>
      </c>
      <c r="AA208" t="str">
        <f>CONCATENATE(A208,",",D208,",",E208,",",F208,",",G208,",",H208,",",I208,",",J208,",",K208)</f>
        <v>278236,-320,-778,4403,324,1316,3170,4743,4495</v>
      </c>
    </row>
    <row r="209" spans="1:27">
      <c r="A209" s="1">
        <f>IF(ISBLANK(T209),"",VALUE(Y209))</f>
        <v>270804</v>
      </c>
      <c r="B209" s="1">
        <f>A209*4/10 -18</f>
        <v>108303.6</v>
      </c>
      <c r="C209" s="3">
        <f>B209/7000000</f>
        <v>1.5471942857142857E-2</v>
      </c>
      <c r="D209" s="6">
        <f>VALUE(MID(W209,$X209+2,L209-(X209+2)))</f>
        <v>-320</v>
      </c>
      <c r="E209" s="6">
        <f>VALUE(MID($W209,L209+1,M209-(L209+1)))</f>
        <v>-778</v>
      </c>
      <c r="F209" s="6">
        <f>VALUE(MID($W209,M209+1,N209-(M209+1)))</f>
        <v>4403</v>
      </c>
      <c r="G209" s="6">
        <f>VALUE(MID($W209,N209+1,O209-(N209+1)))</f>
        <v>324</v>
      </c>
      <c r="H209" s="6">
        <f>VALUE(MID($W209,O209+1,P209-(O209+1)))</f>
        <v>1316</v>
      </c>
      <c r="I209" s="6">
        <f>VALUE(MID($W209,P209+1,Q209-(P209+1)))</f>
        <v>3170</v>
      </c>
      <c r="J209" s="6">
        <f>VALUE(MID($W209,Q209+1,R209-(Q209+1)))</f>
        <v>4743</v>
      </c>
      <c r="K209" s="4">
        <f>VALUE(MID(W209,R209+1,LEN(W209)-(R209)))</f>
        <v>4495</v>
      </c>
      <c r="L209" s="4">
        <f>SEARCH(",",W209,X209)</f>
        <v>15</v>
      </c>
      <c r="M209" s="4">
        <f>SEARCH(",",$W209,L209+1)</f>
        <v>21</v>
      </c>
      <c r="N209" s="4">
        <f>SEARCH(",",$W209,M209+1)</f>
        <v>27</v>
      </c>
      <c r="O209" s="4">
        <f>SEARCH(",",$W209,N209+1)</f>
        <v>32</v>
      </c>
      <c r="P209" s="4">
        <f>SEARCH(",",$W209,O209+1)</f>
        <v>38</v>
      </c>
      <c r="Q209" s="4">
        <f>SEARCH(",",$W209,P209+1)</f>
        <v>44</v>
      </c>
      <c r="R209" s="4">
        <f>SEARCH(",",$W209,Q209+1)</f>
        <v>50</v>
      </c>
      <c r="T209" t="s">
        <v>329</v>
      </c>
      <c r="U209">
        <f>SEARCH(":",T209)</f>
        <v>6</v>
      </c>
      <c r="V209" t="str">
        <f>MID(T209,U209+1,LEN(T209)-(U209))</f>
        <v xml:space="preserve"> 270804 ** -320, -778, 4403, 324, 1316, 3170, 4743, 4495</v>
      </c>
      <c r="W209" t="str">
        <f>TRIM(V209)</f>
        <v>270804 ** -320, -778, 4403, 324, 1316, 3170, 4743, 4495</v>
      </c>
      <c r="X209">
        <f>SEARCH("~*",W209)</f>
        <v>8</v>
      </c>
      <c r="Y209" t="str">
        <f>LEFT(W209,X209-1)</f>
        <v xml:space="preserve">270804 </v>
      </c>
      <c r="AA209" t="str">
        <f>CONCATENATE(A209,",",D209,",",E209,",",F209,",",G209,",",H209,",",I209,",",J209,",",K209)</f>
        <v>270804,-320,-778,4403,324,1316,3170,4743,4495</v>
      </c>
    </row>
    <row r="210" spans="1:27">
      <c r="A210" s="1">
        <f>IF(ISBLANK(T210),"",VALUE(Y210))</f>
        <v>261135</v>
      </c>
      <c r="B210" s="1">
        <f>A210*4/10 -18</f>
        <v>104436</v>
      </c>
      <c r="C210" s="3">
        <f>B210/7000000</f>
        <v>1.4919428571428571E-2</v>
      </c>
      <c r="D210" s="6">
        <f>VALUE(MID(W210,$X210+2,L210-(X210+2)))</f>
        <v>-320</v>
      </c>
      <c r="E210" s="6">
        <f>VALUE(MID($W210,L210+1,M210-(L210+1)))</f>
        <v>-778</v>
      </c>
      <c r="F210" s="6">
        <f>VALUE(MID($W210,M210+1,N210-(M210+1)))</f>
        <v>4403</v>
      </c>
      <c r="G210" s="6">
        <f>VALUE(MID($W210,N210+1,O210-(N210+1)))</f>
        <v>324</v>
      </c>
      <c r="H210" s="6">
        <f>VALUE(MID($W210,O210+1,P210-(O210+1)))</f>
        <v>1316</v>
      </c>
      <c r="I210" s="6">
        <f>VALUE(MID($W210,P210+1,Q210-(P210+1)))</f>
        <v>3170</v>
      </c>
      <c r="J210" s="6">
        <f>VALUE(MID($W210,Q210+1,R210-(Q210+1)))</f>
        <v>4743</v>
      </c>
      <c r="K210" s="4">
        <f>VALUE(MID(W210,R210+1,LEN(W210)-(R210)))</f>
        <v>4495</v>
      </c>
      <c r="L210" s="4">
        <f>SEARCH(",",W210,X210)</f>
        <v>15</v>
      </c>
      <c r="M210" s="4">
        <f>SEARCH(",",$W210,L210+1)</f>
        <v>21</v>
      </c>
      <c r="N210" s="4">
        <f>SEARCH(",",$W210,M210+1)</f>
        <v>27</v>
      </c>
      <c r="O210" s="4">
        <f>SEARCH(",",$W210,N210+1)</f>
        <v>32</v>
      </c>
      <c r="P210" s="4">
        <f>SEARCH(",",$W210,O210+1)</f>
        <v>38</v>
      </c>
      <c r="Q210" s="4">
        <f>SEARCH(",",$W210,P210+1)</f>
        <v>44</v>
      </c>
      <c r="R210" s="4">
        <f>SEARCH(",",$W210,Q210+1)</f>
        <v>50</v>
      </c>
      <c r="T210" t="s">
        <v>554</v>
      </c>
      <c r="U210">
        <f>SEARCH(":",T210)</f>
        <v>6</v>
      </c>
      <c r="V210" t="str">
        <f>MID(T210,U210+1,LEN(T210)-(U210))</f>
        <v xml:space="preserve"> 261135 ** -320, -778, 4403, 324, 1316, 3170, 4743, 4495</v>
      </c>
      <c r="W210" t="str">
        <f>TRIM(V210)</f>
        <v>261135 ** -320, -778, 4403, 324, 1316, 3170, 4743, 4495</v>
      </c>
      <c r="X210">
        <f>SEARCH("~*",W210)</f>
        <v>8</v>
      </c>
      <c r="Y210" t="str">
        <f>LEFT(W210,X210-1)</f>
        <v xml:space="preserve">261135 </v>
      </c>
      <c r="AA210" t="str">
        <f>CONCATENATE(A210,",",D210,",",E210,",",F210,",",G210,",",H210,",",I210,",",J210,",",K210)</f>
        <v>261135,-320,-778,4403,324,1316,3170,4743,4495</v>
      </c>
    </row>
    <row r="211" spans="1:27">
      <c r="A211" s="1">
        <f>IF(ISBLANK(T211),"",VALUE(Y211))</f>
        <v>260967</v>
      </c>
      <c r="B211" s="1">
        <f>A211*4/10 -18</f>
        <v>104368.8</v>
      </c>
      <c r="C211" s="3">
        <f>B211/7000000</f>
        <v>1.4909828571428571E-2</v>
      </c>
      <c r="D211" s="6">
        <f>VALUE(MID(W211,$X211+2,L211-(X211+2)))</f>
        <v>-320</v>
      </c>
      <c r="E211" s="6">
        <f>VALUE(MID($W211,L211+1,M211-(L211+1)))</f>
        <v>-778</v>
      </c>
      <c r="F211" s="6">
        <f>VALUE(MID($W211,M211+1,N211-(M211+1)))</f>
        <v>4403</v>
      </c>
      <c r="G211" s="6">
        <f>VALUE(MID($W211,N211+1,O211-(N211+1)))</f>
        <v>324</v>
      </c>
      <c r="H211" s="6">
        <f>VALUE(MID($W211,O211+1,P211-(O211+1)))</f>
        <v>1316</v>
      </c>
      <c r="I211" s="6">
        <f>VALUE(MID($W211,P211+1,Q211-(P211+1)))</f>
        <v>3170</v>
      </c>
      <c r="J211" s="6">
        <f>VALUE(MID($W211,Q211+1,R211-(Q211+1)))</f>
        <v>4743</v>
      </c>
      <c r="K211" s="4">
        <f>VALUE(MID(W211,R211+1,LEN(W211)-(R211)))</f>
        <v>4495</v>
      </c>
      <c r="L211" s="4">
        <f>SEARCH(",",W211,X211)</f>
        <v>15</v>
      </c>
      <c r="M211" s="4">
        <f>SEARCH(",",$W211,L211+1)</f>
        <v>21</v>
      </c>
      <c r="N211" s="4">
        <f>SEARCH(",",$W211,M211+1)</f>
        <v>27</v>
      </c>
      <c r="O211" s="4">
        <f>SEARCH(",",$W211,N211+1)</f>
        <v>32</v>
      </c>
      <c r="P211" s="4">
        <f>SEARCH(",",$W211,O211+1)</f>
        <v>38</v>
      </c>
      <c r="Q211" s="4">
        <f>SEARCH(",",$W211,P211+1)</f>
        <v>44</v>
      </c>
      <c r="R211" s="4">
        <f>SEARCH(",",$W211,Q211+1)</f>
        <v>50</v>
      </c>
      <c r="T211" t="s">
        <v>508</v>
      </c>
      <c r="U211">
        <f>SEARCH(":",T211)</f>
        <v>6</v>
      </c>
      <c r="V211" t="str">
        <f>MID(T211,U211+1,LEN(T211)-(U211))</f>
        <v xml:space="preserve"> 260967 ** -320, -778, 4403, 324, 1316, 3170, 4743, 4495</v>
      </c>
      <c r="W211" t="str">
        <f>TRIM(V211)</f>
        <v>260967 ** -320, -778, 4403, 324, 1316, 3170, 4743, 4495</v>
      </c>
      <c r="X211">
        <f>SEARCH("~*",W211)</f>
        <v>8</v>
      </c>
      <c r="Y211" t="str">
        <f>LEFT(W211,X211-1)</f>
        <v xml:space="preserve">260967 </v>
      </c>
      <c r="AA211" t="str">
        <f>CONCATENATE(A211,",",D211,",",E211,",",F211,",",G211,",",H211,",",I211,",",J211,",",K211)</f>
        <v>260967,-320,-778,4403,324,1316,3170,4743,4495</v>
      </c>
    </row>
    <row r="212" spans="1:27">
      <c r="A212" s="1">
        <f>IF(ISBLANK(T212),"",VALUE(Y212))</f>
        <v>260822</v>
      </c>
      <c r="B212" s="1">
        <f>A212*4/10 -18</f>
        <v>104310.8</v>
      </c>
      <c r="C212" s="3">
        <f>B212/7000000</f>
        <v>1.4901542857142857E-2</v>
      </c>
      <c r="D212" s="6">
        <f>VALUE(MID(W212,$X212+2,L212-(X212+2)))</f>
        <v>-320</v>
      </c>
      <c r="E212" s="6">
        <f>VALUE(MID($W212,L212+1,M212-(L212+1)))</f>
        <v>-778</v>
      </c>
      <c r="F212" s="6">
        <f>VALUE(MID($W212,M212+1,N212-(M212+1)))</f>
        <v>4403</v>
      </c>
      <c r="G212" s="6">
        <f>VALUE(MID($W212,N212+1,O212-(N212+1)))</f>
        <v>324</v>
      </c>
      <c r="H212" s="6">
        <f>VALUE(MID($W212,O212+1,P212-(O212+1)))</f>
        <v>1316</v>
      </c>
      <c r="I212" s="6">
        <f>VALUE(MID($W212,P212+1,Q212-(P212+1)))</f>
        <v>3170</v>
      </c>
      <c r="J212" s="6">
        <f>VALUE(MID($W212,Q212+1,R212-(Q212+1)))</f>
        <v>4743</v>
      </c>
      <c r="K212" s="4">
        <f>VALUE(MID(W212,R212+1,LEN(W212)-(R212)))</f>
        <v>4495</v>
      </c>
      <c r="L212" s="4">
        <f>SEARCH(",",W212,X212)</f>
        <v>15</v>
      </c>
      <c r="M212" s="4">
        <f>SEARCH(",",$W212,L212+1)</f>
        <v>21</v>
      </c>
      <c r="N212" s="4">
        <f>SEARCH(",",$W212,M212+1)</f>
        <v>27</v>
      </c>
      <c r="O212" s="4">
        <f>SEARCH(",",$W212,N212+1)</f>
        <v>32</v>
      </c>
      <c r="P212" s="4">
        <f>SEARCH(",",$W212,O212+1)</f>
        <v>38</v>
      </c>
      <c r="Q212" s="4">
        <f>SEARCH(",",$W212,P212+1)</f>
        <v>44</v>
      </c>
      <c r="R212" s="4">
        <f>SEARCH(",",$W212,Q212+1)</f>
        <v>50</v>
      </c>
      <c r="T212" t="s">
        <v>425</v>
      </c>
      <c r="U212">
        <f>SEARCH(":",T212)</f>
        <v>6</v>
      </c>
      <c r="V212" t="str">
        <f>MID(T212,U212+1,LEN(T212)-(U212))</f>
        <v xml:space="preserve"> 260822 ** -320, -778, 4403, 324, 1316, 3170, 4743, 4495</v>
      </c>
      <c r="W212" t="str">
        <f>TRIM(V212)</f>
        <v>260822 ** -320, -778, 4403, 324, 1316, 3170, 4743, 4495</v>
      </c>
      <c r="X212">
        <f>SEARCH("~*",W212)</f>
        <v>8</v>
      </c>
      <c r="Y212" t="str">
        <f>LEFT(W212,X212-1)</f>
        <v xml:space="preserve">260822 </v>
      </c>
      <c r="AA212" t="str">
        <f>CONCATENATE(A212,",",D212,",",E212,",",F212,",",G212,",",H212,",",I212,",",J212,",",K212)</f>
        <v>260822,-320,-778,4403,324,1316,3170,4743,4495</v>
      </c>
    </row>
    <row r="213" spans="1:27">
      <c r="A213" s="1">
        <f>IF(ISBLANK(T213),"",VALUE(Y213))</f>
        <v>260189</v>
      </c>
      <c r="B213" s="1">
        <f>A213*4/10 -18</f>
        <v>104057.60000000001</v>
      </c>
      <c r="C213" s="3">
        <f>B213/7000000</f>
        <v>1.4865371428571429E-2</v>
      </c>
      <c r="D213" s="6">
        <f>VALUE(MID(W213,$X213+2,L213-(X213+2)))</f>
        <v>-320</v>
      </c>
      <c r="E213" s="6">
        <f>VALUE(MID($W213,L213+1,M213-(L213+1)))</f>
        <v>-778</v>
      </c>
      <c r="F213" s="6">
        <f>VALUE(MID($W213,M213+1,N213-(M213+1)))</f>
        <v>4403</v>
      </c>
      <c r="G213" s="6">
        <f>VALUE(MID($W213,N213+1,O213-(N213+1)))</f>
        <v>324</v>
      </c>
      <c r="H213" s="6">
        <f>VALUE(MID($W213,O213+1,P213-(O213+1)))</f>
        <v>1316</v>
      </c>
      <c r="I213" s="6">
        <f>VALUE(MID($W213,P213+1,Q213-(P213+1)))</f>
        <v>3170</v>
      </c>
      <c r="J213" s="6">
        <f>VALUE(MID($W213,Q213+1,R213-(Q213+1)))</f>
        <v>4743</v>
      </c>
      <c r="K213" s="4">
        <f>VALUE(MID(W213,R213+1,LEN(W213)-(R213)))</f>
        <v>4495</v>
      </c>
      <c r="L213" s="4">
        <f>SEARCH(",",W213,X213)</f>
        <v>15</v>
      </c>
      <c r="M213" s="4">
        <f>SEARCH(",",$W213,L213+1)</f>
        <v>21</v>
      </c>
      <c r="N213" s="4">
        <f>SEARCH(",",$W213,M213+1)</f>
        <v>27</v>
      </c>
      <c r="O213" s="4">
        <f>SEARCH(",",$W213,N213+1)</f>
        <v>32</v>
      </c>
      <c r="P213" s="4">
        <f>SEARCH(",",$W213,O213+1)</f>
        <v>38</v>
      </c>
      <c r="Q213" s="4">
        <f>SEARCH(",",$W213,P213+1)</f>
        <v>44</v>
      </c>
      <c r="R213" s="4">
        <f>SEARCH(",",$W213,Q213+1)</f>
        <v>50</v>
      </c>
      <c r="T213" t="s">
        <v>341</v>
      </c>
      <c r="U213">
        <f>SEARCH(":",T213)</f>
        <v>6</v>
      </c>
      <c r="V213" t="str">
        <f>MID(T213,U213+1,LEN(T213)-(U213))</f>
        <v xml:space="preserve"> 260189 ** -320, -778, 4403, 324, 1316, 3170, 4743, 4495</v>
      </c>
      <c r="W213" t="str">
        <f>TRIM(V213)</f>
        <v>260189 ** -320, -778, 4403, 324, 1316, 3170, 4743, 4495</v>
      </c>
      <c r="X213">
        <f>SEARCH("~*",W213)</f>
        <v>8</v>
      </c>
      <c r="Y213" t="str">
        <f>LEFT(W213,X213-1)</f>
        <v xml:space="preserve">260189 </v>
      </c>
      <c r="AA213" t="str">
        <f>CONCATENATE(A213,",",D213,",",E213,",",F213,",",G213,",",H213,",",I213,",",J213,",",K213)</f>
        <v>260189,-320,-778,4403,324,1316,3170,4743,4495</v>
      </c>
    </row>
    <row r="214" spans="1:27">
      <c r="A214" s="1">
        <f>IF(ISBLANK(T214),"",VALUE(Y214))</f>
        <v>255403</v>
      </c>
      <c r="B214" s="1">
        <f>A214*4/10 -18</f>
        <v>102143.2</v>
      </c>
      <c r="C214" s="3">
        <f>B214/7000000</f>
        <v>1.4591885714285715E-2</v>
      </c>
      <c r="D214" s="6">
        <f>VALUE(MID(W214,$X214+2,L214-(X214+2)))</f>
        <v>-320</v>
      </c>
      <c r="E214" s="6">
        <f>VALUE(MID($W214,L214+1,M214-(L214+1)))</f>
        <v>-778</v>
      </c>
      <c r="F214" s="6">
        <f>VALUE(MID($W214,M214+1,N214-(M214+1)))</f>
        <v>4403</v>
      </c>
      <c r="G214" s="6">
        <f>VALUE(MID($W214,N214+1,O214-(N214+1)))</f>
        <v>324</v>
      </c>
      <c r="H214" s="6">
        <f>VALUE(MID($W214,O214+1,P214-(O214+1)))</f>
        <v>1316</v>
      </c>
      <c r="I214" s="6">
        <f>VALUE(MID($W214,P214+1,Q214-(P214+1)))</f>
        <v>3170</v>
      </c>
      <c r="J214" s="6">
        <f>VALUE(MID($W214,Q214+1,R214-(Q214+1)))</f>
        <v>4743</v>
      </c>
      <c r="K214" s="4">
        <f>VALUE(MID(W214,R214+1,LEN(W214)-(R214)))</f>
        <v>4495</v>
      </c>
      <c r="L214" s="4">
        <f>SEARCH(",",W214,X214)</f>
        <v>15</v>
      </c>
      <c r="M214" s="4">
        <f>SEARCH(",",$W214,L214+1)</f>
        <v>21</v>
      </c>
      <c r="N214" s="4">
        <f>SEARCH(",",$W214,M214+1)</f>
        <v>27</v>
      </c>
      <c r="O214" s="4">
        <f>SEARCH(",",$W214,N214+1)</f>
        <v>32</v>
      </c>
      <c r="P214" s="4">
        <f>SEARCH(",",$W214,O214+1)</f>
        <v>38</v>
      </c>
      <c r="Q214" s="4">
        <f>SEARCH(",",$W214,P214+1)</f>
        <v>44</v>
      </c>
      <c r="R214" s="4">
        <f>SEARCH(",",$W214,Q214+1)</f>
        <v>50</v>
      </c>
      <c r="T214" t="s">
        <v>313</v>
      </c>
      <c r="U214">
        <f>SEARCH(":",T214)</f>
        <v>6</v>
      </c>
      <c r="V214" t="str">
        <f>MID(T214,U214+1,LEN(T214)-(U214))</f>
        <v xml:space="preserve"> 255403 ** -320, -778, 4403, 324, 1316, 3170, 4743, 4495</v>
      </c>
      <c r="W214" t="str">
        <f>TRIM(V214)</f>
        <v>255403 ** -320, -778, 4403, 324, 1316, 3170, 4743, 4495</v>
      </c>
      <c r="X214">
        <f>SEARCH("~*",W214)</f>
        <v>8</v>
      </c>
      <c r="Y214" t="str">
        <f>LEFT(W214,X214-1)</f>
        <v xml:space="preserve">255403 </v>
      </c>
      <c r="AA214" t="str">
        <f>CONCATENATE(A214,",",D214,",",E214,",",F214,",",G214,",",H214,",",I214,",",J214,",",K214)</f>
        <v>255403,-320,-778,4403,324,1316,3170,4743,4495</v>
      </c>
    </row>
    <row r="215" spans="1:27">
      <c r="A215" s="1">
        <f>IF(ISBLANK(T215),"",VALUE(Y215))</f>
        <v>252635</v>
      </c>
      <c r="B215" s="1">
        <f>A215*4/10 -18</f>
        <v>101036</v>
      </c>
      <c r="C215" s="3">
        <f>B215/7000000</f>
        <v>1.4433714285714286E-2</v>
      </c>
      <c r="D215" s="6">
        <f>VALUE(MID(W215,$X215+2,L215-(X215+2)))</f>
        <v>-320</v>
      </c>
      <c r="E215" s="6">
        <f>VALUE(MID($W215,L215+1,M215-(L215+1)))</f>
        <v>-778</v>
      </c>
      <c r="F215" s="6">
        <f>VALUE(MID($W215,M215+1,N215-(M215+1)))</f>
        <v>4403</v>
      </c>
      <c r="G215" s="6">
        <f>VALUE(MID($W215,N215+1,O215-(N215+1)))</f>
        <v>324</v>
      </c>
      <c r="H215" s="6">
        <f>VALUE(MID($W215,O215+1,P215-(O215+1)))</f>
        <v>1316</v>
      </c>
      <c r="I215" s="6">
        <f>VALUE(MID($W215,P215+1,Q215-(P215+1)))</f>
        <v>3170</v>
      </c>
      <c r="J215" s="6">
        <f>VALUE(MID($W215,Q215+1,R215-(Q215+1)))</f>
        <v>4743</v>
      </c>
      <c r="K215" s="4">
        <f>VALUE(MID(W215,R215+1,LEN(W215)-(R215)))</f>
        <v>4495</v>
      </c>
      <c r="L215" s="4">
        <f>SEARCH(",",W215,X215)</f>
        <v>15</v>
      </c>
      <c r="M215" s="4">
        <f>SEARCH(",",$W215,L215+1)</f>
        <v>21</v>
      </c>
      <c r="N215" s="4">
        <f>SEARCH(",",$W215,M215+1)</f>
        <v>27</v>
      </c>
      <c r="O215" s="4">
        <f>SEARCH(",",$W215,N215+1)</f>
        <v>32</v>
      </c>
      <c r="P215" s="4">
        <f>SEARCH(",",$W215,O215+1)</f>
        <v>38</v>
      </c>
      <c r="Q215" s="4">
        <f>SEARCH(",",$W215,P215+1)</f>
        <v>44</v>
      </c>
      <c r="R215" s="4">
        <f>SEARCH(",",$W215,Q215+1)</f>
        <v>50</v>
      </c>
      <c r="T215" t="s">
        <v>412</v>
      </c>
      <c r="U215">
        <f>SEARCH(":",T215)</f>
        <v>6</v>
      </c>
      <c r="V215" t="str">
        <f>MID(T215,U215+1,LEN(T215)-(U215))</f>
        <v xml:space="preserve"> 252635 ** -320, -778, 4403, 324, 1316, 3170, 4743, 4495</v>
      </c>
      <c r="W215" t="str">
        <f>TRIM(V215)</f>
        <v>252635 ** -320, -778, 4403, 324, 1316, 3170, 4743, 4495</v>
      </c>
      <c r="X215">
        <f>SEARCH("~*",W215)</f>
        <v>8</v>
      </c>
      <c r="Y215" t="str">
        <f>LEFT(W215,X215-1)</f>
        <v xml:space="preserve">252635 </v>
      </c>
      <c r="AA215" t="str">
        <f>CONCATENATE(A215,",",D215,",",E215,",",F215,",",G215,",",H215,",",I215,",",J215,",",K215)</f>
        <v>252635,-320,-778,4403,324,1316,3170,4743,4495</v>
      </c>
    </row>
    <row r="216" spans="1:27">
      <c r="A216" s="1">
        <f>IF(ISBLANK(T216),"",VALUE(Y216))</f>
        <v>248157</v>
      </c>
      <c r="B216" s="1">
        <f>A216*4/10 -18</f>
        <v>99244.800000000003</v>
      </c>
      <c r="C216" s="3">
        <f>B216/7000000</f>
        <v>1.4177828571428571E-2</v>
      </c>
      <c r="D216" s="6">
        <f>VALUE(MID(W216,$X216+2,L216-(X216+2)))</f>
        <v>-320</v>
      </c>
      <c r="E216" s="6">
        <f>VALUE(MID($W216,L216+1,M216-(L216+1)))</f>
        <v>-778</v>
      </c>
      <c r="F216" s="6">
        <f>VALUE(MID($W216,M216+1,N216-(M216+1)))</f>
        <v>4403</v>
      </c>
      <c r="G216" s="6">
        <f>VALUE(MID($W216,N216+1,O216-(N216+1)))</f>
        <v>324</v>
      </c>
      <c r="H216" s="6">
        <f>VALUE(MID($W216,O216+1,P216-(O216+1)))</f>
        <v>1316</v>
      </c>
      <c r="I216" s="6">
        <f>VALUE(MID($W216,P216+1,Q216-(P216+1)))</f>
        <v>3170</v>
      </c>
      <c r="J216" s="6">
        <f>VALUE(MID($W216,Q216+1,R216-(Q216+1)))</f>
        <v>4743</v>
      </c>
      <c r="K216" s="4">
        <f>VALUE(MID(W216,R216+1,LEN(W216)-(R216)))</f>
        <v>4495</v>
      </c>
      <c r="L216" s="4">
        <f>SEARCH(",",W216,X216)</f>
        <v>15</v>
      </c>
      <c r="M216" s="4">
        <f>SEARCH(",",$W216,L216+1)</f>
        <v>21</v>
      </c>
      <c r="N216" s="4">
        <f>SEARCH(",",$W216,M216+1)</f>
        <v>27</v>
      </c>
      <c r="O216" s="4">
        <f>SEARCH(",",$W216,N216+1)</f>
        <v>32</v>
      </c>
      <c r="P216" s="4">
        <f>SEARCH(",",$W216,O216+1)</f>
        <v>38</v>
      </c>
      <c r="Q216" s="4">
        <f>SEARCH(",",$W216,P216+1)</f>
        <v>44</v>
      </c>
      <c r="R216" s="4">
        <f>SEARCH(",",$W216,Q216+1)</f>
        <v>50</v>
      </c>
      <c r="T216" t="s">
        <v>448</v>
      </c>
      <c r="U216">
        <f>SEARCH(":",T216)</f>
        <v>6</v>
      </c>
      <c r="V216" t="str">
        <f>MID(T216,U216+1,LEN(T216)-(U216))</f>
        <v xml:space="preserve"> 248157 ** -320, -778, 4403, 324, 1316, 3170, 4743, 4495</v>
      </c>
      <c r="W216" t="str">
        <f>TRIM(V216)</f>
        <v>248157 ** -320, -778, 4403, 324, 1316, 3170, 4743, 4495</v>
      </c>
      <c r="X216">
        <f>SEARCH("~*",W216)</f>
        <v>8</v>
      </c>
      <c r="Y216" t="str">
        <f>LEFT(W216,X216-1)</f>
        <v xml:space="preserve">248157 </v>
      </c>
      <c r="AA216" t="str">
        <f>CONCATENATE(A216,",",D216,",",E216,",",F216,",",G216,",",H216,",",I216,",",J216,",",K216)</f>
        <v>248157,-320,-778,4403,324,1316,3170,4743,4495</v>
      </c>
    </row>
    <row r="217" spans="1:27">
      <c r="A217" s="1">
        <f>IF(ISBLANK(T217),"",VALUE(Y217))</f>
        <v>235709</v>
      </c>
      <c r="B217" s="1">
        <f>A217*4/10 -18</f>
        <v>94265.600000000006</v>
      </c>
      <c r="C217" s="3">
        <f>B217/7000000</f>
        <v>1.3466514285714286E-2</v>
      </c>
      <c r="D217" s="6">
        <f>VALUE(MID(W217,$X217+2,L217-(X217+2)))</f>
        <v>-320</v>
      </c>
      <c r="E217" s="6">
        <f>VALUE(MID($W217,L217+1,M217-(L217+1)))</f>
        <v>-778</v>
      </c>
      <c r="F217" s="6">
        <f>VALUE(MID($W217,M217+1,N217-(M217+1)))</f>
        <v>4403</v>
      </c>
      <c r="G217" s="6">
        <f>VALUE(MID($W217,N217+1,O217-(N217+1)))</f>
        <v>324</v>
      </c>
      <c r="H217" s="6">
        <f>VALUE(MID($W217,O217+1,P217-(O217+1)))</f>
        <v>1316</v>
      </c>
      <c r="I217" s="6">
        <f>VALUE(MID($W217,P217+1,Q217-(P217+1)))</f>
        <v>3170</v>
      </c>
      <c r="J217" s="6">
        <f>VALUE(MID($W217,Q217+1,R217-(Q217+1)))</f>
        <v>4743</v>
      </c>
      <c r="K217" s="4">
        <f>VALUE(MID(W217,R217+1,LEN(W217)-(R217)))</f>
        <v>4495</v>
      </c>
      <c r="L217" s="4">
        <f>SEARCH(",",W217,X217)</f>
        <v>15</v>
      </c>
      <c r="M217" s="4">
        <f>SEARCH(",",$W217,L217+1)</f>
        <v>21</v>
      </c>
      <c r="N217" s="4">
        <f>SEARCH(",",$W217,M217+1)</f>
        <v>27</v>
      </c>
      <c r="O217" s="4">
        <f>SEARCH(",",$W217,N217+1)</f>
        <v>32</v>
      </c>
      <c r="P217" s="4">
        <f>SEARCH(",",$W217,O217+1)</f>
        <v>38</v>
      </c>
      <c r="Q217" s="4">
        <f>SEARCH(",",$W217,P217+1)</f>
        <v>44</v>
      </c>
      <c r="R217" s="4">
        <f>SEARCH(",",$W217,Q217+1)</f>
        <v>50</v>
      </c>
      <c r="T217" t="s">
        <v>304</v>
      </c>
      <c r="U217">
        <f>SEARCH(":",T217)</f>
        <v>6</v>
      </c>
      <c r="V217" t="str">
        <f>MID(T217,U217+1,LEN(T217)-(U217))</f>
        <v xml:space="preserve"> 235709 ** -320, -778, 4403, 324, 1316, 3170, 4743, 4495</v>
      </c>
      <c r="W217" t="str">
        <f>TRIM(V217)</f>
        <v>235709 ** -320, -778, 4403, 324, 1316, 3170, 4743, 4495</v>
      </c>
      <c r="X217">
        <f>SEARCH("~*",W217)</f>
        <v>8</v>
      </c>
      <c r="Y217" t="str">
        <f>LEFT(W217,X217-1)</f>
        <v xml:space="preserve">235709 </v>
      </c>
      <c r="AA217" t="str">
        <f>CONCATENATE(A217,",",D217,",",E217,",",F217,",",G217,",",H217,",",I217,",",J217,",",K217)</f>
        <v>235709,-320,-778,4403,324,1316,3170,4743,4495</v>
      </c>
    </row>
    <row r="218" spans="1:27">
      <c r="A218" s="1">
        <f>IF(ISBLANK(T218),"",VALUE(Y218))</f>
        <v>233267</v>
      </c>
      <c r="B218" s="1">
        <f>A218*4/10 -18</f>
        <v>93288.8</v>
      </c>
      <c r="C218" s="3">
        <f>B218/7000000</f>
        <v>1.3326971428571428E-2</v>
      </c>
      <c r="D218" s="6">
        <f>VALUE(MID(W218,$X218+2,L218-(X218+2)))</f>
        <v>-320</v>
      </c>
      <c r="E218" s="6">
        <f>VALUE(MID($W218,L218+1,M218-(L218+1)))</f>
        <v>-778</v>
      </c>
      <c r="F218" s="6">
        <f>VALUE(MID($W218,M218+1,N218-(M218+1)))</f>
        <v>4403</v>
      </c>
      <c r="G218" s="6">
        <f>VALUE(MID($W218,N218+1,O218-(N218+1)))</f>
        <v>324</v>
      </c>
      <c r="H218" s="6">
        <f>VALUE(MID($W218,O218+1,P218-(O218+1)))</f>
        <v>1316</v>
      </c>
      <c r="I218" s="6">
        <f>VALUE(MID($W218,P218+1,Q218-(P218+1)))</f>
        <v>3170</v>
      </c>
      <c r="J218" s="6">
        <f>VALUE(MID($W218,Q218+1,R218-(Q218+1)))</f>
        <v>4743</v>
      </c>
      <c r="K218" s="4">
        <f>VALUE(MID(W218,R218+1,LEN(W218)-(R218)))</f>
        <v>4495</v>
      </c>
      <c r="L218" s="4">
        <f>SEARCH(",",W218,X218)</f>
        <v>15</v>
      </c>
      <c r="M218" s="4">
        <f>SEARCH(",",$W218,L218+1)</f>
        <v>21</v>
      </c>
      <c r="N218" s="4">
        <f>SEARCH(",",$W218,M218+1)</f>
        <v>27</v>
      </c>
      <c r="O218" s="4">
        <f>SEARCH(",",$W218,N218+1)</f>
        <v>32</v>
      </c>
      <c r="P218" s="4">
        <f>SEARCH(",",$W218,O218+1)</f>
        <v>38</v>
      </c>
      <c r="Q218" s="4">
        <f>SEARCH(",",$W218,P218+1)</f>
        <v>44</v>
      </c>
      <c r="R218" s="4">
        <f>SEARCH(",",$W218,Q218+1)</f>
        <v>50</v>
      </c>
      <c r="T218" t="s">
        <v>365</v>
      </c>
      <c r="U218">
        <f>SEARCH(":",T218)</f>
        <v>6</v>
      </c>
      <c r="V218" t="str">
        <f>MID(T218,U218+1,LEN(T218)-(U218))</f>
        <v xml:space="preserve"> 233267 ** -320, -778, 4403, 324, 1316, 3170, 4743, 4495</v>
      </c>
      <c r="W218" t="str">
        <f>TRIM(V218)</f>
        <v>233267 ** -320, -778, 4403, 324, 1316, 3170, 4743, 4495</v>
      </c>
      <c r="X218">
        <f>SEARCH("~*",W218)</f>
        <v>8</v>
      </c>
      <c r="Y218" t="str">
        <f>LEFT(W218,X218-1)</f>
        <v xml:space="preserve">233267 </v>
      </c>
      <c r="AA218" t="str">
        <f>CONCATENATE(A218,",",D218,",",E218,",",F218,",",G218,",",H218,",",I218,",",J218,",",K218)</f>
        <v>233267,-320,-778,4403,324,1316,3170,4743,4495</v>
      </c>
    </row>
    <row r="219" spans="1:27">
      <c r="A219" s="1">
        <f>IF(ISBLANK(T219),"",VALUE(Y219))</f>
        <v>217497</v>
      </c>
      <c r="B219" s="1">
        <f>A219*4/10 -18</f>
        <v>86980.800000000003</v>
      </c>
      <c r="C219" s="3">
        <f>B219/7000000</f>
        <v>1.2425828571428571E-2</v>
      </c>
      <c r="D219" s="6">
        <f>VALUE(MID(W219,$X219+2,L219-(X219+2)))</f>
        <v>-320</v>
      </c>
      <c r="E219" s="6">
        <f>VALUE(MID($W219,L219+1,M219-(L219+1)))</f>
        <v>-778</v>
      </c>
      <c r="F219" s="6">
        <f>VALUE(MID($W219,M219+1,N219-(M219+1)))</f>
        <v>4403</v>
      </c>
      <c r="G219" s="6">
        <f>VALUE(MID($W219,N219+1,O219-(N219+1)))</f>
        <v>324</v>
      </c>
      <c r="H219" s="6">
        <f>VALUE(MID($W219,O219+1,P219-(O219+1)))</f>
        <v>1316</v>
      </c>
      <c r="I219" s="6">
        <f>VALUE(MID($W219,P219+1,Q219-(P219+1)))</f>
        <v>3170</v>
      </c>
      <c r="J219" s="6">
        <f>VALUE(MID($W219,Q219+1,R219-(Q219+1)))</f>
        <v>4743</v>
      </c>
      <c r="K219" s="4">
        <f>VALUE(MID(W219,R219+1,LEN(W219)-(R219)))</f>
        <v>4495</v>
      </c>
      <c r="L219" s="4">
        <f>SEARCH(",",W219,X219)</f>
        <v>15</v>
      </c>
      <c r="M219" s="4">
        <f>SEARCH(",",$W219,L219+1)</f>
        <v>21</v>
      </c>
      <c r="N219" s="4">
        <f>SEARCH(",",$W219,M219+1)</f>
        <v>27</v>
      </c>
      <c r="O219" s="4">
        <f>SEARCH(",",$W219,N219+1)</f>
        <v>32</v>
      </c>
      <c r="P219" s="4">
        <f>SEARCH(",",$W219,O219+1)</f>
        <v>38</v>
      </c>
      <c r="Q219" s="4">
        <f>SEARCH(",",$W219,P219+1)</f>
        <v>44</v>
      </c>
      <c r="R219" s="4">
        <f>SEARCH(",",$W219,Q219+1)</f>
        <v>50</v>
      </c>
      <c r="T219" t="s">
        <v>322</v>
      </c>
      <c r="U219">
        <f>SEARCH(":",T219)</f>
        <v>6</v>
      </c>
      <c r="V219" t="str">
        <f>MID(T219,U219+1,LEN(T219)-(U219))</f>
        <v xml:space="preserve"> 217497 ** -320, -778, 4403, 324, 1316, 3170, 4743, 4495</v>
      </c>
      <c r="W219" t="str">
        <f>TRIM(V219)</f>
        <v>217497 ** -320, -778, 4403, 324, 1316, 3170, 4743, 4495</v>
      </c>
      <c r="X219">
        <f>SEARCH("~*",W219)</f>
        <v>8</v>
      </c>
      <c r="Y219" t="str">
        <f>LEFT(W219,X219-1)</f>
        <v xml:space="preserve">217497 </v>
      </c>
      <c r="AA219" t="str">
        <f>CONCATENATE(A219,",",D219,",",E219,",",F219,",",G219,",",H219,",",I219,",",J219,",",K219)</f>
        <v>217497,-320,-778,4403,324,1316,3170,4743,4495</v>
      </c>
    </row>
    <row r="220" spans="1:27">
      <c r="A220" s="1">
        <f>IF(ISBLANK(T220),"",VALUE(Y220))</f>
        <v>217144</v>
      </c>
      <c r="B220" s="1">
        <f>A220*4/10 -18</f>
        <v>86839.6</v>
      </c>
      <c r="C220" s="3">
        <f>B220/7000000</f>
        <v>1.2405657142857143E-2</v>
      </c>
      <c r="D220" s="6">
        <f>VALUE(MID(W220,$X220+2,L220-(X220+2)))</f>
        <v>-320</v>
      </c>
      <c r="E220" s="6">
        <f>VALUE(MID($W220,L220+1,M220-(L220+1)))</f>
        <v>-778</v>
      </c>
      <c r="F220" s="6">
        <f>VALUE(MID($W220,M220+1,N220-(M220+1)))</f>
        <v>4403</v>
      </c>
      <c r="G220" s="6">
        <f>VALUE(MID($W220,N220+1,O220-(N220+1)))</f>
        <v>324</v>
      </c>
      <c r="H220" s="6">
        <f>VALUE(MID($W220,O220+1,P220-(O220+1)))</f>
        <v>1316</v>
      </c>
      <c r="I220" s="6">
        <f>VALUE(MID($W220,P220+1,Q220-(P220+1)))</f>
        <v>3170</v>
      </c>
      <c r="J220" s="6">
        <f>VALUE(MID($W220,Q220+1,R220-(Q220+1)))</f>
        <v>4743</v>
      </c>
      <c r="K220" s="4">
        <f>VALUE(MID(W220,R220+1,LEN(W220)-(R220)))</f>
        <v>4495</v>
      </c>
      <c r="L220" s="4">
        <f>SEARCH(",",W220,X220)</f>
        <v>15</v>
      </c>
      <c r="M220" s="4">
        <f>SEARCH(",",$W220,L220+1)</f>
        <v>21</v>
      </c>
      <c r="N220" s="4">
        <f>SEARCH(",",$W220,M220+1)</f>
        <v>27</v>
      </c>
      <c r="O220" s="4">
        <f>SEARCH(",",$W220,N220+1)</f>
        <v>32</v>
      </c>
      <c r="P220" s="4">
        <f>SEARCH(",",$W220,O220+1)</f>
        <v>38</v>
      </c>
      <c r="Q220" s="4">
        <f>SEARCH(",",$W220,P220+1)</f>
        <v>44</v>
      </c>
      <c r="R220" s="4">
        <f>SEARCH(",",$W220,Q220+1)</f>
        <v>50</v>
      </c>
      <c r="T220" t="s">
        <v>290</v>
      </c>
      <c r="U220">
        <f>SEARCH(":",T220)</f>
        <v>6</v>
      </c>
      <c r="V220" t="str">
        <f>MID(T220,U220+1,LEN(T220)-(U220))</f>
        <v xml:space="preserve"> 217144 ** -320, -778, 4403, 324, 1316, 3170, 4743, 4495</v>
      </c>
      <c r="W220" t="str">
        <f>TRIM(V220)</f>
        <v>217144 ** -320, -778, 4403, 324, 1316, 3170, 4743, 4495</v>
      </c>
      <c r="X220">
        <f>SEARCH("~*",W220)</f>
        <v>8</v>
      </c>
      <c r="Y220" t="str">
        <f>LEFT(W220,X220-1)</f>
        <v xml:space="preserve">217144 </v>
      </c>
      <c r="AA220" t="str">
        <f>CONCATENATE(A220,",",D220,",",E220,",",F220,",",G220,",",H220,",",I220,",",J220,",",K220)</f>
        <v>217144,-320,-778,4403,324,1316,3170,4743,4495</v>
      </c>
    </row>
    <row r="221" spans="1:27">
      <c r="A221" s="1">
        <f>IF(ISBLANK(T221),"",VALUE(Y221))</f>
        <v>216581</v>
      </c>
      <c r="B221" s="1">
        <f>A221*4/10 -18</f>
        <v>86614.399999999994</v>
      </c>
      <c r="C221" s="3">
        <f>B221/7000000</f>
        <v>1.2373485714285714E-2</v>
      </c>
      <c r="D221" s="6">
        <f>VALUE(MID(W221,$X221+2,L221-(X221+2)))</f>
        <v>-320</v>
      </c>
      <c r="E221" s="6">
        <f>VALUE(MID($W221,L221+1,M221-(L221+1)))</f>
        <v>-778</v>
      </c>
      <c r="F221" s="6">
        <f>VALUE(MID($W221,M221+1,N221-(M221+1)))</f>
        <v>4403</v>
      </c>
      <c r="G221" s="6">
        <f>VALUE(MID($W221,N221+1,O221-(N221+1)))</f>
        <v>324</v>
      </c>
      <c r="H221" s="6">
        <f>VALUE(MID($W221,O221+1,P221-(O221+1)))</f>
        <v>1316</v>
      </c>
      <c r="I221" s="6">
        <f>VALUE(MID($W221,P221+1,Q221-(P221+1)))</f>
        <v>3170</v>
      </c>
      <c r="J221" s="6">
        <f>VALUE(MID($W221,Q221+1,R221-(Q221+1)))</f>
        <v>4743</v>
      </c>
      <c r="K221" s="4">
        <f>VALUE(MID(W221,R221+1,LEN(W221)-(R221)))</f>
        <v>4495</v>
      </c>
      <c r="L221" s="4">
        <f>SEARCH(",",W221,X221)</f>
        <v>15</v>
      </c>
      <c r="M221" s="4">
        <f>SEARCH(",",$W221,L221+1)</f>
        <v>21</v>
      </c>
      <c r="N221" s="4">
        <f>SEARCH(",",$W221,M221+1)</f>
        <v>27</v>
      </c>
      <c r="O221" s="4">
        <f>SEARCH(",",$W221,N221+1)</f>
        <v>32</v>
      </c>
      <c r="P221" s="4">
        <f>SEARCH(",",$W221,O221+1)</f>
        <v>38</v>
      </c>
      <c r="Q221" s="4">
        <f>SEARCH(",",$W221,P221+1)</f>
        <v>44</v>
      </c>
      <c r="R221" s="4">
        <f>SEARCH(",",$W221,Q221+1)</f>
        <v>50</v>
      </c>
      <c r="T221" t="s">
        <v>367</v>
      </c>
      <c r="U221">
        <f>SEARCH(":",T221)</f>
        <v>6</v>
      </c>
      <c r="V221" t="str">
        <f>MID(T221,U221+1,LEN(T221)-(U221))</f>
        <v xml:space="preserve"> 216581 ** -320, -778, 4403, 324, 1316, 3170, 4743, 4495</v>
      </c>
      <c r="W221" t="str">
        <f>TRIM(V221)</f>
        <v>216581 ** -320, -778, 4403, 324, 1316, 3170, 4743, 4495</v>
      </c>
      <c r="X221">
        <f>SEARCH("~*",W221)</f>
        <v>8</v>
      </c>
      <c r="Y221" t="str">
        <f>LEFT(W221,X221-1)</f>
        <v xml:space="preserve">216581 </v>
      </c>
      <c r="AA221" t="str">
        <f>CONCATENATE(A221,",",D221,",",E221,",",F221,",",G221,",",H221,",",I221,",",J221,",",K221)</f>
        <v>216581,-320,-778,4403,324,1316,3170,4743,4495</v>
      </c>
    </row>
    <row r="222" spans="1:27">
      <c r="A222" s="1">
        <f>IF(ISBLANK(T222),"",VALUE(Y222))</f>
        <v>212055</v>
      </c>
      <c r="B222" s="1">
        <f>A222*4/10 -18</f>
        <v>84804</v>
      </c>
      <c r="C222" s="3">
        <f>B222/7000000</f>
        <v>1.2114857142857142E-2</v>
      </c>
      <c r="D222" s="6">
        <f>VALUE(MID(W222,$X222+2,L222-(X222+2)))</f>
        <v>-320</v>
      </c>
      <c r="E222" s="6">
        <f>VALUE(MID($W222,L222+1,M222-(L222+1)))</f>
        <v>-778</v>
      </c>
      <c r="F222" s="6">
        <f>VALUE(MID($W222,M222+1,N222-(M222+1)))</f>
        <v>4403</v>
      </c>
      <c r="G222" s="6">
        <f>VALUE(MID($W222,N222+1,O222-(N222+1)))</f>
        <v>324</v>
      </c>
      <c r="H222" s="6">
        <f>VALUE(MID($W222,O222+1,P222-(O222+1)))</f>
        <v>1316</v>
      </c>
      <c r="I222" s="6">
        <f>VALUE(MID($W222,P222+1,Q222-(P222+1)))</f>
        <v>3170</v>
      </c>
      <c r="J222" s="6">
        <f>VALUE(MID($W222,Q222+1,R222-(Q222+1)))</f>
        <v>4743</v>
      </c>
      <c r="K222" s="4">
        <f>VALUE(MID(W222,R222+1,LEN(W222)-(R222)))</f>
        <v>4495</v>
      </c>
      <c r="L222" s="4">
        <f>SEARCH(",",W222,X222)</f>
        <v>15</v>
      </c>
      <c r="M222" s="4">
        <f>SEARCH(",",$W222,L222+1)</f>
        <v>21</v>
      </c>
      <c r="N222" s="4">
        <f>SEARCH(",",$W222,M222+1)</f>
        <v>27</v>
      </c>
      <c r="O222" s="4">
        <f>SEARCH(",",$W222,N222+1)</f>
        <v>32</v>
      </c>
      <c r="P222" s="4">
        <f>SEARCH(",",$W222,O222+1)</f>
        <v>38</v>
      </c>
      <c r="Q222" s="4">
        <f>SEARCH(",",$W222,P222+1)</f>
        <v>44</v>
      </c>
      <c r="R222" s="4">
        <f>SEARCH(",",$W222,Q222+1)</f>
        <v>50</v>
      </c>
      <c r="T222" t="s">
        <v>432</v>
      </c>
      <c r="U222">
        <f>SEARCH(":",T222)</f>
        <v>6</v>
      </c>
      <c r="V222" t="str">
        <f>MID(T222,U222+1,LEN(T222)-(U222))</f>
        <v xml:space="preserve"> 212055 ** -320, -778, 4403, 324, 1316, 3170, 4743, 4495</v>
      </c>
      <c r="W222" t="str">
        <f>TRIM(V222)</f>
        <v>212055 ** -320, -778, 4403, 324, 1316, 3170, 4743, 4495</v>
      </c>
      <c r="X222">
        <f>SEARCH("~*",W222)</f>
        <v>8</v>
      </c>
      <c r="Y222" t="str">
        <f>LEFT(W222,X222-1)</f>
        <v xml:space="preserve">212055 </v>
      </c>
      <c r="AA222" t="str">
        <f>CONCATENATE(A222,",",D222,",",E222,",",F222,",",G222,",",H222,",",I222,",",J222,",",K222)</f>
        <v>212055,-320,-778,4403,324,1316,3170,4743,4495</v>
      </c>
    </row>
    <row r="223" spans="1:27">
      <c r="A223" s="1">
        <f>IF(ISBLANK(T223),"",VALUE(Y223))</f>
        <v>208742</v>
      </c>
      <c r="B223" s="1">
        <f>A223*4/10 -18</f>
        <v>83478.8</v>
      </c>
      <c r="C223" s="3">
        <f>B223/7000000</f>
        <v>1.1925542857142857E-2</v>
      </c>
      <c r="D223" s="6">
        <f>VALUE(MID(W223,$X223+2,L223-(X223+2)))</f>
        <v>-320</v>
      </c>
      <c r="E223" s="6">
        <f>VALUE(MID($W223,L223+1,M223-(L223+1)))</f>
        <v>-778</v>
      </c>
      <c r="F223" s="6">
        <f>VALUE(MID($W223,M223+1,N223-(M223+1)))</f>
        <v>4403</v>
      </c>
      <c r="G223" s="6">
        <f>VALUE(MID($W223,N223+1,O223-(N223+1)))</f>
        <v>324</v>
      </c>
      <c r="H223" s="6">
        <f>VALUE(MID($W223,O223+1,P223-(O223+1)))</f>
        <v>1316</v>
      </c>
      <c r="I223" s="6">
        <f>VALUE(MID($W223,P223+1,Q223-(P223+1)))</f>
        <v>3170</v>
      </c>
      <c r="J223" s="6">
        <f>VALUE(MID($W223,Q223+1,R223-(Q223+1)))</f>
        <v>4743</v>
      </c>
      <c r="K223" s="4">
        <f>VALUE(MID(W223,R223+1,LEN(W223)-(R223)))</f>
        <v>4495</v>
      </c>
      <c r="L223" s="4">
        <f>SEARCH(",",W223,X223)</f>
        <v>15</v>
      </c>
      <c r="M223" s="4">
        <f>SEARCH(",",$W223,L223+1)</f>
        <v>21</v>
      </c>
      <c r="N223" s="4">
        <f>SEARCH(",",$W223,M223+1)</f>
        <v>27</v>
      </c>
      <c r="O223" s="4">
        <f>SEARCH(",",$W223,N223+1)</f>
        <v>32</v>
      </c>
      <c r="P223" s="4">
        <f>SEARCH(",",$W223,O223+1)</f>
        <v>38</v>
      </c>
      <c r="Q223" s="4">
        <f>SEARCH(",",$W223,P223+1)</f>
        <v>44</v>
      </c>
      <c r="R223" s="4">
        <f>SEARCH(",",$W223,Q223+1)</f>
        <v>50</v>
      </c>
      <c r="T223" t="s">
        <v>351</v>
      </c>
      <c r="U223">
        <f>SEARCH(":",T223)</f>
        <v>6</v>
      </c>
      <c r="V223" t="str">
        <f>MID(T223,U223+1,LEN(T223)-(U223))</f>
        <v xml:space="preserve"> 208742 ** -320, -778, 4403, 324, 1316, 3170, 4743, 4495</v>
      </c>
      <c r="W223" t="str">
        <f>TRIM(V223)</f>
        <v>208742 ** -320, -778, 4403, 324, 1316, 3170, 4743, 4495</v>
      </c>
      <c r="X223">
        <f>SEARCH("~*",W223)</f>
        <v>8</v>
      </c>
      <c r="Y223" t="str">
        <f>LEFT(W223,X223-1)</f>
        <v xml:space="preserve">208742 </v>
      </c>
      <c r="AA223" t="str">
        <f>CONCATENATE(A223,",",D223,",",E223,",",F223,",",G223,",",H223,",",I223,",",J223,",",K223)</f>
        <v>208742,-320,-778,4403,324,1316,3170,4743,4495</v>
      </c>
    </row>
    <row r="224" spans="1:27">
      <c r="A224" s="1">
        <f>IF(ISBLANK(T224),"",VALUE(Y224))</f>
        <v>206685</v>
      </c>
      <c r="B224" s="1">
        <f>A224*4/10 -18</f>
        <v>82656</v>
      </c>
      <c r="C224" s="3">
        <f>B224/7000000</f>
        <v>1.1808000000000001E-2</v>
      </c>
      <c r="D224" s="6">
        <f>VALUE(MID(W224,$X224+2,L224-(X224+2)))</f>
        <v>-320</v>
      </c>
      <c r="E224" s="6">
        <f>VALUE(MID($W224,L224+1,M224-(L224+1)))</f>
        <v>-778</v>
      </c>
      <c r="F224" s="6">
        <f>VALUE(MID($W224,M224+1,N224-(M224+1)))</f>
        <v>4403</v>
      </c>
      <c r="G224" s="6">
        <f>VALUE(MID($W224,N224+1,O224-(N224+1)))</f>
        <v>324</v>
      </c>
      <c r="H224" s="6">
        <f>VALUE(MID($W224,O224+1,P224-(O224+1)))</f>
        <v>1316</v>
      </c>
      <c r="I224" s="6">
        <f>VALUE(MID($W224,P224+1,Q224-(P224+1)))</f>
        <v>3170</v>
      </c>
      <c r="J224" s="6">
        <f>VALUE(MID($W224,Q224+1,R224-(Q224+1)))</f>
        <v>4743</v>
      </c>
      <c r="K224" s="4">
        <f>VALUE(MID(W224,R224+1,LEN(W224)-(R224)))</f>
        <v>4495</v>
      </c>
      <c r="L224" s="4">
        <f>SEARCH(",",W224,X224)</f>
        <v>15</v>
      </c>
      <c r="M224" s="4">
        <f>SEARCH(",",$W224,L224+1)</f>
        <v>21</v>
      </c>
      <c r="N224" s="4">
        <f>SEARCH(",",$W224,M224+1)</f>
        <v>27</v>
      </c>
      <c r="O224" s="4">
        <f>SEARCH(",",$W224,N224+1)</f>
        <v>32</v>
      </c>
      <c r="P224" s="4">
        <f>SEARCH(",",$W224,O224+1)</f>
        <v>38</v>
      </c>
      <c r="Q224" s="4">
        <f>SEARCH(",",$W224,P224+1)</f>
        <v>44</v>
      </c>
      <c r="R224" s="4">
        <f>SEARCH(",",$W224,Q224+1)</f>
        <v>50</v>
      </c>
      <c r="T224" t="s">
        <v>485</v>
      </c>
      <c r="U224">
        <f>SEARCH(":",T224)</f>
        <v>6</v>
      </c>
      <c r="V224" t="str">
        <f>MID(T224,U224+1,LEN(T224)-(U224))</f>
        <v xml:space="preserve"> 206685 ** -320, -778, 4403, 324, 1316, 3170, 4743, 4495</v>
      </c>
      <c r="W224" t="str">
        <f>TRIM(V224)</f>
        <v>206685 ** -320, -778, 4403, 324, 1316, 3170, 4743, 4495</v>
      </c>
      <c r="X224">
        <f>SEARCH("~*",W224)</f>
        <v>8</v>
      </c>
      <c r="Y224" t="str">
        <f>LEFT(W224,X224-1)</f>
        <v xml:space="preserve">206685 </v>
      </c>
      <c r="AA224" t="str">
        <f>CONCATENATE(A224,",",D224,",",E224,",",F224,",",G224,",",H224,",",I224,",",J224,",",K224)</f>
        <v>206685,-320,-778,4403,324,1316,3170,4743,4495</v>
      </c>
    </row>
    <row r="225" spans="1:27">
      <c r="A225" s="1">
        <f>IF(ISBLANK(T225),"",VALUE(Y225))</f>
        <v>206450</v>
      </c>
      <c r="B225" s="1">
        <f>A225*4/10 -18</f>
        <v>82562</v>
      </c>
      <c r="C225" s="3">
        <f>B225/7000000</f>
        <v>1.1794571428571429E-2</v>
      </c>
      <c r="D225" s="6">
        <f>VALUE(MID(W225,$X225+2,L225-(X225+2)))</f>
        <v>-320</v>
      </c>
      <c r="E225" s="6">
        <f>VALUE(MID($W225,L225+1,M225-(L225+1)))</f>
        <v>-778</v>
      </c>
      <c r="F225" s="6">
        <f>VALUE(MID($W225,M225+1,N225-(M225+1)))</f>
        <v>4403</v>
      </c>
      <c r="G225" s="6">
        <f>VALUE(MID($W225,N225+1,O225-(N225+1)))</f>
        <v>324</v>
      </c>
      <c r="H225" s="6">
        <f>VALUE(MID($W225,O225+1,P225-(O225+1)))</f>
        <v>1316</v>
      </c>
      <c r="I225" s="6">
        <f>VALUE(MID($W225,P225+1,Q225-(P225+1)))</f>
        <v>3170</v>
      </c>
      <c r="J225" s="6">
        <f>VALUE(MID($W225,Q225+1,R225-(Q225+1)))</f>
        <v>4743</v>
      </c>
      <c r="K225" s="4">
        <f>VALUE(MID(W225,R225+1,LEN(W225)-(R225)))</f>
        <v>4495</v>
      </c>
      <c r="L225" s="4">
        <f>SEARCH(",",W225,X225)</f>
        <v>15</v>
      </c>
      <c r="M225" s="4">
        <f>SEARCH(",",$W225,L225+1)</f>
        <v>21</v>
      </c>
      <c r="N225" s="4">
        <f>SEARCH(",",$W225,M225+1)</f>
        <v>27</v>
      </c>
      <c r="O225" s="4">
        <f>SEARCH(",",$W225,N225+1)</f>
        <v>32</v>
      </c>
      <c r="P225" s="4">
        <f>SEARCH(",",$W225,O225+1)</f>
        <v>38</v>
      </c>
      <c r="Q225" s="4">
        <f>SEARCH(",",$W225,P225+1)</f>
        <v>44</v>
      </c>
      <c r="R225" s="4">
        <f>SEARCH(",",$W225,Q225+1)</f>
        <v>50</v>
      </c>
      <c r="T225" t="s">
        <v>389</v>
      </c>
      <c r="U225">
        <f>SEARCH(":",T225)</f>
        <v>6</v>
      </c>
      <c r="V225" t="str">
        <f>MID(T225,U225+1,LEN(T225)-(U225))</f>
        <v xml:space="preserve"> 206450 ** -320, -778, 4403, 324, 1316, 3170, 4743, 4495</v>
      </c>
      <c r="W225" t="str">
        <f>TRIM(V225)</f>
        <v>206450 ** -320, -778, 4403, 324, 1316, 3170, 4743, 4495</v>
      </c>
      <c r="X225">
        <f>SEARCH("~*",W225)</f>
        <v>8</v>
      </c>
      <c r="Y225" t="str">
        <f>LEFT(W225,X225-1)</f>
        <v xml:space="preserve">206450 </v>
      </c>
      <c r="AA225" t="str">
        <f>CONCATENATE(A225,",",D225,",",E225,",",F225,",",G225,",",H225,",",I225,",",J225,",",K225)</f>
        <v>206450,-320,-778,4403,324,1316,3170,4743,4495</v>
      </c>
    </row>
    <row r="226" spans="1:27">
      <c r="A226" s="1">
        <f>IF(ISBLANK(T226),"",VALUE(Y226))</f>
        <v>206135</v>
      </c>
      <c r="B226" s="1">
        <f>A226*4/10 -18</f>
        <v>82436</v>
      </c>
      <c r="C226" s="3">
        <f>B226/7000000</f>
        <v>1.1776571428571428E-2</v>
      </c>
      <c r="D226" s="6">
        <f>VALUE(MID(W226,$X226+2,L226-(X226+2)))</f>
        <v>-320</v>
      </c>
      <c r="E226" s="6">
        <f>VALUE(MID($W226,L226+1,M226-(L226+1)))</f>
        <v>-778</v>
      </c>
      <c r="F226" s="6">
        <f>VALUE(MID($W226,M226+1,N226-(M226+1)))</f>
        <v>4403</v>
      </c>
      <c r="G226" s="6">
        <f>VALUE(MID($W226,N226+1,O226-(N226+1)))</f>
        <v>324</v>
      </c>
      <c r="H226" s="6">
        <f>VALUE(MID($W226,O226+1,P226-(O226+1)))</f>
        <v>1316</v>
      </c>
      <c r="I226" s="6">
        <f>VALUE(MID($W226,P226+1,Q226-(P226+1)))</f>
        <v>3170</v>
      </c>
      <c r="J226" s="6">
        <f>VALUE(MID($W226,Q226+1,R226-(Q226+1)))</f>
        <v>4743</v>
      </c>
      <c r="K226" s="4">
        <f>VALUE(MID(W226,R226+1,LEN(W226)-(R226)))</f>
        <v>4495</v>
      </c>
      <c r="L226" s="4">
        <f>SEARCH(",",W226,X226)</f>
        <v>15</v>
      </c>
      <c r="M226" s="4">
        <f>SEARCH(",",$W226,L226+1)</f>
        <v>21</v>
      </c>
      <c r="N226" s="4">
        <f>SEARCH(",",$W226,M226+1)</f>
        <v>27</v>
      </c>
      <c r="O226" s="4">
        <f>SEARCH(",",$W226,N226+1)</f>
        <v>32</v>
      </c>
      <c r="P226" s="4">
        <f>SEARCH(",",$W226,O226+1)</f>
        <v>38</v>
      </c>
      <c r="Q226" s="4">
        <f>SEARCH(",",$W226,P226+1)</f>
        <v>44</v>
      </c>
      <c r="R226" s="4">
        <f>SEARCH(",",$W226,Q226+1)</f>
        <v>50</v>
      </c>
      <c r="T226" t="s">
        <v>541</v>
      </c>
      <c r="U226">
        <f>SEARCH(":",T226)</f>
        <v>6</v>
      </c>
      <c r="V226" t="str">
        <f>MID(T226,U226+1,LEN(T226)-(U226))</f>
        <v xml:space="preserve"> 206135 ** -320, -778, 4403, 324, 1316, 3170, 4743, 4495</v>
      </c>
      <c r="W226" t="str">
        <f>TRIM(V226)</f>
        <v>206135 ** -320, -778, 4403, 324, 1316, 3170, 4743, 4495</v>
      </c>
      <c r="X226">
        <f>SEARCH("~*",W226)</f>
        <v>8</v>
      </c>
      <c r="Y226" t="str">
        <f>LEFT(W226,X226-1)</f>
        <v xml:space="preserve">206135 </v>
      </c>
      <c r="AA226" t="str">
        <f>CONCATENATE(A226,",",D226,",",E226,",",F226,",",G226,",",H226,",",I226,",",J226,",",K226)</f>
        <v>206135,-320,-778,4403,324,1316,3170,4743,4495</v>
      </c>
    </row>
    <row r="227" spans="1:27">
      <c r="A227" s="1">
        <f>IF(ISBLANK(T227),"",VALUE(Y227))</f>
        <v>204745</v>
      </c>
      <c r="B227" s="1">
        <f>A227*4/10 -18</f>
        <v>81880</v>
      </c>
      <c r="C227" s="3">
        <f>B227/7000000</f>
        <v>1.1697142857142857E-2</v>
      </c>
      <c r="D227" s="6">
        <f>VALUE(MID(W227,$X227+2,L227-(X227+2)))</f>
        <v>-320</v>
      </c>
      <c r="E227" s="6">
        <f>VALUE(MID($W227,L227+1,M227-(L227+1)))</f>
        <v>-778</v>
      </c>
      <c r="F227" s="6">
        <f>VALUE(MID($W227,M227+1,N227-(M227+1)))</f>
        <v>4403</v>
      </c>
      <c r="G227" s="6">
        <f>VALUE(MID($W227,N227+1,O227-(N227+1)))</f>
        <v>324</v>
      </c>
      <c r="H227" s="6">
        <f>VALUE(MID($W227,O227+1,P227-(O227+1)))</f>
        <v>1316</v>
      </c>
      <c r="I227" s="6">
        <f>VALUE(MID($W227,P227+1,Q227-(P227+1)))</f>
        <v>3170</v>
      </c>
      <c r="J227" s="6">
        <f>VALUE(MID($W227,Q227+1,R227-(Q227+1)))</f>
        <v>4743</v>
      </c>
      <c r="K227" s="4">
        <f>VALUE(MID(W227,R227+1,LEN(W227)-(R227)))</f>
        <v>4495</v>
      </c>
      <c r="L227" s="4">
        <f>SEARCH(",",W227,X227)</f>
        <v>15</v>
      </c>
      <c r="M227" s="4">
        <f>SEARCH(",",$W227,L227+1)</f>
        <v>21</v>
      </c>
      <c r="N227" s="4">
        <f>SEARCH(",",$W227,M227+1)</f>
        <v>27</v>
      </c>
      <c r="O227" s="4">
        <f>SEARCH(",",$W227,N227+1)</f>
        <v>32</v>
      </c>
      <c r="P227" s="4">
        <f>SEARCH(",",$W227,O227+1)</f>
        <v>38</v>
      </c>
      <c r="Q227" s="4">
        <f>SEARCH(",",$W227,P227+1)</f>
        <v>44</v>
      </c>
      <c r="R227" s="4">
        <f>SEARCH(",",$W227,Q227+1)</f>
        <v>50</v>
      </c>
      <c r="T227" t="s">
        <v>457</v>
      </c>
      <c r="U227">
        <f>SEARCH(":",T227)</f>
        <v>6</v>
      </c>
      <c r="V227" t="str">
        <f>MID(T227,U227+1,LEN(T227)-(U227))</f>
        <v xml:space="preserve"> 204745 ** -320, -778, 4403, 324, 1316, 3170, 4743, 4495</v>
      </c>
      <c r="W227" t="str">
        <f>TRIM(V227)</f>
        <v>204745 ** -320, -778, 4403, 324, 1316, 3170, 4743, 4495</v>
      </c>
      <c r="X227">
        <f>SEARCH("~*",W227)</f>
        <v>8</v>
      </c>
      <c r="Y227" t="str">
        <f>LEFT(W227,X227-1)</f>
        <v xml:space="preserve">204745 </v>
      </c>
      <c r="AA227" t="str">
        <f>CONCATENATE(A227,",",D227,",",E227,",",F227,",",G227,",",H227,",",I227,",",J227,",",K227)</f>
        <v>204745,-320,-778,4403,324,1316,3170,4743,4495</v>
      </c>
    </row>
    <row r="228" spans="1:27">
      <c r="A228" s="1">
        <f>IF(ISBLANK(T228),"",VALUE(Y228))</f>
        <v>199686</v>
      </c>
      <c r="B228" s="1">
        <f>A228*4/10 -18</f>
        <v>79856.399999999994</v>
      </c>
      <c r="C228" s="3">
        <f>B228/7000000</f>
        <v>1.1408057142857142E-2</v>
      </c>
      <c r="D228" s="6">
        <f>VALUE(MID(W228,$X228+2,L228-(X228+2)))</f>
        <v>-320</v>
      </c>
      <c r="E228" s="6">
        <f>VALUE(MID($W228,L228+1,M228-(L228+1)))</f>
        <v>-778</v>
      </c>
      <c r="F228" s="6">
        <f>VALUE(MID($W228,M228+1,N228-(M228+1)))</f>
        <v>4403</v>
      </c>
      <c r="G228" s="6">
        <f>VALUE(MID($W228,N228+1,O228-(N228+1)))</f>
        <v>324</v>
      </c>
      <c r="H228" s="6">
        <f>VALUE(MID($W228,O228+1,P228-(O228+1)))</f>
        <v>1316</v>
      </c>
      <c r="I228" s="6">
        <f>VALUE(MID($W228,P228+1,Q228-(P228+1)))</f>
        <v>3170</v>
      </c>
      <c r="J228" s="6">
        <f>VALUE(MID($W228,Q228+1,R228-(Q228+1)))</f>
        <v>4743</v>
      </c>
      <c r="K228" s="4">
        <f>VALUE(MID(W228,R228+1,LEN(W228)-(R228)))</f>
        <v>4495</v>
      </c>
      <c r="L228" s="4">
        <f>SEARCH(",",W228,X228)</f>
        <v>15</v>
      </c>
      <c r="M228" s="4">
        <f>SEARCH(",",$W228,L228+1)</f>
        <v>21</v>
      </c>
      <c r="N228" s="4">
        <f>SEARCH(",",$W228,M228+1)</f>
        <v>27</v>
      </c>
      <c r="O228" s="4">
        <f>SEARCH(",",$W228,N228+1)</f>
        <v>32</v>
      </c>
      <c r="P228" s="4">
        <f>SEARCH(",",$W228,O228+1)</f>
        <v>38</v>
      </c>
      <c r="Q228" s="4">
        <f>SEARCH(",",$W228,P228+1)</f>
        <v>44</v>
      </c>
      <c r="R228" s="4">
        <f>SEARCH(",",$W228,Q228+1)</f>
        <v>50</v>
      </c>
      <c r="T228" t="s">
        <v>337</v>
      </c>
      <c r="U228">
        <f>SEARCH(":",T228)</f>
        <v>6</v>
      </c>
      <c r="V228" t="str">
        <f>MID(T228,U228+1,LEN(T228)-(U228))</f>
        <v xml:space="preserve"> 199686 ** -320, -778, 4403, 324, 1316, 3170, 4743, 4495</v>
      </c>
      <c r="W228" t="str">
        <f>TRIM(V228)</f>
        <v>199686 ** -320, -778, 4403, 324, 1316, 3170, 4743, 4495</v>
      </c>
      <c r="X228">
        <f>SEARCH("~*",W228)</f>
        <v>8</v>
      </c>
      <c r="Y228" t="str">
        <f>LEFT(W228,X228-1)</f>
        <v xml:space="preserve">199686 </v>
      </c>
      <c r="AA228" t="str">
        <f>CONCATENATE(A228,",",D228,",",E228,",",F228,",",G228,",",H228,",",I228,",",J228,",",K228)</f>
        <v>199686,-320,-778,4403,324,1316,3170,4743,4495</v>
      </c>
    </row>
    <row r="229" spans="1:27">
      <c r="A229" s="1">
        <f>IF(ISBLANK(T229),"",VALUE(Y229))</f>
        <v>198261</v>
      </c>
      <c r="B229" s="1">
        <f>A229*4/10 -18</f>
        <v>79286.399999999994</v>
      </c>
      <c r="C229" s="3">
        <f>B229/7000000</f>
        <v>1.1326628571428571E-2</v>
      </c>
      <c r="D229" s="6">
        <f>VALUE(MID(W229,$X229+2,L229-(X229+2)))</f>
        <v>-320</v>
      </c>
      <c r="E229" s="6">
        <f>VALUE(MID($W229,L229+1,M229-(L229+1)))</f>
        <v>-778</v>
      </c>
      <c r="F229" s="6">
        <f>VALUE(MID($W229,M229+1,N229-(M229+1)))</f>
        <v>4403</v>
      </c>
      <c r="G229" s="6">
        <f>VALUE(MID($W229,N229+1,O229-(N229+1)))</f>
        <v>324</v>
      </c>
      <c r="H229" s="6">
        <f>VALUE(MID($W229,O229+1,P229-(O229+1)))</f>
        <v>1316</v>
      </c>
      <c r="I229" s="6">
        <f>VALUE(MID($W229,P229+1,Q229-(P229+1)))</f>
        <v>3170</v>
      </c>
      <c r="J229" s="6">
        <f>VALUE(MID($W229,Q229+1,R229-(Q229+1)))</f>
        <v>4743</v>
      </c>
      <c r="K229" s="4">
        <f>VALUE(MID(W229,R229+1,LEN(W229)-(R229)))</f>
        <v>4495</v>
      </c>
      <c r="L229" s="4">
        <f>SEARCH(",",W229,X229)</f>
        <v>15</v>
      </c>
      <c r="M229" s="4">
        <f>SEARCH(",",$W229,L229+1)</f>
        <v>21</v>
      </c>
      <c r="N229" s="4">
        <f>SEARCH(",",$W229,M229+1)</f>
        <v>27</v>
      </c>
      <c r="O229" s="4">
        <f>SEARCH(",",$W229,N229+1)</f>
        <v>32</v>
      </c>
      <c r="P229" s="4">
        <f>SEARCH(",",$W229,O229+1)</f>
        <v>38</v>
      </c>
      <c r="Q229" s="4">
        <f>SEARCH(",",$W229,P229+1)</f>
        <v>44</v>
      </c>
      <c r="R229" s="4">
        <f>SEARCH(",",$W229,Q229+1)</f>
        <v>50</v>
      </c>
      <c r="T229" t="s">
        <v>459</v>
      </c>
      <c r="U229">
        <f>SEARCH(":",T229)</f>
        <v>6</v>
      </c>
      <c r="V229" t="str">
        <f>MID(T229,U229+1,LEN(T229)-(U229))</f>
        <v xml:space="preserve"> 198261 ** -320, -778, 4403, 324, 1316, 3170, 4743, 4495</v>
      </c>
      <c r="W229" t="str">
        <f>TRIM(V229)</f>
        <v>198261 ** -320, -778, 4403, 324, 1316, 3170, 4743, 4495</v>
      </c>
      <c r="X229">
        <f>SEARCH("~*",W229)</f>
        <v>8</v>
      </c>
      <c r="Y229" t="str">
        <f>LEFT(W229,X229-1)</f>
        <v xml:space="preserve">198261 </v>
      </c>
      <c r="AA229" t="str">
        <f>CONCATENATE(A229,",",D229,",",E229,",",F229,",",G229,",",H229,",",I229,",",J229,",",K229)</f>
        <v>198261,-320,-778,4403,324,1316,3170,4743,4495</v>
      </c>
    </row>
    <row r="230" spans="1:27">
      <c r="A230" s="1">
        <f>IF(ISBLANK(T230),"",VALUE(Y230))</f>
        <v>197208</v>
      </c>
      <c r="B230" s="1">
        <f>A230*4/10 -18</f>
        <v>78865.2</v>
      </c>
      <c r="C230" s="3">
        <f>B230/7000000</f>
        <v>1.1266457142857142E-2</v>
      </c>
      <c r="D230" s="6">
        <f>VALUE(MID(W230,$X230+2,L230-(X230+2)))</f>
        <v>-320</v>
      </c>
      <c r="E230" s="6">
        <f>VALUE(MID($W230,L230+1,M230-(L230+1)))</f>
        <v>-778</v>
      </c>
      <c r="F230" s="6">
        <f>VALUE(MID($W230,M230+1,N230-(M230+1)))</f>
        <v>4403</v>
      </c>
      <c r="G230" s="6">
        <f>VALUE(MID($W230,N230+1,O230-(N230+1)))</f>
        <v>324</v>
      </c>
      <c r="H230" s="6">
        <f>VALUE(MID($W230,O230+1,P230-(O230+1)))</f>
        <v>1316</v>
      </c>
      <c r="I230" s="6">
        <f>VALUE(MID($W230,P230+1,Q230-(P230+1)))</f>
        <v>3170</v>
      </c>
      <c r="J230" s="6">
        <f>VALUE(MID($W230,Q230+1,R230-(Q230+1)))</f>
        <v>4743</v>
      </c>
      <c r="K230" s="4">
        <f>VALUE(MID(W230,R230+1,LEN(W230)-(R230)))</f>
        <v>4495</v>
      </c>
      <c r="L230" s="4">
        <f>SEARCH(",",W230,X230)</f>
        <v>15</v>
      </c>
      <c r="M230" s="4">
        <f>SEARCH(",",$W230,L230+1)</f>
        <v>21</v>
      </c>
      <c r="N230" s="4">
        <f>SEARCH(",",$W230,M230+1)</f>
        <v>27</v>
      </c>
      <c r="O230" s="4">
        <f>SEARCH(",",$W230,N230+1)</f>
        <v>32</v>
      </c>
      <c r="P230" s="4">
        <f>SEARCH(",",$W230,O230+1)</f>
        <v>38</v>
      </c>
      <c r="Q230" s="4">
        <f>SEARCH(",",$W230,P230+1)</f>
        <v>44</v>
      </c>
      <c r="R230" s="4">
        <f>SEARCH(",",$W230,Q230+1)</f>
        <v>50</v>
      </c>
      <c r="T230" t="s">
        <v>386</v>
      </c>
      <c r="U230">
        <f>SEARCH(":",T230)</f>
        <v>6</v>
      </c>
      <c r="V230" t="str">
        <f>MID(T230,U230+1,LEN(T230)-(U230))</f>
        <v xml:space="preserve"> 197208 ** -320, -778, 4403, 324, 1316, 3170, 4743, 4495</v>
      </c>
      <c r="W230" t="str">
        <f>TRIM(V230)</f>
        <v>197208 ** -320, -778, 4403, 324, 1316, 3170, 4743, 4495</v>
      </c>
      <c r="X230">
        <f>SEARCH("~*",W230)</f>
        <v>8</v>
      </c>
      <c r="Y230" t="str">
        <f>LEFT(W230,X230-1)</f>
        <v xml:space="preserve">197208 </v>
      </c>
      <c r="AA230" t="str">
        <f>CONCATENATE(A230,",",D230,",",E230,",",F230,",",G230,",",H230,",",I230,",",J230,",",K230)</f>
        <v>197208,-320,-778,4403,324,1316,3170,4743,4495</v>
      </c>
    </row>
    <row r="231" spans="1:27">
      <c r="A231" s="1">
        <f>IF(ISBLANK(T231),"",VALUE(Y231))</f>
        <v>196352</v>
      </c>
      <c r="B231" s="1">
        <f>A231*4/10 -18</f>
        <v>78522.8</v>
      </c>
      <c r="C231" s="3">
        <f>B231/7000000</f>
        <v>1.1217542857142857E-2</v>
      </c>
      <c r="D231" s="6">
        <f>VALUE(MID(W231,$X231+2,L231-(X231+2)))</f>
        <v>-320</v>
      </c>
      <c r="E231" s="6">
        <f>VALUE(MID($W231,L231+1,M231-(L231+1)))</f>
        <v>-778</v>
      </c>
      <c r="F231" s="6">
        <f>VALUE(MID($W231,M231+1,N231-(M231+1)))</f>
        <v>4403</v>
      </c>
      <c r="G231" s="6">
        <f>VALUE(MID($W231,N231+1,O231-(N231+1)))</f>
        <v>324</v>
      </c>
      <c r="H231" s="6">
        <f>VALUE(MID($W231,O231+1,P231-(O231+1)))</f>
        <v>1316</v>
      </c>
      <c r="I231" s="6">
        <f>VALUE(MID($W231,P231+1,Q231-(P231+1)))</f>
        <v>3170</v>
      </c>
      <c r="J231" s="6">
        <f>VALUE(MID($W231,Q231+1,R231-(Q231+1)))</f>
        <v>4743</v>
      </c>
      <c r="K231" s="4">
        <f>VALUE(MID(W231,R231+1,LEN(W231)-(R231)))</f>
        <v>4495</v>
      </c>
      <c r="L231" s="4">
        <f>SEARCH(",",W231,X231)</f>
        <v>15</v>
      </c>
      <c r="M231" s="4">
        <f>SEARCH(",",$W231,L231+1)</f>
        <v>21</v>
      </c>
      <c r="N231" s="4">
        <f>SEARCH(",",$W231,M231+1)</f>
        <v>27</v>
      </c>
      <c r="O231" s="4">
        <f>SEARCH(",",$W231,N231+1)</f>
        <v>32</v>
      </c>
      <c r="P231" s="4">
        <f>SEARCH(",",$W231,O231+1)</f>
        <v>38</v>
      </c>
      <c r="Q231" s="4">
        <f>SEARCH(",",$W231,P231+1)</f>
        <v>44</v>
      </c>
      <c r="R231" s="4">
        <f>SEARCH(",",$W231,Q231+1)</f>
        <v>50</v>
      </c>
      <c r="T231" t="s">
        <v>293</v>
      </c>
      <c r="U231">
        <f>SEARCH(":",T231)</f>
        <v>6</v>
      </c>
      <c r="V231" t="str">
        <f>MID(T231,U231+1,LEN(T231)-(U231))</f>
        <v xml:space="preserve"> 196352 ** -320, -778, 4403, 324, 1316, 3170, 4743, 4495</v>
      </c>
      <c r="W231" t="str">
        <f>TRIM(V231)</f>
        <v>196352 ** -320, -778, 4403, 324, 1316, 3170, 4743, 4495</v>
      </c>
      <c r="X231">
        <f>SEARCH("~*",W231)</f>
        <v>8</v>
      </c>
      <c r="Y231" t="str">
        <f>LEFT(W231,X231-1)</f>
        <v xml:space="preserve">196352 </v>
      </c>
      <c r="AA231" t="str">
        <f>CONCATENATE(A231,",",D231,",",E231,",",F231,",",G231,",",H231,",",I231,",",J231,",",K231)</f>
        <v>196352,-320,-778,4403,324,1316,3170,4743,4495</v>
      </c>
    </row>
    <row r="232" spans="1:27">
      <c r="A232" s="1">
        <f>IF(ISBLANK(T232),"",VALUE(Y232))</f>
        <v>195119</v>
      </c>
      <c r="B232" s="1">
        <f>A232*4/10 -18</f>
        <v>78029.600000000006</v>
      </c>
      <c r="C232" s="3">
        <f>B232/7000000</f>
        <v>1.1147085714285715E-2</v>
      </c>
      <c r="D232" s="6">
        <f>VALUE(MID(W232,$X232+2,L232-(X232+2)))</f>
        <v>-320</v>
      </c>
      <c r="E232" s="6">
        <f>VALUE(MID($W232,L232+1,M232-(L232+1)))</f>
        <v>-778</v>
      </c>
      <c r="F232" s="6">
        <f>VALUE(MID($W232,M232+1,N232-(M232+1)))</f>
        <v>4403</v>
      </c>
      <c r="G232" s="6">
        <f>VALUE(MID($W232,N232+1,O232-(N232+1)))</f>
        <v>324</v>
      </c>
      <c r="H232" s="6">
        <f>VALUE(MID($W232,O232+1,P232-(O232+1)))</f>
        <v>1316</v>
      </c>
      <c r="I232" s="6">
        <f>VALUE(MID($W232,P232+1,Q232-(P232+1)))</f>
        <v>3170</v>
      </c>
      <c r="J232" s="6">
        <f>VALUE(MID($W232,Q232+1,R232-(Q232+1)))</f>
        <v>4743</v>
      </c>
      <c r="K232" s="4">
        <f>VALUE(MID(W232,R232+1,LEN(W232)-(R232)))</f>
        <v>4495</v>
      </c>
      <c r="L232" s="4">
        <f>SEARCH(",",W232,X232)</f>
        <v>15</v>
      </c>
      <c r="M232" s="4">
        <f>SEARCH(",",$W232,L232+1)</f>
        <v>21</v>
      </c>
      <c r="N232" s="4">
        <f>SEARCH(",",$W232,M232+1)</f>
        <v>27</v>
      </c>
      <c r="O232" s="4">
        <f>SEARCH(",",$W232,N232+1)</f>
        <v>32</v>
      </c>
      <c r="P232" s="4">
        <f>SEARCH(",",$W232,O232+1)</f>
        <v>38</v>
      </c>
      <c r="Q232" s="4">
        <f>SEARCH(",",$W232,P232+1)</f>
        <v>44</v>
      </c>
      <c r="R232" s="4">
        <f>SEARCH(",",$W232,Q232+1)</f>
        <v>50</v>
      </c>
      <c r="T232" t="s">
        <v>475</v>
      </c>
      <c r="U232">
        <f>SEARCH(":",T232)</f>
        <v>6</v>
      </c>
      <c r="V232" t="str">
        <f>MID(T232,U232+1,LEN(T232)-(U232))</f>
        <v xml:space="preserve"> 195119 ** -320, -778, 4403, 324, 1316, 3170, 4743, 4495</v>
      </c>
      <c r="W232" t="str">
        <f>TRIM(V232)</f>
        <v>195119 ** -320, -778, 4403, 324, 1316, 3170, 4743, 4495</v>
      </c>
      <c r="X232">
        <f>SEARCH("~*",W232)</f>
        <v>8</v>
      </c>
      <c r="Y232" t="str">
        <f>LEFT(W232,X232-1)</f>
        <v xml:space="preserve">195119 </v>
      </c>
      <c r="AA232" t="str">
        <f>CONCATENATE(A232,",",D232,",",E232,",",F232,",",G232,",",H232,",",I232,",",J232,",",K232)</f>
        <v>195119,-320,-778,4403,324,1316,3170,4743,4495</v>
      </c>
    </row>
    <row r="233" spans="1:27">
      <c r="A233" s="1">
        <f>IF(ISBLANK(T233),"",VALUE(Y233))</f>
        <v>193009</v>
      </c>
      <c r="B233" s="1">
        <f>A233*4/10 -18</f>
        <v>77185.600000000006</v>
      </c>
      <c r="C233" s="3">
        <f>B233/7000000</f>
        <v>1.1026514285714287E-2</v>
      </c>
      <c r="D233" s="6">
        <f>VALUE(MID(W233,$X233+2,L233-(X233+2)))</f>
        <v>-320</v>
      </c>
      <c r="E233" s="6">
        <f>VALUE(MID($W233,L233+1,M233-(L233+1)))</f>
        <v>-778</v>
      </c>
      <c r="F233" s="6">
        <f>VALUE(MID($W233,M233+1,N233-(M233+1)))</f>
        <v>4403</v>
      </c>
      <c r="G233" s="6">
        <f>VALUE(MID($W233,N233+1,O233-(N233+1)))</f>
        <v>324</v>
      </c>
      <c r="H233" s="6">
        <f>VALUE(MID($W233,O233+1,P233-(O233+1)))</f>
        <v>1316</v>
      </c>
      <c r="I233" s="6">
        <f>VALUE(MID($W233,P233+1,Q233-(P233+1)))</f>
        <v>3170</v>
      </c>
      <c r="J233" s="6">
        <f>VALUE(MID($W233,Q233+1,R233-(Q233+1)))</f>
        <v>4743</v>
      </c>
      <c r="K233" s="4">
        <f>VALUE(MID(W233,R233+1,LEN(W233)-(R233)))</f>
        <v>4495</v>
      </c>
      <c r="L233" s="4">
        <f>SEARCH(",",W233,X233)</f>
        <v>15</v>
      </c>
      <c r="M233" s="4">
        <f>SEARCH(",",$W233,L233+1)</f>
        <v>21</v>
      </c>
      <c r="N233" s="4">
        <f>SEARCH(",",$W233,M233+1)</f>
        <v>27</v>
      </c>
      <c r="O233" s="4">
        <f>SEARCH(",",$W233,N233+1)</f>
        <v>32</v>
      </c>
      <c r="P233" s="4">
        <f>SEARCH(",",$W233,O233+1)</f>
        <v>38</v>
      </c>
      <c r="Q233" s="4">
        <f>SEARCH(",",$W233,P233+1)</f>
        <v>44</v>
      </c>
      <c r="R233" s="4">
        <f>SEARCH(",",$W233,Q233+1)</f>
        <v>50</v>
      </c>
      <c r="T233" t="s">
        <v>561</v>
      </c>
      <c r="U233">
        <f>SEARCH(":",T233)</f>
        <v>6</v>
      </c>
      <c r="V233" t="str">
        <f>MID(T233,U233+1,LEN(T233)-(U233))</f>
        <v xml:space="preserve"> 193009 ** -320, -778, 4403, 324, 1316, 3170, 4743, 4495</v>
      </c>
      <c r="W233" t="str">
        <f>TRIM(V233)</f>
        <v>193009 ** -320, -778, 4403, 324, 1316, 3170, 4743, 4495</v>
      </c>
      <c r="X233">
        <f>SEARCH("~*",W233)</f>
        <v>8</v>
      </c>
      <c r="Y233" t="str">
        <f>LEFT(W233,X233-1)</f>
        <v xml:space="preserve">193009 </v>
      </c>
      <c r="AA233" t="str">
        <f>CONCATENATE(A233,",",D233,",",E233,",",F233,",",G233,",",H233,",",I233,",",J233,",",K233)</f>
        <v>193009,-320,-778,4403,324,1316,3170,4743,4495</v>
      </c>
    </row>
    <row r="234" spans="1:27">
      <c r="A234" s="1">
        <f>IF(ISBLANK(T234),"",VALUE(Y234))</f>
        <v>191635</v>
      </c>
      <c r="B234" s="1">
        <f>A234*4/10 -18</f>
        <v>76636</v>
      </c>
      <c r="C234" s="3">
        <f>B234/7000000</f>
        <v>1.0947999999999999E-2</v>
      </c>
      <c r="D234" s="6">
        <f>VALUE(MID(W234,$X234+2,L234-(X234+2)))</f>
        <v>-320</v>
      </c>
      <c r="E234" s="6">
        <f>VALUE(MID($W234,L234+1,M234-(L234+1)))</f>
        <v>-778</v>
      </c>
      <c r="F234" s="6">
        <f>VALUE(MID($W234,M234+1,N234-(M234+1)))</f>
        <v>4403</v>
      </c>
      <c r="G234" s="6">
        <f>VALUE(MID($W234,N234+1,O234-(N234+1)))</f>
        <v>324</v>
      </c>
      <c r="H234" s="6">
        <f>VALUE(MID($W234,O234+1,P234-(O234+1)))</f>
        <v>1316</v>
      </c>
      <c r="I234" s="6">
        <f>VALUE(MID($W234,P234+1,Q234-(P234+1)))</f>
        <v>3170</v>
      </c>
      <c r="J234" s="6">
        <f>VALUE(MID($W234,Q234+1,R234-(Q234+1)))</f>
        <v>4743</v>
      </c>
      <c r="K234" s="4">
        <f>VALUE(MID(W234,R234+1,LEN(W234)-(R234)))</f>
        <v>4495</v>
      </c>
      <c r="L234" s="4">
        <f>SEARCH(",",W234,X234)</f>
        <v>15</v>
      </c>
      <c r="M234" s="4">
        <f>SEARCH(",",$W234,L234+1)</f>
        <v>21</v>
      </c>
      <c r="N234" s="4">
        <f>SEARCH(",",$W234,M234+1)</f>
        <v>27</v>
      </c>
      <c r="O234" s="4">
        <f>SEARCH(",",$W234,N234+1)</f>
        <v>32</v>
      </c>
      <c r="P234" s="4">
        <f>SEARCH(",",$W234,O234+1)</f>
        <v>38</v>
      </c>
      <c r="Q234" s="4">
        <f>SEARCH(",",$W234,P234+1)</f>
        <v>44</v>
      </c>
      <c r="R234" s="4">
        <f>SEARCH(",",$W234,Q234+1)</f>
        <v>50</v>
      </c>
      <c r="T234" t="s">
        <v>518</v>
      </c>
      <c r="U234">
        <f>SEARCH(":",T234)</f>
        <v>6</v>
      </c>
      <c r="V234" t="str">
        <f>MID(T234,U234+1,LEN(T234)-(U234))</f>
        <v xml:space="preserve"> 191635 ** -320, -778, 4403, 324, 1316, 3170, 4743, 4495</v>
      </c>
      <c r="W234" t="str">
        <f>TRIM(V234)</f>
        <v>191635 ** -320, -778, 4403, 324, 1316, 3170, 4743, 4495</v>
      </c>
      <c r="X234">
        <f>SEARCH("~*",W234)</f>
        <v>8</v>
      </c>
      <c r="Y234" t="str">
        <f>LEFT(W234,X234-1)</f>
        <v xml:space="preserve">191635 </v>
      </c>
      <c r="AA234" t="str">
        <f>CONCATENATE(A234,",",D234,",",E234,",",F234,",",G234,",",H234,",",I234,",",J234,",",K234)</f>
        <v>191635,-320,-778,4403,324,1316,3170,4743,4495</v>
      </c>
    </row>
    <row r="235" spans="1:27">
      <c r="A235" s="1">
        <f>IF(ISBLANK(T235),"",VALUE(Y235))</f>
        <v>188689</v>
      </c>
      <c r="B235" s="1">
        <f>A235*4/10 -18</f>
        <v>75457.600000000006</v>
      </c>
      <c r="C235" s="3">
        <f>B235/7000000</f>
        <v>1.0779657142857144E-2</v>
      </c>
      <c r="D235" s="6">
        <f>VALUE(MID(W235,$X235+2,L235-(X235+2)))</f>
        <v>-320</v>
      </c>
      <c r="E235" s="6">
        <f>VALUE(MID($W235,L235+1,M235-(L235+1)))</f>
        <v>-778</v>
      </c>
      <c r="F235" s="6">
        <f>VALUE(MID($W235,M235+1,N235-(M235+1)))</f>
        <v>4403</v>
      </c>
      <c r="G235" s="6">
        <f>VALUE(MID($W235,N235+1,O235-(N235+1)))</f>
        <v>324</v>
      </c>
      <c r="H235" s="6">
        <f>VALUE(MID($W235,O235+1,P235-(O235+1)))</f>
        <v>1316</v>
      </c>
      <c r="I235" s="6">
        <f>VALUE(MID($W235,P235+1,Q235-(P235+1)))</f>
        <v>3170</v>
      </c>
      <c r="J235" s="6">
        <f>VALUE(MID($W235,Q235+1,R235-(Q235+1)))</f>
        <v>4743</v>
      </c>
      <c r="K235" s="4">
        <f>VALUE(MID(W235,R235+1,LEN(W235)-(R235)))</f>
        <v>4495</v>
      </c>
      <c r="L235" s="4">
        <f>SEARCH(",",W235,X235)</f>
        <v>15</v>
      </c>
      <c r="M235" s="4">
        <f>SEARCH(",",$W235,L235+1)</f>
        <v>21</v>
      </c>
      <c r="N235" s="4">
        <f>SEARCH(",",$W235,M235+1)</f>
        <v>27</v>
      </c>
      <c r="O235" s="4">
        <f>SEARCH(",",$W235,N235+1)</f>
        <v>32</v>
      </c>
      <c r="P235" s="4">
        <f>SEARCH(",",$W235,O235+1)</f>
        <v>38</v>
      </c>
      <c r="Q235" s="4">
        <f>SEARCH(",",$W235,P235+1)</f>
        <v>44</v>
      </c>
      <c r="R235" s="4">
        <f>SEARCH(",",$W235,Q235+1)</f>
        <v>50</v>
      </c>
      <c r="T235" t="s">
        <v>535</v>
      </c>
      <c r="U235">
        <f>SEARCH(":",T235)</f>
        <v>6</v>
      </c>
      <c r="V235" t="str">
        <f>MID(T235,U235+1,LEN(T235)-(U235))</f>
        <v xml:space="preserve"> 188689 ** -320, -778, 4403, 324, 1316, 3170, 4743, 4495</v>
      </c>
      <c r="W235" t="str">
        <f>TRIM(V235)</f>
        <v>188689 ** -320, -778, 4403, 324, 1316, 3170, 4743, 4495</v>
      </c>
      <c r="X235">
        <f>SEARCH("~*",W235)</f>
        <v>8</v>
      </c>
      <c r="Y235" t="str">
        <f>LEFT(W235,X235-1)</f>
        <v xml:space="preserve">188689 </v>
      </c>
      <c r="AA235" t="str">
        <f>CONCATENATE(A235,",",D235,",",E235,",",F235,",",G235,",",H235,",",I235,",",J235,",",K235)</f>
        <v>188689,-320,-778,4403,324,1316,3170,4743,4495</v>
      </c>
    </row>
    <row r="236" spans="1:27">
      <c r="A236" s="1">
        <f>IF(ISBLANK(T236),"",VALUE(Y236))</f>
        <v>188574</v>
      </c>
      <c r="B236" s="1">
        <f>A236*4/10 -18</f>
        <v>75411.600000000006</v>
      </c>
      <c r="C236" s="3">
        <f>B236/7000000</f>
        <v>1.0773085714285716E-2</v>
      </c>
      <c r="D236" s="6">
        <f>VALUE(MID(W236,$X236+2,L236-(X236+2)))</f>
        <v>-320</v>
      </c>
      <c r="E236" s="6">
        <f>VALUE(MID($W236,L236+1,M236-(L236+1)))</f>
        <v>-778</v>
      </c>
      <c r="F236" s="6">
        <f>VALUE(MID($W236,M236+1,N236-(M236+1)))</f>
        <v>4403</v>
      </c>
      <c r="G236" s="6">
        <f>VALUE(MID($W236,N236+1,O236-(N236+1)))</f>
        <v>324</v>
      </c>
      <c r="H236" s="6">
        <f>VALUE(MID($W236,O236+1,P236-(O236+1)))</f>
        <v>1316</v>
      </c>
      <c r="I236" s="6">
        <f>VALUE(MID($W236,P236+1,Q236-(P236+1)))</f>
        <v>3170</v>
      </c>
      <c r="J236" s="6">
        <f>VALUE(MID($W236,Q236+1,R236-(Q236+1)))</f>
        <v>4743</v>
      </c>
      <c r="K236" s="4">
        <f>VALUE(MID(W236,R236+1,LEN(W236)-(R236)))</f>
        <v>4495</v>
      </c>
      <c r="L236" s="4">
        <f>SEARCH(",",W236,X236)</f>
        <v>15</v>
      </c>
      <c r="M236" s="4">
        <f>SEARCH(",",$W236,L236+1)</f>
        <v>21</v>
      </c>
      <c r="N236" s="4">
        <f>SEARCH(",",$W236,M236+1)</f>
        <v>27</v>
      </c>
      <c r="O236" s="4">
        <f>SEARCH(",",$W236,N236+1)</f>
        <v>32</v>
      </c>
      <c r="P236" s="4">
        <f>SEARCH(",",$W236,O236+1)</f>
        <v>38</v>
      </c>
      <c r="Q236" s="4">
        <f>SEARCH(",",$W236,P236+1)</f>
        <v>44</v>
      </c>
      <c r="R236" s="4">
        <f>SEARCH(",",$W236,Q236+1)</f>
        <v>50</v>
      </c>
      <c r="T236" t="s">
        <v>479</v>
      </c>
      <c r="U236">
        <f>SEARCH(":",T236)</f>
        <v>6</v>
      </c>
      <c r="V236" t="str">
        <f>MID(T236,U236+1,LEN(T236)-(U236))</f>
        <v xml:space="preserve"> 188574 ** -320, -778, 4403, 324, 1316, 3170, 4743, 4495</v>
      </c>
      <c r="W236" t="str">
        <f>TRIM(V236)</f>
        <v>188574 ** -320, -778, 4403, 324, 1316, 3170, 4743, 4495</v>
      </c>
      <c r="X236">
        <f>SEARCH("~*",W236)</f>
        <v>8</v>
      </c>
      <c r="Y236" t="str">
        <f>LEFT(W236,X236-1)</f>
        <v xml:space="preserve">188574 </v>
      </c>
      <c r="AA236" t="str">
        <f>CONCATENATE(A236,",",D236,",",E236,",",F236,",",G236,",",H236,",",I236,",",J236,",",K236)</f>
        <v>188574,-320,-778,4403,324,1316,3170,4743,4495</v>
      </c>
    </row>
    <row r="237" spans="1:27">
      <c r="A237" s="1">
        <f>IF(ISBLANK(T237),"",VALUE(Y237))</f>
        <v>188118</v>
      </c>
      <c r="B237" s="1">
        <f>A237*4/10 -18</f>
        <v>75229.2</v>
      </c>
      <c r="C237" s="3">
        <f>B237/7000000</f>
        <v>1.0747028571428572E-2</v>
      </c>
      <c r="D237" s="6">
        <f>VALUE(MID(W237,$X237+2,L237-(X237+2)))</f>
        <v>-320</v>
      </c>
      <c r="E237" s="6">
        <f>VALUE(MID($W237,L237+1,M237-(L237+1)))</f>
        <v>-778</v>
      </c>
      <c r="F237" s="6">
        <f>VALUE(MID($W237,M237+1,N237-(M237+1)))</f>
        <v>4403</v>
      </c>
      <c r="G237" s="6">
        <f>VALUE(MID($W237,N237+1,O237-(N237+1)))</f>
        <v>324</v>
      </c>
      <c r="H237" s="6">
        <f>VALUE(MID($W237,O237+1,P237-(O237+1)))</f>
        <v>1316</v>
      </c>
      <c r="I237" s="6">
        <f>VALUE(MID($W237,P237+1,Q237-(P237+1)))</f>
        <v>3170</v>
      </c>
      <c r="J237" s="6">
        <f>VALUE(MID($W237,Q237+1,R237-(Q237+1)))</f>
        <v>4743</v>
      </c>
      <c r="K237" s="4">
        <f>VALUE(MID(W237,R237+1,LEN(W237)-(R237)))</f>
        <v>4495</v>
      </c>
      <c r="L237" s="4">
        <f>SEARCH(",",W237,X237)</f>
        <v>15</v>
      </c>
      <c r="M237" s="4">
        <f>SEARCH(",",$W237,L237+1)</f>
        <v>21</v>
      </c>
      <c r="N237" s="4">
        <f>SEARCH(",",$W237,M237+1)</f>
        <v>27</v>
      </c>
      <c r="O237" s="4">
        <f>SEARCH(",",$W237,N237+1)</f>
        <v>32</v>
      </c>
      <c r="P237" s="4">
        <f>SEARCH(",",$W237,O237+1)</f>
        <v>38</v>
      </c>
      <c r="Q237" s="4">
        <f>SEARCH(",",$W237,P237+1)</f>
        <v>44</v>
      </c>
      <c r="R237" s="4">
        <f>SEARCH(",",$W237,Q237+1)</f>
        <v>50</v>
      </c>
      <c r="T237" t="s">
        <v>404</v>
      </c>
      <c r="U237">
        <f>SEARCH(":",T237)</f>
        <v>6</v>
      </c>
      <c r="V237" t="str">
        <f>MID(T237,U237+1,LEN(T237)-(U237))</f>
        <v xml:space="preserve"> 188118 ** -320, -778, 4403, 324, 1316, 3170, 4743, 4495</v>
      </c>
      <c r="W237" t="str">
        <f>TRIM(V237)</f>
        <v>188118 ** -320, -778, 4403, 324, 1316, 3170, 4743, 4495</v>
      </c>
      <c r="X237">
        <f>SEARCH("~*",W237)</f>
        <v>8</v>
      </c>
      <c r="Y237" t="str">
        <f>LEFT(W237,X237-1)</f>
        <v xml:space="preserve">188118 </v>
      </c>
      <c r="AA237" t="str">
        <f>CONCATENATE(A237,",",D237,",",E237,",",F237,",",G237,",",H237,",",I237,",",J237,",",K237)</f>
        <v>188118,-320,-778,4403,324,1316,3170,4743,4495</v>
      </c>
    </row>
    <row r="238" spans="1:27">
      <c r="A238" s="1">
        <f>IF(ISBLANK(T238),"",VALUE(Y238))</f>
        <v>187516</v>
      </c>
      <c r="B238" s="1">
        <f>A238*4/10 -18</f>
        <v>74988.399999999994</v>
      </c>
      <c r="C238" s="3">
        <f>B238/7000000</f>
        <v>1.0712628571428571E-2</v>
      </c>
      <c r="D238" s="6">
        <f>VALUE(MID(W238,$X238+2,L238-(X238+2)))</f>
        <v>-320</v>
      </c>
      <c r="E238" s="6">
        <f>VALUE(MID($W238,L238+1,M238-(L238+1)))</f>
        <v>-778</v>
      </c>
      <c r="F238" s="6">
        <f>VALUE(MID($W238,M238+1,N238-(M238+1)))</f>
        <v>4403</v>
      </c>
      <c r="G238" s="6">
        <f>VALUE(MID($W238,N238+1,O238-(N238+1)))</f>
        <v>324</v>
      </c>
      <c r="H238" s="6">
        <f>VALUE(MID($W238,O238+1,P238-(O238+1)))</f>
        <v>1316</v>
      </c>
      <c r="I238" s="6">
        <f>VALUE(MID($W238,P238+1,Q238-(P238+1)))</f>
        <v>3170</v>
      </c>
      <c r="J238" s="6">
        <f>VALUE(MID($W238,Q238+1,R238-(Q238+1)))</f>
        <v>4743</v>
      </c>
      <c r="K238" s="4">
        <f>VALUE(MID(W238,R238+1,LEN(W238)-(R238)))</f>
        <v>4495</v>
      </c>
      <c r="L238" s="4">
        <f>SEARCH(",",W238,X238)</f>
        <v>15</v>
      </c>
      <c r="M238" s="4">
        <f>SEARCH(",",$W238,L238+1)</f>
        <v>21</v>
      </c>
      <c r="N238" s="4">
        <f>SEARCH(",",$W238,M238+1)</f>
        <v>27</v>
      </c>
      <c r="O238" s="4">
        <f>SEARCH(",",$W238,N238+1)</f>
        <v>32</v>
      </c>
      <c r="P238" s="4">
        <f>SEARCH(",",$W238,O238+1)</f>
        <v>38</v>
      </c>
      <c r="Q238" s="4">
        <f>SEARCH(",",$W238,P238+1)</f>
        <v>44</v>
      </c>
      <c r="R238" s="4">
        <f>SEARCH(",",$W238,Q238+1)</f>
        <v>50</v>
      </c>
      <c r="T238" t="s">
        <v>334</v>
      </c>
      <c r="U238">
        <f>SEARCH(":",T238)</f>
        <v>6</v>
      </c>
      <c r="V238" t="str">
        <f>MID(T238,U238+1,LEN(T238)-(U238))</f>
        <v xml:space="preserve"> 187516 ** -320, -778, 4403, 324, 1316, 3170, 4743, 4495</v>
      </c>
      <c r="W238" t="str">
        <f>TRIM(V238)</f>
        <v>187516 ** -320, -778, 4403, 324, 1316, 3170, 4743, 4495</v>
      </c>
      <c r="X238">
        <f>SEARCH("~*",W238)</f>
        <v>8</v>
      </c>
      <c r="Y238" t="str">
        <f>LEFT(W238,X238-1)</f>
        <v xml:space="preserve">187516 </v>
      </c>
      <c r="AA238" t="str">
        <f>CONCATENATE(A238,",",D238,",",E238,",",F238,",",G238,",",H238,",",I238,",",J238,",",K238)</f>
        <v>187516,-320,-778,4403,324,1316,3170,4743,4495</v>
      </c>
    </row>
    <row r="239" spans="1:27">
      <c r="A239" s="1">
        <f>IF(ISBLANK(T239),"",VALUE(Y239))</f>
        <v>178904</v>
      </c>
      <c r="B239" s="1">
        <f>A239*4/10 -18</f>
        <v>71543.600000000006</v>
      </c>
      <c r="C239" s="3">
        <f>B239/7000000</f>
        <v>1.0220514285714287E-2</v>
      </c>
      <c r="D239" s="6">
        <f>VALUE(MID(W239,$X239+2,L239-(X239+2)))</f>
        <v>-320</v>
      </c>
      <c r="E239" s="6">
        <f>VALUE(MID($W239,L239+1,M239-(L239+1)))</f>
        <v>-778</v>
      </c>
      <c r="F239" s="6">
        <f>VALUE(MID($W239,M239+1,N239-(M239+1)))</f>
        <v>4403</v>
      </c>
      <c r="G239" s="6">
        <f>VALUE(MID($W239,N239+1,O239-(N239+1)))</f>
        <v>324</v>
      </c>
      <c r="H239" s="6">
        <f>VALUE(MID($W239,O239+1,P239-(O239+1)))</f>
        <v>1316</v>
      </c>
      <c r="I239" s="6">
        <f>VALUE(MID($W239,P239+1,Q239-(P239+1)))</f>
        <v>3170</v>
      </c>
      <c r="J239" s="6">
        <f>VALUE(MID($W239,Q239+1,R239-(Q239+1)))</f>
        <v>4743</v>
      </c>
      <c r="K239" s="4">
        <f>VALUE(MID(W239,R239+1,LEN(W239)-(R239)))</f>
        <v>4495</v>
      </c>
      <c r="L239" s="4">
        <f>SEARCH(",",W239,X239)</f>
        <v>15</v>
      </c>
      <c r="M239" s="4">
        <f>SEARCH(",",$W239,L239+1)</f>
        <v>21</v>
      </c>
      <c r="N239" s="4">
        <f>SEARCH(",",$W239,M239+1)</f>
        <v>27</v>
      </c>
      <c r="O239" s="4">
        <f>SEARCH(",",$W239,N239+1)</f>
        <v>32</v>
      </c>
      <c r="P239" s="4">
        <f>SEARCH(",",$W239,O239+1)</f>
        <v>38</v>
      </c>
      <c r="Q239" s="4">
        <f>SEARCH(",",$W239,P239+1)</f>
        <v>44</v>
      </c>
      <c r="R239" s="4">
        <f>SEARCH(",",$W239,Q239+1)</f>
        <v>50</v>
      </c>
      <c r="T239" t="s">
        <v>402</v>
      </c>
      <c r="U239">
        <f>SEARCH(":",T239)</f>
        <v>6</v>
      </c>
      <c r="V239" t="str">
        <f>MID(T239,U239+1,LEN(T239)-(U239))</f>
        <v xml:space="preserve"> 178904 ** -320, -778, 4403, 324, 1316, 3170, 4743, 4495</v>
      </c>
      <c r="W239" t="str">
        <f>TRIM(V239)</f>
        <v>178904 ** -320, -778, 4403, 324, 1316, 3170, 4743, 4495</v>
      </c>
      <c r="X239">
        <f>SEARCH("~*",W239)</f>
        <v>8</v>
      </c>
      <c r="Y239" t="str">
        <f>LEFT(W239,X239-1)</f>
        <v xml:space="preserve">178904 </v>
      </c>
      <c r="AA239" t="str">
        <f>CONCATENATE(A239,",",D239,",",E239,",",F239,",",G239,",",H239,",",I239,",",J239,",",K239)</f>
        <v>178904,-320,-778,4403,324,1316,3170,4743,4495</v>
      </c>
    </row>
    <row r="240" spans="1:27">
      <c r="A240" s="1">
        <f>IF(ISBLANK(T240),"",VALUE(Y240))</f>
        <v>173477</v>
      </c>
      <c r="B240" s="1">
        <f>A240*4/10 -18</f>
        <v>69372.800000000003</v>
      </c>
      <c r="C240" s="3">
        <f>B240/7000000</f>
        <v>9.9103999999999998E-3</v>
      </c>
      <c r="D240" s="6">
        <f>VALUE(MID(W240,$X240+2,L240-(X240+2)))</f>
        <v>-320</v>
      </c>
      <c r="E240" s="6">
        <f>VALUE(MID($W240,L240+1,M240-(L240+1)))</f>
        <v>-778</v>
      </c>
      <c r="F240" s="6">
        <f>VALUE(MID($W240,M240+1,N240-(M240+1)))</f>
        <v>4403</v>
      </c>
      <c r="G240" s="6">
        <f>VALUE(MID($W240,N240+1,O240-(N240+1)))</f>
        <v>324</v>
      </c>
      <c r="H240" s="6">
        <f>VALUE(MID($W240,O240+1,P240-(O240+1)))</f>
        <v>1316</v>
      </c>
      <c r="I240" s="6">
        <f>VALUE(MID($W240,P240+1,Q240-(P240+1)))</f>
        <v>3170</v>
      </c>
      <c r="J240" s="6">
        <f>VALUE(MID($W240,Q240+1,R240-(Q240+1)))</f>
        <v>4743</v>
      </c>
      <c r="K240" s="4">
        <f>VALUE(MID(W240,R240+1,LEN(W240)-(R240)))</f>
        <v>4495</v>
      </c>
      <c r="L240" s="4">
        <f>SEARCH(",",W240,X240)</f>
        <v>15</v>
      </c>
      <c r="M240" s="4">
        <f>SEARCH(",",$W240,L240+1)</f>
        <v>21</v>
      </c>
      <c r="N240" s="4">
        <f>SEARCH(",",$W240,M240+1)</f>
        <v>27</v>
      </c>
      <c r="O240" s="4">
        <f>SEARCH(",",$W240,N240+1)</f>
        <v>32</v>
      </c>
      <c r="P240" s="4">
        <f>SEARCH(",",$W240,O240+1)</f>
        <v>38</v>
      </c>
      <c r="Q240" s="4">
        <f>SEARCH(",",$W240,P240+1)</f>
        <v>44</v>
      </c>
      <c r="R240" s="4">
        <f>SEARCH(",",$W240,Q240+1)</f>
        <v>50</v>
      </c>
      <c r="T240" t="s">
        <v>450</v>
      </c>
      <c r="U240">
        <f>SEARCH(":",T240)</f>
        <v>6</v>
      </c>
      <c r="V240" t="str">
        <f>MID(T240,U240+1,LEN(T240)-(U240))</f>
        <v xml:space="preserve"> 173477 ** -320, -778, 4403, 324, 1316, 3170, 4743, 4495</v>
      </c>
      <c r="W240" t="str">
        <f>TRIM(V240)</f>
        <v>173477 ** -320, -778, 4403, 324, 1316, 3170, 4743, 4495</v>
      </c>
      <c r="X240">
        <f>SEARCH("~*",W240)</f>
        <v>8</v>
      </c>
      <c r="Y240" t="str">
        <f>LEFT(W240,X240-1)</f>
        <v xml:space="preserve">173477 </v>
      </c>
      <c r="AA240" t="str">
        <f>CONCATENATE(A240,",",D240,",",E240,",",F240,",",G240,",",H240,",",I240,",",J240,",",K240)</f>
        <v>173477,-320,-778,4403,324,1316,3170,4743,4495</v>
      </c>
    </row>
    <row r="241" spans="1:27">
      <c r="A241" s="1">
        <f>IF(ISBLANK(T241),"",VALUE(Y241))</f>
        <v>168443</v>
      </c>
      <c r="B241" s="1">
        <f>A241*4/10 -18</f>
        <v>67359.199999999997</v>
      </c>
      <c r="C241" s="3">
        <f>B241/7000000</f>
        <v>9.6227428571428568E-3</v>
      </c>
      <c r="D241" s="6">
        <f>VALUE(MID(W241,$X241+2,L241-(X241+2)))</f>
        <v>-320</v>
      </c>
      <c r="E241" s="6">
        <f>VALUE(MID($W241,L241+1,M241-(L241+1)))</f>
        <v>-778</v>
      </c>
      <c r="F241" s="6">
        <f>VALUE(MID($W241,M241+1,N241-(M241+1)))</f>
        <v>4403</v>
      </c>
      <c r="G241" s="6">
        <f>VALUE(MID($W241,N241+1,O241-(N241+1)))</f>
        <v>324</v>
      </c>
      <c r="H241" s="6">
        <f>VALUE(MID($W241,O241+1,P241-(O241+1)))</f>
        <v>1316</v>
      </c>
      <c r="I241" s="6">
        <f>VALUE(MID($W241,P241+1,Q241-(P241+1)))</f>
        <v>3170</v>
      </c>
      <c r="J241" s="6">
        <f>VALUE(MID($W241,Q241+1,R241-(Q241+1)))</f>
        <v>4743</v>
      </c>
      <c r="K241" s="4">
        <f>VALUE(MID(W241,R241+1,LEN(W241)-(R241)))</f>
        <v>4495</v>
      </c>
      <c r="L241" s="4">
        <f>SEARCH(",",W241,X241)</f>
        <v>15</v>
      </c>
      <c r="M241" s="4">
        <f>SEARCH(",",$W241,L241+1)</f>
        <v>21</v>
      </c>
      <c r="N241" s="4">
        <f>SEARCH(",",$W241,M241+1)</f>
        <v>27</v>
      </c>
      <c r="O241" s="4">
        <f>SEARCH(",",$W241,N241+1)</f>
        <v>32</v>
      </c>
      <c r="P241" s="4">
        <f>SEARCH(",",$W241,O241+1)</f>
        <v>38</v>
      </c>
      <c r="Q241" s="4">
        <f>SEARCH(",",$W241,P241+1)</f>
        <v>44</v>
      </c>
      <c r="R241" s="4">
        <f>SEARCH(",",$W241,Q241+1)</f>
        <v>50</v>
      </c>
      <c r="T241" t="s">
        <v>373</v>
      </c>
      <c r="U241">
        <f>SEARCH(":",T241)</f>
        <v>6</v>
      </c>
      <c r="V241" t="str">
        <f>MID(T241,U241+1,LEN(T241)-(U241))</f>
        <v xml:space="preserve"> 168443 ** -320, -778, 4403, 324, 1316, 3170, 4743, 4495</v>
      </c>
      <c r="W241" t="str">
        <f>TRIM(V241)</f>
        <v>168443 ** -320, -778, 4403, 324, 1316, 3170, 4743, 4495</v>
      </c>
      <c r="X241">
        <f>SEARCH("~*",W241)</f>
        <v>8</v>
      </c>
      <c r="Y241" t="str">
        <f>LEFT(W241,X241-1)</f>
        <v xml:space="preserve">168443 </v>
      </c>
      <c r="AA241" t="str">
        <f>CONCATENATE(A241,",",D241,",",E241,",",F241,",",G241,",",H241,",",I241,",",J241,",",K241)</f>
        <v>168443,-320,-778,4403,324,1316,3170,4743,4495</v>
      </c>
    </row>
    <row r="242" spans="1:27">
      <c r="A242" s="1">
        <f>IF(ISBLANK(T242),"",VALUE(Y242))</f>
        <v>166798</v>
      </c>
      <c r="B242" s="1">
        <f>A242*4/10 -18</f>
        <v>66701.2</v>
      </c>
      <c r="C242" s="3">
        <f>B242/7000000</f>
        <v>9.5287428571428565E-3</v>
      </c>
      <c r="D242" s="6">
        <f>VALUE(MID(W242,$X242+2,L242-(X242+2)))</f>
        <v>-320</v>
      </c>
      <c r="E242" s="6">
        <f>VALUE(MID($W242,L242+1,M242-(L242+1)))</f>
        <v>-778</v>
      </c>
      <c r="F242" s="6">
        <f>VALUE(MID($W242,M242+1,N242-(M242+1)))</f>
        <v>4403</v>
      </c>
      <c r="G242" s="6">
        <f>VALUE(MID($W242,N242+1,O242-(N242+1)))</f>
        <v>324</v>
      </c>
      <c r="H242" s="6">
        <f>VALUE(MID($W242,O242+1,P242-(O242+1)))</f>
        <v>1316</v>
      </c>
      <c r="I242" s="6">
        <f>VALUE(MID($W242,P242+1,Q242-(P242+1)))</f>
        <v>3170</v>
      </c>
      <c r="J242" s="6">
        <f>VALUE(MID($W242,Q242+1,R242-(Q242+1)))</f>
        <v>4743</v>
      </c>
      <c r="K242" s="4">
        <f>VALUE(MID(W242,R242+1,LEN(W242)-(R242)))</f>
        <v>4495</v>
      </c>
      <c r="L242" s="4">
        <f>SEARCH(",",W242,X242)</f>
        <v>15</v>
      </c>
      <c r="M242" s="4">
        <f>SEARCH(",",$W242,L242+1)</f>
        <v>21</v>
      </c>
      <c r="N242" s="4">
        <f>SEARCH(",",$W242,M242+1)</f>
        <v>27</v>
      </c>
      <c r="O242" s="4">
        <f>SEARCH(",",$W242,N242+1)</f>
        <v>32</v>
      </c>
      <c r="P242" s="4">
        <f>SEARCH(",",$W242,O242+1)</f>
        <v>38</v>
      </c>
      <c r="Q242" s="4">
        <f>SEARCH(",",$W242,P242+1)</f>
        <v>44</v>
      </c>
      <c r="R242" s="4">
        <f>SEARCH(",",$W242,Q242+1)</f>
        <v>50</v>
      </c>
      <c r="T242" t="s">
        <v>473</v>
      </c>
      <c r="U242">
        <f>SEARCH(":",T242)</f>
        <v>6</v>
      </c>
      <c r="V242" t="str">
        <f>MID(T242,U242+1,LEN(T242)-(U242))</f>
        <v xml:space="preserve"> 166798 ** -320, -778, 4403, 324, 1316, 3170, 4743, 4495</v>
      </c>
      <c r="W242" t="str">
        <f>TRIM(V242)</f>
        <v>166798 ** -320, -778, 4403, 324, 1316, 3170, 4743, 4495</v>
      </c>
      <c r="X242">
        <f>SEARCH("~*",W242)</f>
        <v>8</v>
      </c>
      <c r="Y242" t="str">
        <f>LEFT(W242,X242-1)</f>
        <v xml:space="preserve">166798 </v>
      </c>
      <c r="AA242" t="str">
        <f>CONCATENATE(A242,",",D242,",",E242,",",F242,",",G242,",",H242,",",I242,",",J242,",",K242)</f>
        <v>166798,-320,-778,4403,324,1316,3170,4743,4495</v>
      </c>
    </row>
    <row r="243" spans="1:27">
      <c r="A243" s="1">
        <f>IF(ISBLANK(T243),"",VALUE(Y243))</f>
        <v>165615</v>
      </c>
      <c r="B243" s="1">
        <f>A243*4/10 -18</f>
        <v>66228</v>
      </c>
      <c r="C243" s="3">
        <f>B243/7000000</f>
        <v>9.4611428571428572E-3</v>
      </c>
      <c r="D243" s="6">
        <f>VALUE(MID(W243,$X243+2,L243-(X243+2)))</f>
        <v>-320</v>
      </c>
      <c r="E243" s="6">
        <f>VALUE(MID($W243,L243+1,M243-(L243+1)))</f>
        <v>-778</v>
      </c>
      <c r="F243" s="6">
        <f>VALUE(MID($W243,M243+1,N243-(M243+1)))</f>
        <v>4403</v>
      </c>
      <c r="G243" s="6">
        <f>VALUE(MID($W243,N243+1,O243-(N243+1)))</f>
        <v>324</v>
      </c>
      <c r="H243" s="6">
        <f>VALUE(MID($W243,O243+1,P243-(O243+1)))</f>
        <v>1316</v>
      </c>
      <c r="I243" s="6">
        <f>VALUE(MID($W243,P243+1,Q243-(P243+1)))</f>
        <v>3170</v>
      </c>
      <c r="J243" s="6">
        <f>VALUE(MID($W243,Q243+1,R243-(Q243+1)))</f>
        <v>4743</v>
      </c>
      <c r="K243" s="4">
        <f>VALUE(MID(W243,R243+1,LEN(W243)-(R243)))</f>
        <v>4495</v>
      </c>
      <c r="L243" s="4">
        <f>SEARCH(",",W243,X243)</f>
        <v>15</v>
      </c>
      <c r="M243" s="4">
        <f>SEARCH(",",$W243,L243+1)</f>
        <v>21</v>
      </c>
      <c r="N243" s="4">
        <f>SEARCH(",",$W243,M243+1)</f>
        <v>27</v>
      </c>
      <c r="O243" s="4">
        <f>SEARCH(",",$W243,N243+1)</f>
        <v>32</v>
      </c>
      <c r="P243" s="4">
        <f>SEARCH(",",$W243,O243+1)</f>
        <v>38</v>
      </c>
      <c r="Q243" s="4">
        <f>SEARCH(",",$W243,P243+1)</f>
        <v>44</v>
      </c>
      <c r="R243" s="4">
        <f>SEARCH(",",$W243,Q243+1)</f>
        <v>50</v>
      </c>
      <c r="T243" t="s">
        <v>291</v>
      </c>
      <c r="U243">
        <f>SEARCH(":",T243)</f>
        <v>6</v>
      </c>
      <c r="V243" t="str">
        <f>MID(T243,U243+1,LEN(T243)-(U243))</f>
        <v xml:space="preserve"> 165615 ** -320, -778, 4403, 324, 1316, 3170, 4743, 4495</v>
      </c>
      <c r="W243" t="str">
        <f>TRIM(V243)</f>
        <v>165615 ** -320, -778, 4403, 324, 1316, 3170, 4743, 4495</v>
      </c>
      <c r="X243">
        <f>SEARCH("~*",W243)</f>
        <v>8</v>
      </c>
      <c r="Y243" t="str">
        <f>LEFT(W243,X243-1)</f>
        <v xml:space="preserve">165615 </v>
      </c>
      <c r="AA243" t="str">
        <f>CONCATENATE(A243,",",D243,",",E243,",",F243,",",G243,",",H243,",",I243,",",J243,",",K243)</f>
        <v>165615,-320,-778,4403,324,1316,3170,4743,4495</v>
      </c>
    </row>
    <row r="244" spans="1:27">
      <c r="A244" s="1">
        <f>IF(ISBLANK(T244),"",VALUE(Y244))</f>
        <v>150691</v>
      </c>
      <c r="B244" s="1">
        <f>A244*4/10 -18</f>
        <v>60258.400000000001</v>
      </c>
      <c r="C244" s="3">
        <f>B244/7000000</f>
        <v>8.6083428571428582E-3</v>
      </c>
      <c r="D244" s="6">
        <f>VALUE(MID(W244,$X244+2,L244-(X244+2)))</f>
        <v>-320</v>
      </c>
      <c r="E244" s="6">
        <f>VALUE(MID($W244,L244+1,M244-(L244+1)))</f>
        <v>-778</v>
      </c>
      <c r="F244" s="6">
        <f>VALUE(MID($W244,M244+1,N244-(M244+1)))</f>
        <v>4403</v>
      </c>
      <c r="G244" s="6">
        <f>VALUE(MID($W244,N244+1,O244-(N244+1)))</f>
        <v>324</v>
      </c>
      <c r="H244" s="6">
        <f>VALUE(MID($W244,O244+1,P244-(O244+1)))</f>
        <v>1316</v>
      </c>
      <c r="I244" s="6">
        <f>VALUE(MID($W244,P244+1,Q244-(P244+1)))</f>
        <v>3170</v>
      </c>
      <c r="J244" s="6">
        <f>VALUE(MID($W244,Q244+1,R244-(Q244+1)))</f>
        <v>4743</v>
      </c>
      <c r="K244" s="4">
        <f>VALUE(MID(W244,R244+1,LEN(W244)-(R244)))</f>
        <v>4495</v>
      </c>
      <c r="L244" s="4">
        <f>SEARCH(",",W244,X244)</f>
        <v>15</v>
      </c>
      <c r="M244" s="4">
        <f>SEARCH(",",$W244,L244+1)</f>
        <v>21</v>
      </c>
      <c r="N244" s="4">
        <f>SEARCH(",",$W244,M244+1)</f>
        <v>27</v>
      </c>
      <c r="O244" s="4">
        <f>SEARCH(",",$W244,N244+1)</f>
        <v>32</v>
      </c>
      <c r="P244" s="4">
        <f>SEARCH(",",$W244,O244+1)</f>
        <v>38</v>
      </c>
      <c r="Q244" s="4">
        <f>SEARCH(",",$W244,P244+1)</f>
        <v>44</v>
      </c>
      <c r="R244" s="4">
        <f>SEARCH(",",$W244,Q244+1)</f>
        <v>50</v>
      </c>
      <c r="T244" t="s">
        <v>504</v>
      </c>
      <c r="U244">
        <f>SEARCH(":",T244)</f>
        <v>6</v>
      </c>
      <c r="V244" t="str">
        <f>MID(T244,U244+1,LEN(T244)-(U244))</f>
        <v xml:space="preserve"> 150691 ** -320, -778, 4403, 324, 1316, 3170, 4743, 4495</v>
      </c>
      <c r="W244" t="str">
        <f>TRIM(V244)</f>
        <v>150691 ** -320, -778, 4403, 324, 1316, 3170, 4743, 4495</v>
      </c>
      <c r="X244">
        <f>SEARCH("~*",W244)</f>
        <v>8</v>
      </c>
      <c r="Y244" t="str">
        <f>LEFT(W244,X244-1)</f>
        <v xml:space="preserve">150691 </v>
      </c>
      <c r="AA244" t="str">
        <f>CONCATENATE(A244,",",D244,",",E244,",",F244,",",G244,",",H244,",",I244,",",J244,",",K244)</f>
        <v>150691,-320,-778,4403,324,1316,3170,4743,4495</v>
      </c>
    </row>
    <row r="245" spans="1:27">
      <c r="A245" s="1">
        <f>IF(ISBLANK(T245),"",VALUE(Y245))</f>
        <v>146681</v>
      </c>
      <c r="B245" s="1">
        <f>A245*4/10 -18</f>
        <v>58654.400000000001</v>
      </c>
      <c r="C245" s="3">
        <f>B245/7000000</f>
        <v>8.3791999999999998E-3</v>
      </c>
      <c r="D245" s="6">
        <f>VALUE(MID(W245,$X245+2,L245-(X245+2)))</f>
        <v>-320</v>
      </c>
      <c r="E245" s="6">
        <f>VALUE(MID($W245,L245+1,M245-(L245+1)))</f>
        <v>-778</v>
      </c>
      <c r="F245" s="6">
        <f>VALUE(MID($W245,M245+1,N245-(M245+1)))</f>
        <v>4403</v>
      </c>
      <c r="G245" s="6">
        <f>VALUE(MID($W245,N245+1,O245-(N245+1)))</f>
        <v>324</v>
      </c>
      <c r="H245" s="6">
        <f>VALUE(MID($W245,O245+1,P245-(O245+1)))</f>
        <v>1316</v>
      </c>
      <c r="I245" s="6">
        <f>VALUE(MID($W245,P245+1,Q245-(P245+1)))</f>
        <v>3170</v>
      </c>
      <c r="J245" s="6">
        <f>VALUE(MID($W245,Q245+1,R245-(Q245+1)))</f>
        <v>4743</v>
      </c>
      <c r="K245" s="4">
        <f>VALUE(MID(W245,R245+1,LEN(W245)-(R245)))</f>
        <v>4495</v>
      </c>
      <c r="L245" s="4">
        <f>SEARCH(",",W245,X245)</f>
        <v>15</v>
      </c>
      <c r="M245" s="4">
        <f>SEARCH(",",$W245,L245+1)</f>
        <v>21</v>
      </c>
      <c r="N245" s="4">
        <f>SEARCH(",",$W245,M245+1)</f>
        <v>27</v>
      </c>
      <c r="O245" s="4">
        <f>SEARCH(",",$W245,N245+1)</f>
        <v>32</v>
      </c>
      <c r="P245" s="4">
        <f>SEARCH(",",$W245,O245+1)</f>
        <v>38</v>
      </c>
      <c r="Q245" s="4">
        <f>SEARCH(",",$W245,P245+1)</f>
        <v>44</v>
      </c>
      <c r="R245" s="4">
        <f>SEARCH(",",$W245,Q245+1)</f>
        <v>50</v>
      </c>
      <c r="T245" t="s">
        <v>303</v>
      </c>
      <c r="U245">
        <f>SEARCH(":",T245)</f>
        <v>6</v>
      </c>
      <c r="V245" t="str">
        <f>MID(T245,U245+1,LEN(T245)-(U245))</f>
        <v xml:space="preserve"> 146681 ** -320, -778, 4403, 324, 1316, 3170, 4743, 4495</v>
      </c>
      <c r="W245" t="str">
        <f>TRIM(V245)</f>
        <v>146681 ** -320, -778, 4403, 324, 1316, 3170, 4743, 4495</v>
      </c>
      <c r="X245">
        <f>SEARCH("~*",W245)</f>
        <v>8</v>
      </c>
      <c r="Y245" t="str">
        <f>LEFT(W245,X245-1)</f>
        <v xml:space="preserve">146681 </v>
      </c>
      <c r="AA245" t="str">
        <f>CONCATENATE(A245,",",D245,",",E245,",",F245,",",G245,",",H245,",",I245,",",J245,",",K245)</f>
        <v>146681,-320,-778,4403,324,1316,3170,4743,4495</v>
      </c>
    </row>
    <row r="246" spans="1:27">
      <c r="A246" s="1">
        <f>IF(ISBLANK(T246),"",VALUE(Y246))</f>
        <v>146421</v>
      </c>
      <c r="B246" s="1">
        <f>A246*4/10 -18</f>
        <v>58550.400000000001</v>
      </c>
      <c r="C246" s="3">
        <f>B246/7000000</f>
        <v>8.364342857142857E-3</v>
      </c>
      <c r="D246" s="6">
        <f>VALUE(MID(W246,$X246+2,L246-(X246+2)))</f>
        <v>-320</v>
      </c>
      <c r="E246" s="6">
        <f>VALUE(MID($W246,L246+1,M246-(L246+1)))</f>
        <v>-778</v>
      </c>
      <c r="F246" s="6">
        <f>VALUE(MID($W246,M246+1,N246-(M246+1)))</f>
        <v>4403</v>
      </c>
      <c r="G246" s="6">
        <f>VALUE(MID($W246,N246+1,O246-(N246+1)))</f>
        <v>324</v>
      </c>
      <c r="H246" s="6">
        <f>VALUE(MID($W246,O246+1,P246-(O246+1)))</f>
        <v>1316</v>
      </c>
      <c r="I246" s="6">
        <f>VALUE(MID($W246,P246+1,Q246-(P246+1)))</f>
        <v>3170</v>
      </c>
      <c r="J246" s="6">
        <f>VALUE(MID($W246,Q246+1,R246-(Q246+1)))</f>
        <v>4743</v>
      </c>
      <c r="K246" s="4">
        <f>VALUE(MID(W246,R246+1,LEN(W246)-(R246)))</f>
        <v>4495</v>
      </c>
      <c r="L246" s="4">
        <f>SEARCH(",",W246,X246)</f>
        <v>15</v>
      </c>
      <c r="M246" s="4">
        <f>SEARCH(",",$W246,L246+1)</f>
        <v>21</v>
      </c>
      <c r="N246" s="4">
        <f>SEARCH(",",$W246,M246+1)</f>
        <v>27</v>
      </c>
      <c r="O246" s="4">
        <f>SEARCH(",",$W246,N246+1)</f>
        <v>32</v>
      </c>
      <c r="P246" s="4">
        <f>SEARCH(",",$W246,O246+1)</f>
        <v>38</v>
      </c>
      <c r="Q246" s="4">
        <f>SEARCH(",",$W246,P246+1)</f>
        <v>44</v>
      </c>
      <c r="R246" s="4">
        <f>SEARCH(",",$W246,Q246+1)</f>
        <v>50</v>
      </c>
      <c r="T246" t="s">
        <v>288</v>
      </c>
      <c r="U246">
        <f>SEARCH(":",T246)</f>
        <v>6</v>
      </c>
      <c r="V246" t="str">
        <f>MID(T246,U246+1,LEN(T246)-(U246))</f>
        <v xml:space="preserve"> 146421 ** -320, -778, 4403, 324, 1316, 3170, 4743, 4495</v>
      </c>
      <c r="W246" t="str">
        <f>TRIM(V246)</f>
        <v>146421 ** -320, -778, 4403, 324, 1316, 3170, 4743, 4495</v>
      </c>
      <c r="X246">
        <f>SEARCH("~*",W246)</f>
        <v>8</v>
      </c>
      <c r="Y246" t="str">
        <f>LEFT(W246,X246-1)</f>
        <v xml:space="preserve">146421 </v>
      </c>
      <c r="AA246" t="str">
        <f>CONCATENATE(A246,",",D246,",",E246,",",F246,",",G246,",",H246,",",I246,",",J246,",",K246)</f>
        <v>146421,-320,-778,4403,324,1316,3170,4743,4495</v>
      </c>
    </row>
    <row r="247" spans="1:27">
      <c r="A247" s="1">
        <f>IF(ISBLANK(T247),"",VALUE(Y247))</f>
        <v>142955</v>
      </c>
      <c r="B247" s="1">
        <f>A247*4/10 -18</f>
        <v>57164</v>
      </c>
      <c r="C247" s="3">
        <f>B247/7000000</f>
        <v>8.1662857142857145E-3</v>
      </c>
      <c r="D247" s="6">
        <f>VALUE(MID(W247,$X247+2,L247-(X247+2)))</f>
        <v>-320</v>
      </c>
      <c r="E247" s="6">
        <f>VALUE(MID($W247,L247+1,M247-(L247+1)))</f>
        <v>-778</v>
      </c>
      <c r="F247" s="6">
        <f>VALUE(MID($W247,M247+1,N247-(M247+1)))</f>
        <v>4403</v>
      </c>
      <c r="G247" s="6">
        <f>VALUE(MID($W247,N247+1,O247-(N247+1)))</f>
        <v>324</v>
      </c>
      <c r="H247" s="6">
        <f>VALUE(MID($W247,O247+1,P247-(O247+1)))</f>
        <v>1316</v>
      </c>
      <c r="I247" s="6">
        <f>VALUE(MID($W247,P247+1,Q247-(P247+1)))</f>
        <v>3170</v>
      </c>
      <c r="J247" s="6">
        <f>VALUE(MID($W247,Q247+1,R247-(Q247+1)))</f>
        <v>4743</v>
      </c>
      <c r="K247" s="4">
        <f>VALUE(MID(W247,R247+1,LEN(W247)-(R247)))</f>
        <v>4495</v>
      </c>
      <c r="L247" s="4">
        <f>SEARCH(",",W247,X247)</f>
        <v>15</v>
      </c>
      <c r="M247" s="4">
        <f>SEARCH(",",$W247,L247+1)</f>
        <v>21</v>
      </c>
      <c r="N247" s="4">
        <f>SEARCH(",",$W247,M247+1)</f>
        <v>27</v>
      </c>
      <c r="O247" s="4">
        <f>SEARCH(",",$W247,N247+1)</f>
        <v>32</v>
      </c>
      <c r="P247" s="4">
        <f>SEARCH(",",$W247,O247+1)</f>
        <v>38</v>
      </c>
      <c r="Q247" s="4">
        <f>SEARCH(",",$W247,P247+1)</f>
        <v>44</v>
      </c>
      <c r="R247" s="4">
        <f>SEARCH(",",$W247,Q247+1)</f>
        <v>50</v>
      </c>
      <c r="T247" t="s">
        <v>343</v>
      </c>
      <c r="U247">
        <f>SEARCH(":",T247)</f>
        <v>6</v>
      </c>
      <c r="V247" t="str">
        <f>MID(T247,U247+1,LEN(T247)-(U247))</f>
        <v xml:space="preserve"> 142955 ** -320, -778, 4403, 324, 1316, 3170, 4743, 4495</v>
      </c>
      <c r="W247" t="str">
        <f>TRIM(V247)</f>
        <v>142955 ** -320, -778, 4403, 324, 1316, 3170, 4743, 4495</v>
      </c>
      <c r="X247">
        <f>SEARCH("~*",W247)</f>
        <v>8</v>
      </c>
      <c r="Y247" t="str">
        <f>LEFT(W247,X247-1)</f>
        <v xml:space="preserve">142955 </v>
      </c>
      <c r="AA247" t="str">
        <f>CONCATENATE(A247,",",D247,",",E247,",",F247,",",G247,",",H247,",",I247,",",J247,",",K247)</f>
        <v>142955,-320,-778,4403,324,1316,3170,4743,4495</v>
      </c>
    </row>
    <row r="248" spans="1:27">
      <c r="A248" s="1">
        <f>IF(ISBLANK(T248),"",VALUE(Y248))</f>
        <v>140369</v>
      </c>
      <c r="B248" s="1">
        <f>A248*4/10 -18</f>
        <v>56129.599999999999</v>
      </c>
      <c r="C248" s="3">
        <f>B248/7000000</f>
        <v>8.0185142857142847E-3</v>
      </c>
      <c r="D248" s="6">
        <f>VALUE(MID(W248,$X248+2,L248-(X248+2)))</f>
        <v>-320</v>
      </c>
      <c r="E248" s="6">
        <f>VALUE(MID($W248,L248+1,M248-(L248+1)))</f>
        <v>-778</v>
      </c>
      <c r="F248" s="6">
        <f>VALUE(MID($W248,M248+1,N248-(M248+1)))</f>
        <v>4403</v>
      </c>
      <c r="G248" s="6">
        <f>VALUE(MID($W248,N248+1,O248-(N248+1)))</f>
        <v>324</v>
      </c>
      <c r="H248" s="6">
        <f>VALUE(MID($W248,O248+1,P248-(O248+1)))</f>
        <v>1316</v>
      </c>
      <c r="I248" s="6">
        <f>VALUE(MID($W248,P248+1,Q248-(P248+1)))</f>
        <v>3170</v>
      </c>
      <c r="J248" s="6">
        <f>VALUE(MID($W248,Q248+1,R248-(Q248+1)))</f>
        <v>4743</v>
      </c>
      <c r="K248" s="4">
        <f>VALUE(MID(W248,R248+1,LEN(W248)-(R248)))</f>
        <v>4495</v>
      </c>
      <c r="L248" s="4">
        <f>SEARCH(",",W248,X248)</f>
        <v>15</v>
      </c>
      <c r="M248" s="4">
        <f>SEARCH(",",$W248,L248+1)</f>
        <v>21</v>
      </c>
      <c r="N248" s="4">
        <f>SEARCH(",",$W248,M248+1)</f>
        <v>27</v>
      </c>
      <c r="O248" s="4">
        <f>SEARCH(",",$W248,N248+1)</f>
        <v>32</v>
      </c>
      <c r="P248" s="4">
        <f>SEARCH(",",$W248,O248+1)</f>
        <v>38</v>
      </c>
      <c r="Q248" s="4">
        <f>SEARCH(",",$W248,P248+1)</f>
        <v>44</v>
      </c>
      <c r="R248" s="4">
        <f>SEARCH(",",$W248,Q248+1)</f>
        <v>50</v>
      </c>
      <c r="T248" t="s">
        <v>339</v>
      </c>
      <c r="U248">
        <f>SEARCH(":",T248)</f>
        <v>6</v>
      </c>
      <c r="V248" t="str">
        <f>MID(T248,U248+1,LEN(T248)-(U248))</f>
        <v xml:space="preserve"> 140369 ** -320, -778, 4403, 324, 1316, 3170, 4743, 4495</v>
      </c>
      <c r="W248" t="str">
        <f>TRIM(V248)</f>
        <v>140369 ** -320, -778, 4403, 324, 1316, 3170, 4743, 4495</v>
      </c>
      <c r="X248">
        <f>SEARCH("~*",W248)</f>
        <v>8</v>
      </c>
      <c r="Y248" t="str">
        <f>LEFT(W248,X248-1)</f>
        <v xml:space="preserve">140369 </v>
      </c>
      <c r="AA248" t="str">
        <f>CONCATENATE(A248,",",D248,",",E248,",",F248,",",G248,",",H248,",",I248,",",J248,",",K248)</f>
        <v>140369,-320,-778,4403,324,1316,3170,4743,4495</v>
      </c>
    </row>
    <row r="249" spans="1:27">
      <c r="A249" s="1">
        <f>IF(ISBLANK(T249),"",VALUE(Y249))</f>
        <v>140106</v>
      </c>
      <c r="B249" s="1">
        <f>A249*4/10 -18</f>
        <v>56024.4</v>
      </c>
      <c r="C249" s="3">
        <f>B249/7000000</f>
        <v>8.0034857142857151E-3</v>
      </c>
      <c r="D249" s="6">
        <f>VALUE(MID(W249,$X249+2,L249-(X249+2)))</f>
        <v>-320</v>
      </c>
      <c r="E249" s="6">
        <f>VALUE(MID($W249,L249+1,M249-(L249+1)))</f>
        <v>-778</v>
      </c>
      <c r="F249" s="6">
        <f>VALUE(MID($W249,M249+1,N249-(M249+1)))</f>
        <v>4403</v>
      </c>
      <c r="G249" s="6">
        <f>VALUE(MID($W249,N249+1,O249-(N249+1)))</f>
        <v>324</v>
      </c>
      <c r="H249" s="6">
        <f>VALUE(MID($W249,O249+1,P249-(O249+1)))</f>
        <v>1316</v>
      </c>
      <c r="I249" s="6">
        <f>VALUE(MID($W249,P249+1,Q249-(P249+1)))</f>
        <v>3170</v>
      </c>
      <c r="J249" s="6">
        <f>VALUE(MID($W249,Q249+1,R249-(Q249+1)))</f>
        <v>4743</v>
      </c>
      <c r="K249" s="4">
        <f>VALUE(MID(W249,R249+1,LEN(W249)-(R249)))</f>
        <v>4495</v>
      </c>
      <c r="L249" s="4">
        <f>SEARCH(",",W249,X249)</f>
        <v>15</v>
      </c>
      <c r="M249" s="4">
        <f>SEARCH(",",$W249,L249+1)</f>
        <v>21</v>
      </c>
      <c r="N249" s="4">
        <f>SEARCH(",",$W249,M249+1)</f>
        <v>27</v>
      </c>
      <c r="O249" s="4">
        <f>SEARCH(",",$W249,N249+1)</f>
        <v>32</v>
      </c>
      <c r="P249" s="4">
        <f>SEARCH(",",$W249,O249+1)</f>
        <v>38</v>
      </c>
      <c r="Q249" s="4">
        <f>SEARCH(",",$W249,P249+1)</f>
        <v>44</v>
      </c>
      <c r="R249" s="4">
        <f>SEARCH(",",$W249,Q249+1)</f>
        <v>50</v>
      </c>
      <c r="T249" t="s">
        <v>444</v>
      </c>
      <c r="U249">
        <f>SEARCH(":",T249)</f>
        <v>6</v>
      </c>
      <c r="V249" t="str">
        <f>MID(T249,U249+1,LEN(T249)-(U249))</f>
        <v xml:space="preserve"> 140106 ** -320, -778, 4403, 324, 1316, 3170, 4743, 4495</v>
      </c>
      <c r="W249" t="str">
        <f>TRIM(V249)</f>
        <v>140106 ** -320, -778, 4403, 324, 1316, 3170, 4743, 4495</v>
      </c>
      <c r="X249">
        <f>SEARCH("~*",W249)</f>
        <v>8</v>
      </c>
      <c r="Y249" t="str">
        <f>LEFT(W249,X249-1)</f>
        <v xml:space="preserve">140106 </v>
      </c>
      <c r="AA249" t="str">
        <f>CONCATENATE(A249,",",D249,",",E249,",",F249,",",G249,",",H249,",",I249,",",J249,",",K249)</f>
        <v>140106,-320,-778,4403,324,1316,3170,4743,4495</v>
      </c>
    </row>
    <row r="250" spans="1:27">
      <c r="A250" s="1">
        <f>IF(ISBLANK(T250),"",VALUE(Y250))</f>
        <v>136674</v>
      </c>
      <c r="B250" s="1">
        <f>A250*4/10 -18</f>
        <v>54651.6</v>
      </c>
      <c r="C250" s="3">
        <f>B250/7000000</f>
        <v>7.8073714285714288E-3</v>
      </c>
      <c r="D250" s="6">
        <f>VALUE(MID(W250,$X250+2,L250-(X250+2)))</f>
        <v>-320</v>
      </c>
      <c r="E250" s="6">
        <f>VALUE(MID($W250,L250+1,M250-(L250+1)))</f>
        <v>-778</v>
      </c>
      <c r="F250" s="6">
        <f>VALUE(MID($W250,M250+1,N250-(M250+1)))</f>
        <v>4403</v>
      </c>
      <c r="G250" s="6">
        <f>VALUE(MID($W250,N250+1,O250-(N250+1)))</f>
        <v>324</v>
      </c>
      <c r="H250" s="6">
        <f>VALUE(MID($W250,O250+1,P250-(O250+1)))</f>
        <v>1316</v>
      </c>
      <c r="I250" s="6">
        <f>VALUE(MID($W250,P250+1,Q250-(P250+1)))</f>
        <v>3170</v>
      </c>
      <c r="J250" s="6">
        <f>VALUE(MID($W250,Q250+1,R250-(Q250+1)))</f>
        <v>4743</v>
      </c>
      <c r="K250" s="4">
        <f>VALUE(MID(W250,R250+1,LEN(W250)-(R250)))</f>
        <v>4495</v>
      </c>
      <c r="L250" s="4">
        <f>SEARCH(",",W250,X250)</f>
        <v>15</v>
      </c>
      <c r="M250" s="4">
        <f>SEARCH(",",$W250,L250+1)</f>
        <v>21</v>
      </c>
      <c r="N250" s="4">
        <f>SEARCH(",",$W250,M250+1)</f>
        <v>27</v>
      </c>
      <c r="O250" s="4">
        <f>SEARCH(",",$W250,N250+1)</f>
        <v>32</v>
      </c>
      <c r="P250" s="4">
        <f>SEARCH(",",$W250,O250+1)</f>
        <v>38</v>
      </c>
      <c r="Q250" s="4">
        <f>SEARCH(",",$W250,P250+1)</f>
        <v>44</v>
      </c>
      <c r="R250" s="4">
        <f>SEARCH(",",$W250,Q250+1)</f>
        <v>50</v>
      </c>
      <c r="T250" t="s">
        <v>531</v>
      </c>
      <c r="U250">
        <f>SEARCH(":",T250)</f>
        <v>6</v>
      </c>
      <c r="V250" t="str">
        <f>MID(T250,U250+1,LEN(T250)-(U250))</f>
        <v xml:space="preserve"> 136674 ** -320, -778, 4403, 324, 1316, 3170, 4743, 4495</v>
      </c>
      <c r="W250" t="str">
        <f>TRIM(V250)</f>
        <v>136674 ** -320, -778, 4403, 324, 1316, 3170, 4743, 4495</v>
      </c>
      <c r="X250">
        <f>SEARCH("~*",W250)</f>
        <v>8</v>
      </c>
      <c r="Y250" t="str">
        <f>LEFT(W250,X250-1)</f>
        <v xml:space="preserve">136674 </v>
      </c>
      <c r="AA250" t="str">
        <f>CONCATENATE(A250,",",D250,",",E250,",",F250,",",G250,",",H250,",",I250,",",J250,",",K250)</f>
        <v>136674,-320,-778,4403,324,1316,3170,4743,4495</v>
      </c>
    </row>
    <row r="251" spans="1:27">
      <c r="A251" s="1">
        <f>IF(ISBLANK(T251),"",VALUE(Y251))</f>
        <v>133261</v>
      </c>
      <c r="B251" s="1">
        <f>A251*4/10 -18</f>
        <v>53286.400000000001</v>
      </c>
      <c r="C251" s="3">
        <f>B251/7000000</f>
        <v>7.6123428571428569E-3</v>
      </c>
      <c r="D251" s="6">
        <f>VALUE(MID(W251,$X251+2,L251-(X251+2)))</f>
        <v>-320</v>
      </c>
      <c r="E251" s="6">
        <f>VALUE(MID($W251,L251+1,M251-(L251+1)))</f>
        <v>-778</v>
      </c>
      <c r="F251" s="6">
        <f>VALUE(MID($W251,M251+1,N251-(M251+1)))</f>
        <v>4403</v>
      </c>
      <c r="G251" s="6">
        <f>VALUE(MID($W251,N251+1,O251-(N251+1)))</f>
        <v>324</v>
      </c>
      <c r="H251" s="6">
        <f>VALUE(MID($W251,O251+1,P251-(O251+1)))</f>
        <v>1316</v>
      </c>
      <c r="I251" s="6">
        <f>VALUE(MID($W251,P251+1,Q251-(P251+1)))</f>
        <v>3170</v>
      </c>
      <c r="J251" s="6">
        <f>VALUE(MID($W251,Q251+1,R251-(Q251+1)))</f>
        <v>4743</v>
      </c>
      <c r="K251" s="4">
        <f>VALUE(MID(W251,R251+1,LEN(W251)-(R251)))</f>
        <v>4495</v>
      </c>
      <c r="L251" s="4">
        <f>SEARCH(",",W251,X251)</f>
        <v>15</v>
      </c>
      <c r="M251" s="4">
        <f>SEARCH(",",$W251,L251+1)</f>
        <v>21</v>
      </c>
      <c r="N251" s="4">
        <f>SEARCH(",",$W251,M251+1)</f>
        <v>27</v>
      </c>
      <c r="O251" s="4">
        <f>SEARCH(",",$W251,N251+1)</f>
        <v>32</v>
      </c>
      <c r="P251" s="4">
        <f>SEARCH(",",$W251,O251+1)</f>
        <v>38</v>
      </c>
      <c r="Q251" s="4">
        <f>SEARCH(",",$W251,P251+1)</f>
        <v>44</v>
      </c>
      <c r="R251" s="4">
        <f>SEARCH(",",$W251,Q251+1)</f>
        <v>50</v>
      </c>
      <c r="T251" t="s">
        <v>433</v>
      </c>
      <c r="U251">
        <f>SEARCH(":",T251)</f>
        <v>6</v>
      </c>
      <c r="V251" t="str">
        <f>MID(T251,U251+1,LEN(T251)-(U251))</f>
        <v xml:space="preserve"> 133261 ** -320, -778, 4403, 324, 1316, 3170, 4743, 4495</v>
      </c>
      <c r="W251" t="str">
        <f>TRIM(V251)</f>
        <v>133261 ** -320, -778, 4403, 324, 1316, 3170, 4743, 4495</v>
      </c>
      <c r="X251">
        <f>SEARCH("~*",W251)</f>
        <v>8</v>
      </c>
      <c r="Y251" t="str">
        <f>LEFT(W251,X251-1)</f>
        <v xml:space="preserve">133261 </v>
      </c>
      <c r="AA251" t="str">
        <f>CONCATENATE(A251,",",D251,",",E251,",",F251,",",G251,",",H251,",",I251,",",J251,",",K251)</f>
        <v>133261,-320,-778,4403,324,1316,3170,4743,4495</v>
      </c>
    </row>
    <row r="252" spans="1:27">
      <c r="A252" s="1">
        <f>IF(ISBLANK(T252),"",VALUE(Y252))</f>
        <v>128825</v>
      </c>
      <c r="B252" s="1">
        <f>A252*4/10 -18</f>
        <v>51512</v>
      </c>
      <c r="C252" s="3">
        <f>B252/7000000</f>
        <v>7.3588571428571427E-3</v>
      </c>
      <c r="D252" s="6">
        <f>VALUE(MID(W252,$X252+2,L252-(X252+2)))</f>
        <v>-320</v>
      </c>
      <c r="E252" s="6">
        <f>VALUE(MID($W252,L252+1,M252-(L252+1)))</f>
        <v>-778</v>
      </c>
      <c r="F252" s="6">
        <f>VALUE(MID($W252,M252+1,N252-(M252+1)))</f>
        <v>4403</v>
      </c>
      <c r="G252" s="6">
        <f>VALUE(MID($W252,N252+1,O252-(N252+1)))</f>
        <v>324</v>
      </c>
      <c r="H252" s="6">
        <f>VALUE(MID($W252,O252+1,P252-(O252+1)))</f>
        <v>1316</v>
      </c>
      <c r="I252" s="6">
        <f>VALUE(MID($W252,P252+1,Q252-(P252+1)))</f>
        <v>3170</v>
      </c>
      <c r="J252" s="6">
        <f>VALUE(MID($W252,Q252+1,R252-(Q252+1)))</f>
        <v>4743</v>
      </c>
      <c r="K252" s="4">
        <f>VALUE(MID(W252,R252+1,LEN(W252)-(R252)))</f>
        <v>4495</v>
      </c>
      <c r="L252" s="4">
        <f>SEARCH(",",W252,X252)</f>
        <v>15</v>
      </c>
      <c r="M252" s="4">
        <f>SEARCH(",",$W252,L252+1)</f>
        <v>21</v>
      </c>
      <c r="N252" s="4">
        <f>SEARCH(",",$W252,M252+1)</f>
        <v>27</v>
      </c>
      <c r="O252" s="4">
        <f>SEARCH(",",$W252,N252+1)</f>
        <v>32</v>
      </c>
      <c r="P252" s="4">
        <f>SEARCH(",",$W252,O252+1)</f>
        <v>38</v>
      </c>
      <c r="Q252" s="4">
        <f>SEARCH(",",$W252,P252+1)</f>
        <v>44</v>
      </c>
      <c r="R252" s="4">
        <f>SEARCH(",",$W252,Q252+1)</f>
        <v>50</v>
      </c>
      <c r="T252" t="s">
        <v>413</v>
      </c>
      <c r="U252">
        <f>SEARCH(":",T252)</f>
        <v>6</v>
      </c>
      <c r="V252" t="str">
        <f>MID(T252,U252+1,LEN(T252)-(U252))</f>
        <v xml:space="preserve"> 128825 ** -320, -778, 4403, 324, 1316, 3170, 4743, 4495</v>
      </c>
      <c r="W252" t="str">
        <f>TRIM(V252)</f>
        <v>128825 ** -320, -778, 4403, 324, 1316, 3170, 4743, 4495</v>
      </c>
      <c r="X252">
        <f>SEARCH("~*",W252)</f>
        <v>8</v>
      </c>
      <c r="Y252" t="str">
        <f>LEFT(W252,X252-1)</f>
        <v xml:space="preserve">128825 </v>
      </c>
      <c r="AA252" t="str">
        <f>CONCATENATE(A252,",",D252,",",E252,",",F252,",",G252,",",H252,",",I252,",",J252,",",K252)</f>
        <v>128825,-320,-778,4403,324,1316,3170,4743,4495</v>
      </c>
    </row>
    <row r="253" spans="1:27">
      <c r="A253" s="1">
        <f>IF(ISBLANK(T253),"",VALUE(Y253))</f>
        <v>124481</v>
      </c>
      <c r="B253" s="1">
        <f>A253*4/10 -18</f>
        <v>49774.400000000001</v>
      </c>
      <c r="C253" s="3">
        <f>B253/7000000</f>
        <v>7.1106285714285719E-3</v>
      </c>
      <c r="D253" s="6">
        <f>VALUE(MID(W253,$X253+2,L253-(X253+2)))</f>
        <v>-320</v>
      </c>
      <c r="E253" s="6">
        <f>VALUE(MID($W253,L253+1,M253-(L253+1)))</f>
        <v>-778</v>
      </c>
      <c r="F253" s="6">
        <f>VALUE(MID($W253,M253+1,N253-(M253+1)))</f>
        <v>4403</v>
      </c>
      <c r="G253" s="6">
        <f>VALUE(MID($W253,N253+1,O253-(N253+1)))</f>
        <v>324</v>
      </c>
      <c r="H253" s="6">
        <f>VALUE(MID($W253,O253+1,P253-(O253+1)))</f>
        <v>1316</v>
      </c>
      <c r="I253" s="6">
        <f>VALUE(MID($W253,P253+1,Q253-(P253+1)))</f>
        <v>3170</v>
      </c>
      <c r="J253" s="6">
        <f>VALUE(MID($W253,Q253+1,R253-(Q253+1)))</f>
        <v>4743</v>
      </c>
      <c r="K253" s="4">
        <f>VALUE(MID(W253,R253+1,LEN(W253)-(R253)))</f>
        <v>4495</v>
      </c>
      <c r="L253" s="4">
        <f>SEARCH(",",W253,X253)</f>
        <v>15</v>
      </c>
      <c r="M253" s="4">
        <f>SEARCH(",",$W253,L253+1)</f>
        <v>21</v>
      </c>
      <c r="N253" s="4">
        <f>SEARCH(",",$W253,M253+1)</f>
        <v>27</v>
      </c>
      <c r="O253" s="4">
        <f>SEARCH(",",$W253,N253+1)</f>
        <v>32</v>
      </c>
      <c r="P253" s="4">
        <f>SEARCH(",",$W253,O253+1)</f>
        <v>38</v>
      </c>
      <c r="Q253" s="4">
        <f>SEARCH(",",$W253,P253+1)</f>
        <v>44</v>
      </c>
      <c r="R253" s="4">
        <f>SEARCH(",",$W253,Q253+1)</f>
        <v>50</v>
      </c>
      <c r="T253" t="s">
        <v>522</v>
      </c>
      <c r="U253">
        <f>SEARCH(":",T253)</f>
        <v>6</v>
      </c>
      <c r="V253" t="str">
        <f>MID(T253,U253+1,LEN(T253)-(U253))</f>
        <v xml:space="preserve"> 124481 ** -320, -778, 4403, 324, 1316, 3170, 4743, 4495</v>
      </c>
      <c r="W253" t="str">
        <f>TRIM(V253)</f>
        <v>124481 ** -320, -778, 4403, 324, 1316, 3170, 4743, 4495</v>
      </c>
      <c r="X253">
        <f>SEARCH("~*",W253)</f>
        <v>8</v>
      </c>
      <c r="Y253" t="str">
        <f>LEFT(W253,X253-1)</f>
        <v xml:space="preserve">124481 </v>
      </c>
      <c r="AA253" t="str">
        <f>CONCATENATE(A253,",",D253,",",E253,",",F253,",",G253,",",H253,",",I253,",",J253,",",K253)</f>
        <v>124481,-320,-778,4403,324,1316,3170,4743,4495</v>
      </c>
    </row>
    <row r="254" spans="1:27">
      <c r="A254" s="1">
        <f>IF(ISBLANK(T254),"",VALUE(Y254))</f>
        <v>121413</v>
      </c>
      <c r="B254" s="1">
        <f>A254*4/10 -18</f>
        <v>48547.199999999997</v>
      </c>
      <c r="C254" s="3">
        <f>B254/7000000</f>
        <v>6.9353142857142853E-3</v>
      </c>
      <c r="D254" s="6">
        <f>VALUE(MID(W254,$X254+2,L254-(X254+2)))</f>
        <v>-320</v>
      </c>
      <c r="E254" s="6">
        <f>VALUE(MID($W254,L254+1,M254-(L254+1)))</f>
        <v>-778</v>
      </c>
      <c r="F254" s="6">
        <f>VALUE(MID($W254,M254+1,N254-(M254+1)))</f>
        <v>4403</v>
      </c>
      <c r="G254" s="6">
        <f>VALUE(MID($W254,N254+1,O254-(N254+1)))</f>
        <v>324</v>
      </c>
      <c r="H254" s="6">
        <f>VALUE(MID($W254,O254+1,P254-(O254+1)))</f>
        <v>1316</v>
      </c>
      <c r="I254" s="6">
        <f>VALUE(MID($W254,P254+1,Q254-(P254+1)))</f>
        <v>3170</v>
      </c>
      <c r="J254" s="6">
        <f>VALUE(MID($W254,Q254+1,R254-(Q254+1)))</f>
        <v>4743</v>
      </c>
      <c r="K254" s="4">
        <f>VALUE(MID(W254,R254+1,LEN(W254)-(R254)))</f>
        <v>4495</v>
      </c>
      <c r="L254" s="4">
        <f>SEARCH(",",W254,X254)</f>
        <v>15</v>
      </c>
      <c r="M254" s="4">
        <f>SEARCH(",",$W254,L254+1)</f>
        <v>21</v>
      </c>
      <c r="N254" s="4">
        <f>SEARCH(",",$W254,M254+1)</f>
        <v>27</v>
      </c>
      <c r="O254" s="4">
        <f>SEARCH(",",$W254,N254+1)</f>
        <v>32</v>
      </c>
      <c r="P254" s="4">
        <f>SEARCH(",",$W254,O254+1)</f>
        <v>38</v>
      </c>
      <c r="Q254" s="4">
        <f>SEARCH(",",$W254,P254+1)</f>
        <v>44</v>
      </c>
      <c r="R254" s="4">
        <f>SEARCH(",",$W254,Q254+1)</f>
        <v>50</v>
      </c>
      <c r="T254" t="s">
        <v>558</v>
      </c>
      <c r="U254">
        <f>SEARCH(":",T254)</f>
        <v>6</v>
      </c>
      <c r="V254" t="str">
        <f>MID(T254,U254+1,LEN(T254)-(U254))</f>
        <v xml:space="preserve"> 121413 ** -320, -778, 4403, 324, 1316, 3170, 4743, 4495</v>
      </c>
      <c r="W254" t="str">
        <f>TRIM(V254)</f>
        <v>121413 ** -320, -778, 4403, 324, 1316, 3170, 4743, 4495</v>
      </c>
      <c r="X254">
        <f>SEARCH("~*",W254)</f>
        <v>8</v>
      </c>
      <c r="Y254" t="str">
        <f>LEFT(W254,X254-1)</f>
        <v xml:space="preserve">121413 </v>
      </c>
      <c r="AA254" t="str">
        <f>CONCATENATE(A254,",",D254,",",E254,",",F254,",",G254,",",H254,",",I254,",",J254,",",K254)</f>
        <v>121413,-320,-778,4403,324,1316,3170,4743,4495</v>
      </c>
    </row>
    <row r="255" spans="1:27">
      <c r="A255" s="1">
        <f>IF(ISBLANK(T255),"",VALUE(Y255))</f>
        <v>107963</v>
      </c>
      <c r="B255" s="1">
        <f>A255*4/10 -18</f>
        <v>43167.199999999997</v>
      </c>
      <c r="C255" s="3">
        <f>B255/7000000</f>
        <v>6.1667428571428569E-3</v>
      </c>
      <c r="D255" s="6">
        <f>VALUE(MID(W255,$X255+2,L255-(X255+2)))</f>
        <v>-320</v>
      </c>
      <c r="E255" s="6">
        <f>VALUE(MID($W255,L255+1,M255-(L255+1)))</f>
        <v>-778</v>
      </c>
      <c r="F255" s="6">
        <f>VALUE(MID($W255,M255+1,N255-(M255+1)))</f>
        <v>4403</v>
      </c>
      <c r="G255" s="6">
        <f>VALUE(MID($W255,N255+1,O255-(N255+1)))</f>
        <v>324</v>
      </c>
      <c r="H255" s="6">
        <f>VALUE(MID($W255,O255+1,P255-(O255+1)))</f>
        <v>1316</v>
      </c>
      <c r="I255" s="6">
        <f>VALUE(MID($W255,P255+1,Q255-(P255+1)))</f>
        <v>3170</v>
      </c>
      <c r="J255" s="6">
        <f>VALUE(MID($W255,Q255+1,R255-(Q255+1)))</f>
        <v>4743</v>
      </c>
      <c r="K255" s="4">
        <f>VALUE(MID(W255,R255+1,LEN(W255)-(R255)))</f>
        <v>4495</v>
      </c>
      <c r="L255" s="4">
        <f>SEARCH(",",W255,X255)</f>
        <v>15</v>
      </c>
      <c r="M255" s="4">
        <f>SEARCH(",",$W255,L255+1)</f>
        <v>21</v>
      </c>
      <c r="N255" s="4">
        <f>SEARCH(",",$W255,M255+1)</f>
        <v>27</v>
      </c>
      <c r="O255" s="4">
        <f>SEARCH(",",$W255,N255+1)</f>
        <v>32</v>
      </c>
      <c r="P255" s="4">
        <f>SEARCH(",",$W255,O255+1)</f>
        <v>38</v>
      </c>
      <c r="Q255" s="4">
        <f>SEARCH(",",$W255,P255+1)</f>
        <v>44</v>
      </c>
      <c r="R255" s="4">
        <f>SEARCH(",",$W255,Q255+1)</f>
        <v>50</v>
      </c>
      <c r="T255" t="s">
        <v>324</v>
      </c>
      <c r="U255">
        <f>SEARCH(":",T255)</f>
        <v>6</v>
      </c>
      <c r="V255" t="str">
        <f>MID(T255,U255+1,LEN(T255)-(U255))</f>
        <v xml:space="preserve"> 107963 ** -320, -778, 4403, 324, 1316, 3170, 4743, 4495</v>
      </c>
      <c r="W255" t="str">
        <f>TRIM(V255)</f>
        <v>107963 ** -320, -778, 4403, 324, 1316, 3170, 4743, 4495</v>
      </c>
      <c r="X255">
        <f>SEARCH("~*",W255)</f>
        <v>8</v>
      </c>
      <c r="Y255" t="str">
        <f>LEFT(W255,X255-1)</f>
        <v xml:space="preserve">107963 </v>
      </c>
      <c r="AA255" t="str">
        <f>CONCATENATE(A255,",",D255,",",E255,",",F255,",",G255,",",H255,",",I255,",",J255,",",K255)</f>
        <v>107963,-320,-778,4403,324,1316,3170,4743,4495</v>
      </c>
    </row>
    <row r="256" spans="1:27">
      <c r="A256" s="1">
        <f>IF(ISBLANK(T256),"",VALUE(Y256))</f>
        <v>103597</v>
      </c>
      <c r="B256" s="1">
        <f>A256*4/10 -18</f>
        <v>41420.800000000003</v>
      </c>
      <c r="C256" s="3">
        <f>B256/7000000</f>
        <v>5.9172571428571432E-3</v>
      </c>
      <c r="D256" s="6">
        <f>VALUE(MID(W256,$X256+2,L256-(X256+2)))</f>
        <v>-320</v>
      </c>
      <c r="E256" s="6">
        <f>VALUE(MID($W256,L256+1,M256-(L256+1)))</f>
        <v>-778</v>
      </c>
      <c r="F256" s="6">
        <f>VALUE(MID($W256,M256+1,N256-(M256+1)))</f>
        <v>4403</v>
      </c>
      <c r="G256" s="6">
        <f>VALUE(MID($W256,N256+1,O256-(N256+1)))</f>
        <v>324</v>
      </c>
      <c r="H256" s="6">
        <f>VALUE(MID($W256,O256+1,P256-(O256+1)))</f>
        <v>1316</v>
      </c>
      <c r="I256" s="6">
        <f>VALUE(MID($W256,P256+1,Q256-(P256+1)))</f>
        <v>3170</v>
      </c>
      <c r="J256" s="6">
        <f>VALUE(MID($W256,Q256+1,R256-(Q256+1)))</f>
        <v>4743</v>
      </c>
      <c r="K256" s="4">
        <f>VALUE(MID(W256,R256+1,LEN(W256)-(R256)))</f>
        <v>4495</v>
      </c>
      <c r="L256" s="4">
        <f>SEARCH(",",W256,X256)</f>
        <v>15</v>
      </c>
      <c r="M256" s="4">
        <f>SEARCH(",",$W256,L256+1)</f>
        <v>21</v>
      </c>
      <c r="N256" s="4">
        <f>SEARCH(",",$W256,M256+1)</f>
        <v>27</v>
      </c>
      <c r="O256" s="4">
        <f>SEARCH(",",$W256,N256+1)</f>
        <v>32</v>
      </c>
      <c r="P256" s="4">
        <f>SEARCH(",",$W256,O256+1)</f>
        <v>38</v>
      </c>
      <c r="Q256" s="4">
        <f>SEARCH(",",$W256,P256+1)</f>
        <v>44</v>
      </c>
      <c r="R256" s="4">
        <f>SEARCH(",",$W256,Q256+1)</f>
        <v>50</v>
      </c>
      <c r="T256" t="s">
        <v>387</v>
      </c>
      <c r="U256">
        <f>SEARCH(":",T256)</f>
        <v>6</v>
      </c>
      <c r="V256" t="str">
        <f>MID(T256,U256+1,LEN(T256)-(U256))</f>
        <v xml:space="preserve"> 103597 ** -320, -778, 4403, 324, 1316, 3170, 4743, 4495</v>
      </c>
      <c r="W256" t="str">
        <f>TRIM(V256)</f>
        <v>103597 ** -320, -778, 4403, 324, 1316, 3170, 4743, 4495</v>
      </c>
      <c r="X256">
        <f>SEARCH("~*",W256)</f>
        <v>8</v>
      </c>
      <c r="Y256" t="str">
        <f>LEFT(W256,X256-1)</f>
        <v xml:space="preserve">103597 </v>
      </c>
      <c r="AA256" t="str">
        <f>CONCATENATE(A256,",",D256,",",E256,",",F256,",",G256,",",H256,",",I256,",",J256,",",K256)</f>
        <v>103597,-320,-778,4403,324,1316,3170,4743,4495</v>
      </c>
    </row>
    <row r="257" spans="1:27">
      <c r="A257" s="1">
        <f>IF(ISBLANK(T257),"",VALUE(Y257))</f>
        <v>103489</v>
      </c>
      <c r="B257" s="1">
        <f>A257*4/10 -18</f>
        <v>41377.599999999999</v>
      </c>
      <c r="C257" s="3">
        <f>B257/7000000</f>
        <v>5.9110857142857139E-3</v>
      </c>
      <c r="D257" s="6">
        <f>VALUE(MID(W257,$X257+2,L257-(X257+2)))</f>
        <v>-320</v>
      </c>
      <c r="E257" s="6">
        <f>VALUE(MID($W257,L257+1,M257-(L257+1)))</f>
        <v>-778</v>
      </c>
      <c r="F257" s="6">
        <f>VALUE(MID($W257,M257+1,N257-(M257+1)))</f>
        <v>4403</v>
      </c>
      <c r="G257" s="6">
        <f>VALUE(MID($W257,N257+1,O257-(N257+1)))</f>
        <v>324</v>
      </c>
      <c r="H257" s="6">
        <f>VALUE(MID($W257,O257+1,P257-(O257+1)))</f>
        <v>1316</v>
      </c>
      <c r="I257" s="6">
        <f>VALUE(MID($W257,P257+1,Q257-(P257+1)))</f>
        <v>3170</v>
      </c>
      <c r="J257" s="6">
        <f>VALUE(MID($W257,Q257+1,R257-(Q257+1)))</f>
        <v>4743</v>
      </c>
      <c r="K257" s="4">
        <f>VALUE(MID(W257,R257+1,LEN(W257)-(R257)))</f>
        <v>4495</v>
      </c>
      <c r="L257" s="4">
        <f>SEARCH(",",W257,X257)</f>
        <v>15</v>
      </c>
      <c r="M257" s="4">
        <f>SEARCH(",",$W257,L257+1)</f>
        <v>21</v>
      </c>
      <c r="N257" s="4">
        <f>SEARCH(",",$W257,M257+1)</f>
        <v>27</v>
      </c>
      <c r="O257" s="4">
        <f>SEARCH(",",$W257,N257+1)</f>
        <v>32</v>
      </c>
      <c r="P257" s="4">
        <f>SEARCH(",",$W257,O257+1)</f>
        <v>38</v>
      </c>
      <c r="Q257" s="4">
        <f>SEARCH(",",$W257,P257+1)</f>
        <v>44</v>
      </c>
      <c r="R257" s="4">
        <f>SEARCH(",",$W257,Q257+1)</f>
        <v>50</v>
      </c>
      <c r="T257" t="s">
        <v>429</v>
      </c>
      <c r="U257">
        <f>SEARCH(":",T257)</f>
        <v>6</v>
      </c>
      <c r="V257" t="str">
        <f>MID(T257,U257+1,LEN(T257)-(U257))</f>
        <v xml:space="preserve"> 103489 ** -320, -778, 4403, 324, 1316, 3170, 4743, 4495</v>
      </c>
      <c r="W257" t="str">
        <f>TRIM(V257)</f>
        <v>103489 ** -320, -778, 4403, 324, 1316, 3170, 4743, 4495</v>
      </c>
      <c r="X257">
        <f>SEARCH("~*",W257)</f>
        <v>8</v>
      </c>
      <c r="Y257" t="str">
        <f>LEFT(W257,X257-1)</f>
        <v xml:space="preserve">103489 </v>
      </c>
      <c r="AA257" t="str">
        <f>CONCATENATE(A257,",",D257,",",E257,",",F257,",",G257,",",H257,",",I257,",",J257,",",K257)</f>
        <v>103489,-320,-778,4403,324,1316,3170,4743,4495</v>
      </c>
    </row>
    <row r="258" spans="1:27">
      <c r="A258" s="1">
        <f>IF(ISBLANK(T258),"",VALUE(Y258))</f>
        <v>98786</v>
      </c>
      <c r="B258" s="1">
        <f>A258*4/10 -18</f>
        <v>39496.400000000001</v>
      </c>
      <c r="C258" s="3">
        <f>B258/7000000</f>
        <v>5.6423428571428574E-3</v>
      </c>
      <c r="D258" s="6">
        <f>VALUE(MID(W258,$X258+2,L258-(X258+2)))</f>
        <v>-320</v>
      </c>
      <c r="E258" s="6">
        <f>VALUE(MID($W258,L258+1,M258-(L258+1)))</f>
        <v>-778</v>
      </c>
      <c r="F258" s="6">
        <f>VALUE(MID($W258,M258+1,N258-(M258+1)))</f>
        <v>4403</v>
      </c>
      <c r="G258" s="6">
        <f>VALUE(MID($W258,N258+1,O258-(N258+1)))</f>
        <v>324</v>
      </c>
      <c r="H258" s="6">
        <f>VALUE(MID($W258,O258+1,P258-(O258+1)))</f>
        <v>1316</v>
      </c>
      <c r="I258" s="6">
        <f>VALUE(MID($W258,P258+1,Q258-(P258+1)))</f>
        <v>3170</v>
      </c>
      <c r="J258" s="6">
        <f>VALUE(MID($W258,Q258+1,R258-(Q258+1)))</f>
        <v>4743</v>
      </c>
      <c r="K258" s="4">
        <f>VALUE(MID(W258,R258+1,LEN(W258)-(R258)))</f>
        <v>4495</v>
      </c>
      <c r="L258" s="4">
        <f>SEARCH(",",W258,X258)</f>
        <v>14</v>
      </c>
      <c r="M258" s="4">
        <f>SEARCH(",",$W258,L258+1)</f>
        <v>20</v>
      </c>
      <c r="N258" s="4">
        <f>SEARCH(",",$W258,M258+1)</f>
        <v>26</v>
      </c>
      <c r="O258" s="4">
        <f>SEARCH(",",$W258,N258+1)</f>
        <v>31</v>
      </c>
      <c r="P258" s="4">
        <f>SEARCH(",",$W258,O258+1)</f>
        <v>37</v>
      </c>
      <c r="Q258" s="4">
        <f>SEARCH(",",$W258,P258+1)</f>
        <v>43</v>
      </c>
      <c r="R258" s="4">
        <f>SEARCH(",",$W258,Q258+1)</f>
        <v>49</v>
      </c>
      <c r="T258" t="s">
        <v>499</v>
      </c>
      <c r="U258">
        <f>SEARCH(":",T258)</f>
        <v>6</v>
      </c>
      <c r="V258" t="str">
        <f>MID(T258,U258+1,LEN(T258)-(U258))</f>
        <v xml:space="preserve"> 98786 ** -320, -778, 4403, 324, 1316, 3170, 4743, 4495</v>
      </c>
      <c r="W258" t="str">
        <f>TRIM(V258)</f>
        <v>98786 ** -320, -778, 4403, 324, 1316, 3170, 4743, 4495</v>
      </c>
      <c r="X258">
        <f>SEARCH("~*",W258)</f>
        <v>7</v>
      </c>
      <c r="Y258" t="str">
        <f>LEFT(W258,X258-1)</f>
        <v xml:space="preserve">98786 </v>
      </c>
      <c r="AA258" t="str">
        <f>CONCATENATE(A258,",",D258,",",E258,",",F258,",",G258,",",H258,",",I258,",",J258,",",K258)</f>
        <v>98786,-320,-778,4403,324,1316,3170,4743,4495</v>
      </c>
    </row>
    <row r="259" spans="1:27">
      <c r="A259" s="1">
        <f>IF(ISBLANK(T259),"",VALUE(Y259))</f>
        <v>98318</v>
      </c>
      <c r="B259" s="1">
        <f>A259*4/10 -18</f>
        <v>39309.199999999997</v>
      </c>
      <c r="C259" s="3">
        <f>B259/7000000</f>
        <v>5.6155999999999992E-3</v>
      </c>
      <c r="D259" s="6">
        <f>VALUE(MID(W259,$X259+2,L259-(X259+2)))</f>
        <v>-320</v>
      </c>
      <c r="E259" s="6">
        <f>VALUE(MID($W259,L259+1,M259-(L259+1)))</f>
        <v>-778</v>
      </c>
      <c r="F259" s="6">
        <f>VALUE(MID($W259,M259+1,N259-(M259+1)))</f>
        <v>4403</v>
      </c>
      <c r="G259" s="6">
        <f>VALUE(MID($W259,N259+1,O259-(N259+1)))</f>
        <v>324</v>
      </c>
      <c r="H259" s="6">
        <f>VALUE(MID($W259,O259+1,P259-(O259+1)))</f>
        <v>1316</v>
      </c>
      <c r="I259" s="6">
        <f>VALUE(MID($W259,P259+1,Q259-(P259+1)))</f>
        <v>3170</v>
      </c>
      <c r="J259" s="6">
        <f>VALUE(MID($W259,Q259+1,R259-(Q259+1)))</f>
        <v>4743</v>
      </c>
      <c r="K259" s="4">
        <f>VALUE(MID(W259,R259+1,LEN(W259)-(R259)))</f>
        <v>4495</v>
      </c>
      <c r="L259" s="4">
        <f>SEARCH(",",W259,X259)</f>
        <v>14</v>
      </c>
      <c r="M259" s="4">
        <f>SEARCH(",",$W259,L259+1)</f>
        <v>20</v>
      </c>
      <c r="N259" s="4">
        <f>SEARCH(",",$W259,M259+1)</f>
        <v>26</v>
      </c>
      <c r="O259" s="4">
        <f>SEARCH(",",$W259,N259+1)</f>
        <v>31</v>
      </c>
      <c r="P259" s="4">
        <f>SEARCH(",",$W259,O259+1)</f>
        <v>37</v>
      </c>
      <c r="Q259" s="4">
        <f>SEARCH(",",$W259,P259+1)</f>
        <v>43</v>
      </c>
      <c r="R259" s="4">
        <f>SEARCH(",",$W259,Q259+1)</f>
        <v>49</v>
      </c>
      <c r="T259" t="s">
        <v>394</v>
      </c>
      <c r="U259">
        <f>SEARCH(":",T259)</f>
        <v>6</v>
      </c>
      <c r="V259" t="str">
        <f>MID(T259,U259+1,LEN(T259)-(U259))</f>
        <v xml:space="preserve"> 98318 ** -320, -778, 4403, 324, 1316, 3170, 4743, 4495</v>
      </c>
      <c r="W259" t="str">
        <f>TRIM(V259)</f>
        <v>98318 ** -320, -778, 4403, 324, 1316, 3170, 4743, 4495</v>
      </c>
      <c r="X259">
        <f>SEARCH("~*",W259)</f>
        <v>7</v>
      </c>
      <c r="Y259" t="str">
        <f>LEFT(W259,X259-1)</f>
        <v xml:space="preserve">98318 </v>
      </c>
      <c r="AA259" t="str">
        <f>CONCATENATE(A259,",",D259,",",E259,",",F259,",",G259,",",H259,",",I259,",",J259,",",K259)</f>
        <v>98318,-320,-778,4403,324,1316,3170,4743,4495</v>
      </c>
    </row>
    <row r="260" spans="1:27">
      <c r="A260" s="1">
        <f>IF(ISBLANK(T260),"",VALUE(Y260))</f>
        <v>89801</v>
      </c>
      <c r="B260" s="1">
        <f>A260*4/10 -18</f>
        <v>35902.400000000001</v>
      </c>
      <c r="C260" s="3">
        <f>B260/7000000</f>
        <v>5.1289142857142856E-3</v>
      </c>
      <c r="D260" s="6">
        <f>VALUE(MID(W260,$X260+2,L260-(X260+2)))</f>
        <v>-320</v>
      </c>
      <c r="E260" s="6">
        <f>VALUE(MID($W260,L260+1,M260-(L260+1)))</f>
        <v>-778</v>
      </c>
      <c r="F260" s="6">
        <f>VALUE(MID($W260,M260+1,N260-(M260+1)))</f>
        <v>4403</v>
      </c>
      <c r="G260" s="6">
        <f>VALUE(MID($W260,N260+1,O260-(N260+1)))</f>
        <v>324</v>
      </c>
      <c r="H260" s="6">
        <f>VALUE(MID($W260,O260+1,P260-(O260+1)))</f>
        <v>1316</v>
      </c>
      <c r="I260" s="6">
        <f>VALUE(MID($W260,P260+1,Q260-(P260+1)))</f>
        <v>3170</v>
      </c>
      <c r="J260" s="6">
        <f>VALUE(MID($W260,Q260+1,R260-(Q260+1)))</f>
        <v>4743</v>
      </c>
      <c r="K260" s="4">
        <f>VALUE(MID(W260,R260+1,LEN(W260)-(R260)))</f>
        <v>4495</v>
      </c>
      <c r="L260" s="4">
        <f>SEARCH(",",W260,X260)</f>
        <v>14</v>
      </c>
      <c r="M260" s="4">
        <f>SEARCH(",",$W260,L260+1)</f>
        <v>20</v>
      </c>
      <c r="N260" s="4">
        <f>SEARCH(",",$W260,M260+1)</f>
        <v>26</v>
      </c>
      <c r="O260" s="4">
        <f>SEARCH(",",$W260,N260+1)</f>
        <v>31</v>
      </c>
      <c r="P260" s="4">
        <f>SEARCH(",",$W260,O260+1)</f>
        <v>37</v>
      </c>
      <c r="Q260" s="4">
        <f>SEARCH(",",$W260,P260+1)</f>
        <v>43</v>
      </c>
      <c r="R260" s="4">
        <f>SEARCH(",",$W260,Q260+1)</f>
        <v>49</v>
      </c>
      <c r="T260" t="s">
        <v>296</v>
      </c>
      <c r="U260">
        <f>SEARCH(":",T260)</f>
        <v>6</v>
      </c>
      <c r="V260" t="str">
        <f>MID(T260,U260+1,LEN(T260)-(U260))</f>
        <v xml:space="preserve"> 89801 ** -320, -778, 4403, 324, 1316, 3170, 4743, 4495</v>
      </c>
      <c r="W260" t="str">
        <f>TRIM(V260)</f>
        <v>89801 ** -320, -778, 4403, 324, 1316, 3170, 4743, 4495</v>
      </c>
      <c r="X260">
        <f>SEARCH("~*",W260)</f>
        <v>7</v>
      </c>
      <c r="Y260" t="str">
        <f>LEFT(W260,X260-1)</f>
        <v xml:space="preserve">89801 </v>
      </c>
      <c r="AA260" t="str">
        <f>CONCATENATE(A260,",",D260,",",E260,",",F260,",",G260,",",H260,",",I260,",",J260,",",K260)</f>
        <v>89801,-320,-778,4403,324,1316,3170,4743,4495</v>
      </c>
    </row>
    <row r="261" spans="1:27">
      <c r="A261" s="1">
        <f>IF(ISBLANK(T261),"",VALUE(Y261))</f>
        <v>87329</v>
      </c>
      <c r="B261" s="1">
        <f>A261*4/10 -18</f>
        <v>34913.599999999999</v>
      </c>
      <c r="C261" s="3">
        <f>B261/7000000</f>
        <v>4.9876571428571423E-3</v>
      </c>
      <c r="D261" s="6">
        <f>VALUE(MID(W261,$X261+2,L261-(X261+2)))</f>
        <v>-320</v>
      </c>
      <c r="E261" s="6">
        <f>VALUE(MID($W261,L261+1,M261-(L261+1)))</f>
        <v>-778</v>
      </c>
      <c r="F261" s="6">
        <f>VALUE(MID($W261,M261+1,N261-(M261+1)))</f>
        <v>4403</v>
      </c>
      <c r="G261" s="6">
        <f>VALUE(MID($W261,N261+1,O261-(N261+1)))</f>
        <v>324</v>
      </c>
      <c r="H261" s="6">
        <f>VALUE(MID($W261,O261+1,P261-(O261+1)))</f>
        <v>1316</v>
      </c>
      <c r="I261" s="6">
        <f>VALUE(MID($W261,P261+1,Q261-(P261+1)))</f>
        <v>3170</v>
      </c>
      <c r="J261" s="6">
        <f>VALUE(MID($W261,Q261+1,R261-(Q261+1)))</f>
        <v>4743</v>
      </c>
      <c r="K261" s="4">
        <f>VALUE(MID(W261,R261+1,LEN(W261)-(R261)))</f>
        <v>4495</v>
      </c>
      <c r="L261" s="4">
        <f>SEARCH(",",W261,X261)</f>
        <v>14</v>
      </c>
      <c r="M261" s="4">
        <f>SEARCH(",",$W261,L261+1)</f>
        <v>20</v>
      </c>
      <c r="N261" s="4">
        <f>SEARCH(",",$W261,M261+1)</f>
        <v>26</v>
      </c>
      <c r="O261" s="4">
        <f>SEARCH(",",$W261,N261+1)</f>
        <v>31</v>
      </c>
      <c r="P261" s="4">
        <f>SEARCH(",",$W261,O261+1)</f>
        <v>37</v>
      </c>
      <c r="Q261" s="4">
        <f>SEARCH(",",$W261,P261+1)</f>
        <v>43</v>
      </c>
      <c r="R261" s="4">
        <f>SEARCH(",",$W261,Q261+1)</f>
        <v>49</v>
      </c>
      <c r="T261" t="s">
        <v>559</v>
      </c>
      <c r="U261">
        <f>SEARCH(":",T261)</f>
        <v>6</v>
      </c>
      <c r="V261" t="str">
        <f>MID(T261,U261+1,LEN(T261)-(U261))</f>
        <v xml:space="preserve"> 87329 ** -320, -778, 4403, 324, 1316, 3170, 4743, 4495</v>
      </c>
      <c r="W261" t="str">
        <f>TRIM(V261)</f>
        <v>87329 ** -320, -778, 4403, 324, 1316, 3170, 4743, 4495</v>
      </c>
      <c r="X261">
        <f>SEARCH("~*",W261)</f>
        <v>7</v>
      </c>
      <c r="Y261" t="str">
        <f>LEFT(W261,X261-1)</f>
        <v xml:space="preserve">87329 </v>
      </c>
      <c r="AA261" t="str">
        <f>CONCATENATE(A261,",",D261,",",E261,",",F261,",",G261,",",H261,",",I261,",",J261,",",K261)</f>
        <v>87329,-320,-778,4403,324,1316,3170,4743,4495</v>
      </c>
    </row>
    <row r="262" spans="1:27">
      <c r="A262" s="1">
        <f>IF(ISBLANK(T262),"",VALUE(Y262))</f>
        <v>82155</v>
      </c>
      <c r="B262" s="1">
        <f>A262*4/10 -18</f>
        <v>32844</v>
      </c>
      <c r="C262" s="3">
        <f>B262/7000000</f>
        <v>4.692E-3</v>
      </c>
      <c r="D262" s="6">
        <f>VALUE(MID(W262,$X262+2,L262-(X262+2)))</f>
        <v>-320</v>
      </c>
      <c r="E262" s="6">
        <f>VALUE(MID($W262,L262+1,M262-(L262+1)))</f>
        <v>-778</v>
      </c>
      <c r="F262" s="6">
        <f>VALUE(MID($W262,M262+1,N262-(M262+1)))</f>
        <v>4403</v>
      </c>
      <c r="G262" s="6">
        <f>VALUE(MID($W262,N262+1,O262-(N262+1)))</f>
        <v>324</v>
      </c>
      <c r="H262" s="6">
        <f>VALUE(MID($W262,O262+1,P262-(O262+1)))</f>
        <v>1316</v>
      </c>
      <c r="I262" s="6">
        <f>VALUE(MID($W262,P262+1,Q262-(P262+1)))</f>
        <v>3170</v>
      </c>
      <c r="J262" s="6">
        <f>VALUE(MID($W262,Q262+1,R262-(Q262+1)))</f>
        <v>4743</v>
      </c>
      <c r="K262" s="4">
        <f>VALUE(MID(W262,R262+1,LEN(W262)-(R262)))</f>
        <v>4495</v>
      </c>
      <c r="L262" s="4">
        <f>SEARCH(",",W262,X262)</f>
        <v>14</v>
      </c>
      <c r="M262" s="4">
        <f>SEARCH(",",$W262,L262+1)</f>
        <v>20</v>
      </c>
      <c r="N262" s="4">
        <f>SEARCH(",",$W262,M262+1)</f>
        <v>26</v>
      </c>
      <c r="O262" s="4">
        <f>SEARCH(",",$W262,N262+1)</f>
        <v>31</v>
      </c>
      <c r="P262" s="4">
        <f>SEARCH(",",$W262,O262+1)</f>
        <v>37</v>
      </c>
      <c r="Q262" s="4">
        <f>SEARCH(",",$W262,P262+1)</f>
        <v>43</v>
      </c>
      <c r="R262" s="4">
        <f>SEARCH(",",$W262,Q262+1)</f>
        <v>49</v>
      </c>
      <c r="T262" t="s">
        <v>502</v>
      </c>
      <c r="U262">
        <f>SEARCH(":",T262)</f>
        <v>6</v>
      </c>
      <c r="V262" t="str">
        <f>MID(T262,U262+1,LEN(T262)-(U262))</f>
        <v xml:space="preserve"> 82155 ** -320, -778, 4403, 324, 1316, 3170, 4743, 4495</v>
      </c>
      <c r="W262" t="str">
        <f>TRIM(V262)</f>
        <v>82155 ** -320, -778, 4403, 324, 1316, 3170, 4743, 4495</v>
      </c>
      <c r="X262">
        <f>SEARCH("~*",W262)</f>
        <v>7</v>
      </c>
      <c r="Y262" t="str">
        <f>LEFT(W262,X262-1)</f>
        <v xml:space="preserve">82155 </v>
      </c>
      <c r="AA262" t="str">
        <f>CONCATENATE(A262,",",D262,",",E262,",",F262,",",G262,",",H262,",",I262,",",J262,",",K262)</f>
        <v>82155,-320,-778,4403,324,1316,3170,4743,4495</v>
      </c>
    </row>
    <row r="263" spans="1:27">
      <c r="A263" s="1">
        <f>IF(ISBLANK(T263),"",VALUE(Y263))</f>
        <v>81086</v>
      </c>
      <c r="B263" s="1">
        <f>A263*4/10 -18</f>
        <v>32416.400000000001</v>
      </c>
      <c r="C263" s="3">
        <f>B263/7000000</f>
        <v>4.6309142857142863E-3</v>
      </c>
      <c r="D263" s="6">
        <f>VALUE(MID(W263,$X263+2,L263-(X263+2)))</f>
        <v>-320</v>
      </c>
      <c r="E263" s="6">
        <f>VALUE(MID($W263,L263+1,M263-(L263+1)))</f>
        <v>-778</v>
      </c>
      <c r="F263" s="6">
        <f>VALUE(MID($W263,M263+1,N263-(M263+1)))</f>
        <v>4403</v>
      </c>
      <c r="G263" s="6">
        <f>VALUE(MID($W263,N263+1,O263-(N263+1)))</f>
        <v>324</v>
      </c>
      <c r="H263" s="6">
        <f>VALUE(MID($W263,O263+1,P263-(O263+1)))</f>
        <v>1316</v>
      </c>
      <c r="I263" s="6">
        <f>VALUE(MID($W263,P263+1,Q263-(P263+1)))</f>
        <v>3170</v>
      </c>
      <c r="J263" s="6">
        <f>VALUE(MID($W263,Q263+1,R263-(Q263+1)))</f>
        <v>4743</v>
      </c>
      <c r="K263" s="4">
        <f>VALUE(MID(W263,R263+1,LEN(W263)-(R263)))</f>
        <v>4495</v>
      </c>
      <c r="L263" s="4">
        <f>SEARCH(",",W263,X263)</f>
        <v>14</v>
      </c>
      <c r="M263" s="4">
        <f>SEARCH(",",$W263,L263+1)</f>
        <v>20</v>
      </c>
      <c r="N263" s="4">
        <f>SEARCH(",",$W263,M263+1)</f>
        <v>26</v>
      </c>
      <c r="O263" s="4">
        <f>SEARCH(",",$W263,N263+1)</f>
        <v>31</v>
      </c>
      <c r="P263" s="4">
        <f>SEARCH(",",$W263,O263+1)</f>
        <v>37</v>
      </c>
      <c r="Q263" s="4">
        <f>SEARCH(",",$W263,P263+1)</f>
        <v>43</v>
      </c>
      <c r="R263" s="4">
        <f>SEARCH(",",$W263,Q263+1)</f>
        <v>49</v>
      </c>
      <c r="T263" t="s">
        <v>376</v>
      </c>
      <c r="U263">
        <f>SEARCH(":",T263)</f>
        <v>6</v>
      </c>
      <c r="V263" t="str">
        <f>MID(T263,U263+1,LEN(T263)-(U263))</f>
        <v xml:space="preserve"> 81086 ** -320, -778, 4403, 324, 1316, 3170, 4743, 4495</v>
      </c>
      <c r="W263" t="str">
        <f>TRIM(V263)</f>
        <v>81086 ** -320, -778, 4403, 324, 1316, 3170, 4743, 4495</v>
      </c>
      <c r="X263">
        <f>SEARCH("~*",W263)</f>
        <v>7</v>
      </c>
      <c r="Y263" t="str">
        <f>LEFT(W263,X263-1)</f>
        <v xml:space="preserve">81086 </v>
      </c>
      <c r="AA263" t="str">
        <f>CONCATENATE(A263,",",D263,",",E263,",",F263,",",G263,",",H263,",",I263,",",J263,",",K263)</f>
        <v>81086,-320,-778,4403,324,1316,3170,4743,4495</v>
      </c>
    </row>
    <row r="264" spans="1:27">
      <c r="A264" s="1">
        <f>IF(ISBLANK(T264),"",VALUE(Y264))</f>
        <v>80031</v>
      </c>
      <c r="B264" s="1">
        <f>A264*4/10 -18</f>
        <v>31994.400000000001</v>
      </c>
      <c r="C264" s="3">
        <f>B264/7000000</f>
        <v>4.5706285714285713E-3</v>
      </c>
      <c r="D264" s="6">
        <f>VALUE(MID(W264,$X264+2,L264-(X264+2)))</f>
        <v>-320</v>
      </c>
      <c r="E264" s="6">
        <f>VALUE(MID($W264,L264+1,M264-(L264+1)))</f>
        <v>-778</v>
      </c>
      <c r="F264" s="6">
        <f>VALUE(MID($W264,M264+1,N264-(M264+1)))</f>
        <v>4403</v>
      </c>
      <c r="G264" s="6">
        <f>VALUE(MID($W264,N264+1,O264-(N264+1)))</f>
        <v>324</v>
      </c>
      <c r="H264" s="6">
        <f>VALUE(MID($W264,O264+1,P264-(O264+1)))</f>
        <v>1316</v>
      </c>
      <c r="I264" s="6">
        <f>VALUE(MID($W264,P264+1,Q264-(P264+1)))</f>
        <v>3170</v>
      </c>
      <c r="J264" s="6">
        <f>VALUE(MID($W264,Q264+1,R264-(Q264+1)))</f>
        <v>4743</v>
      </c>
      <c r="K264" s="4">
        <f>VALUE(MID(W264,R264+1,LEN(W264)-(R264)))</f>
        <v>4495</v>
      </c>
      <c r="L264" s="4">
        <f>SEARCH(",",W264,X264)</f>
        <v>14</v>
      </c>
      <c r="M264" s="4">
        <f>SEARCH(",",$W264,L264+1)</f>
        <v>20</v>
      </c>
      <c r="N264" s="4">
        <f>SEARCH(",",$W264,M264+1)</f>
        <v>26</v>
      </c>
      <c r="O264" s="4">
        <f>SEARCH(",",$W264,N264+1)</f>
        <v>31</v>
      </c>
      <c r="P264" s="4">
        <f>SEARCH(",",$W264,O264+1)</f>
        <v>37</v>
      </c>
      <c r="Q264" s="4">
        <f>SEARCH(",",$W264,P264+1)</f>
        <v>43</v>
      </c>
      <c r="R264" s="4">
        <f>SEARCH(",",$W264,Q264+1)</f>
        <v>49</v>
      </c>
      <c r="T264" t="s">
        <v>419</v>
      </c>
      <c r="U264">
        <f>SEARCH(":",T264)</f>
        <v>6</v>
      </c>
      <c r="V264" t="str">
        <f>MID(T264,U264+1,LEN(T264)-(U264))</f>
        <v xml:space="preserve"> 80031 ** -320, -778, 4403, 324, 1316, 3170, 4743, 4495</v>
      </c>
      <c r="W264" t="str">
        <f>TRIM(V264)</f>
        <v>80031 ** -320, -778, 4403, 324, 1316, 3170, 4743, 4495</v>
      </c>
      <c r="X264">
        <f>SEARCH("~*",W264)</f>
        <v>7</v>
      </c>
      <c r="Y264" t="str">
        <f>LEFT(W264,X264-1)</f>
        <v xml:space="preserve">80031 </v>
      </c>
      <c r="AA264" t="str">
        <f>CONCATENATE(A264,",",D264,",",E264,",",F264,",",G264,",",H264,",",I264,",",J264,",",K264)</f>
        <v>80031,-320,-778,4403,324,1316,3170,4743,4495</v>
      </c>
    </row>
    <row r="265" spans="1:27">
      <c r="A265" s="1">
        <f>IF(ISBLANK(T265),"",VALUE(Y265))</f>
        <v>70607</v>
      </c>
      <c r="B265" s="1">
        <f>A265*4/10 -18</f>
        <v>28224.799999999999</v>
      </c>
      <c r="C265" s="3">
        <f>B265/7000000</f>
        <v>4.0321142857142854E-3</v>
      </c>
      <c r="D265" s="6">
        <f>VALUE(MID(W265,$X265+2,L265-(X265+2)))</f>
        <v>-320</v>
      </c>
      <c r="E265" s="6">
        <f>VALUE(MID($W265,L265+1,M265-(L265+1)))</f>
        <v>-778</v>
      </c>
      <c r="F265" s="6">
        <f>VALUE(MID($W265,M265+1,N265-(M265+1)))</f>
        <v>4403</v>
      </c>
      <c r="G265" s="6">
        <f>VALUE(MID($W265,N265+1,O265-(N265+1)))</f>
        <v>324</v>
      </c>
      <c r="H265" s="6">
        <f>VALUE(MID($W265,O265+1,P265-(O265+1)))</f>
        <v>1316</v>
      </c>
      <c r="I265" s="6">
        <f>VALUE(MID($W265,P265+1,Q265-(P265+1)))</f>
        <v>3170</v>
      </c>
      <c r="J265" s="6">
        <f>VALUE(MID($W265,Q265+1,R265-(Q265+1)))</f>
        <v>4743</v>
      </c>
      <c r="K265" s="4">
        <f>VALUE(MID(W265,R265+1,LEN(W265)-(R265)))</f>
        <v>4495</v>
      </c>
      <c r="L265" s="4">
        <f>SEARCH(",",W265,X265)</f>
        <v>14</v>
      </c>
      <c r="M265" s="4">
        <f>SEARCH(",",$W265,L265+1)</f>
        <v>20</v>
      </c>
      <c r="N265" s="4">
        <f>SEARCH(",",$W265,M265+1)</f>
        <v>26</v>
      </c>
      <c r="O265" s="4">
        <f>SEARCH(",",$W265,N265+1)</f>
        <v>31</v>
      </c>
      <c r="P265" s="4">
        <f>SEARCH(",",$W265,O265+1)</f>
        <v>37</v>
      </c>
      <c r="Q265" s="4">
        <f>SEARCH(",",$W265,P265+1)</f>
        <v>43</v>
      </c>
      <c r="R265" s="4">
        <f>SEARCH(",",$W265,Q265+1)</f>
        <v>49</v>
      </c>
      <c r="T265" t="s">
        <v>543</v>
      </c>
      <c r="U265">
        <f>SEARCH(":",T265)</f>
        <v>6</v>
      </c>
      <c r="V265" t="str">
        <f>MID(T265,U265+1,LEN(T265)-(U265))</f>
        <v xml:space="preserve"> 70607 ** -320, -778, 4403, 324, 1316, 3170, 4743, 4495</v>
      </c>
      <c r="W265" t="str">
        <f>TRIM(V265)</f>
        <v>70607 ** -320, -778, 4403, 324, 1316, 3170, 4743, 4495</v>
      </c>
      <c r="X265">
        <f>SEARCH("~*",W265)</f>
        <v>7</v>
      </c>
      <c r="Y265" t="str">
        <f>LEFT(W265,X265-1)</f>
        <v xml:space="preserve">70607 </v>
      </c>
      <c r="AA265" t="str">
        <f>CONCATENATE(A265,",",D265,",",E265,",",F265,",",G265,",",H265,",",I265,",",J265,",",K265)</f>
        <v>70607,-320,-778,4403,324,1316,3170,4743,4495</v>
      </c>
    </row>
    <row r="266" spans="1:27">
      <c r="A266" s="1">
        <f>IF(ISBLANK(T266),"",VALUE(Y266))</f>
        <v>63196</v>
      </c>
      <c r="B266" s="1">
        <f>A266*4/10 -18</f>
        <v>25260.400000000001</v>
      </c>
      <c r="C266" s="3">
        <f>B266/7000000</f>
        <v>3.6086285714285716E-3</v>
      </c>
      <c r="D266" s="6">
        <f>VALUE(MID(W266,$X266+2,L266-(X266+2)))</f>
        <v>-320</v>
      </c>
      <c r="E266" s="6">
        <f>VALUE(MID($W266,L266+1,M266-(L266+1)))</f>
        <v>-778</v>
      </c>
      <c r="F266" s="6">
        <f>VALUE(MID($W266,M266+1,N266-(M266+1)))</f>
        <v>4403</v>
      </c>
      <c r="G266" s="6">
        <f>VALUE(MID($W266,N266+1,O266-(N266+1)))</f>
        <v>324</v>
      </c>
      <c r="H266" s="6">
        <f>VALUE(MID($W266,O266+1,P266-(O266+1)))</f>
        <v>1316</v>
      </c>
      <c r="I266" s="6">
        <f>VALUE(MID($W266,P266+1,Q266-(P266+1)))</f>
        <v>3170</v>
      </c>
      <c r="J266" s="6">
        <f>VALUE(MID($W266,Q266+1,R266-(Q266+1)))</f>
        <v>4743</v>
      </c>
      <c r="K266" s="4">
        <f>VALUE(MID(W266,R266+1,LEN(W266)-(R266)))</f>
        <v>4495</v>
      </c>
      <c r="L266" s="4">
        <f>SEARCH(",",W266,X266)</f>
        <v>14</v>
      </c>
      <c r="M266" s="4">
        <f>SEARCH(",",$W266,L266+1)</f>
        <v>20</v>
      </c>
      <c r="N266" s="4">
        <f>SEARCH(",",$W266,M266+1)</f>
        <v>26</v>
      </c>
      <c r="O266" s="4">
        <f>SEARCH(",",$W266,N266+1)</f>
        <v>31</v>
      </c>
      <c r="P266" s="4">
        <f>SEARCH(",",$W266,O266+1)</f>
        <v>37</v>
      </c>
      <c r="Q266" s="4">
        <f>SEARCH(",",$W266,P266+1)</f>
        <v>43</v>
      </c>
      <c r="R266" s="4">
        <f>SEARCH(",",$W266,Q266+1)</f>
        <v>49</v>
      </c>
      <c r="T266" t="s">
        <v>555</v>
      </c>
      <c r="U266">
        <f>SEARCH(":",T266)</f>
        <v>6</v>
      </c>
      <c r="V266" t="str">
        <f>MID(T266,U266+1,LEN(T266)-(U266))</f>
        <v xml:space="preserve"> 63196 ** -320, -778, 4403, 324, 1316, 3170, 4743, 4495</v>
      </c>
      <c r="W266" t="str">
        <f>TRIM(V266)</f>
        <v>63196 ** -320, -778, 4403, 324, 1316, 3170, 4743, 4495</v>
      </c>
      <c r="X266">
        <f>SEARCH("~*",W266)</f>
        <v>7</v>
      </c>
      <c r="Y266" t="str">
        <f>LEFT(W266,X266-1)</f>
        <v xml:space="preserve">63196 </v>
      </c>
      <c r="AA266" t="str">
        <f>CONCATENATE(A266,",",D266,",",E266,",",F266,",",G266,",",H266,",",I266,",",J266,",",K266)</f>
        <v>63196,-320,-778,4403,324,1316,3170,4743,4495</v>
      </c>
    </row>
    <row r="267" spans="1:27">
      <c r="A267" s="1">
        <f>IF(ISBLANK(T267),"",VALUE(Y267))</f>
        <v>59396</v>
      </c>
      <c r="B267" s="1">
        <f>A267*4/10 -18</f>
        <v>23740.400000000001</v>
      </c>
      <c r="C267" s="3">
        <f>B267/7000000</f>
        <v>3.3914857142857144E-3</v>
      </c>
      <c r="D267" s="6">
        <f>VALUE(MID(W267,$X267+2,L267-(X267+2)))</f>
        <v>-320</v>
      </c>
      <c r="E267" s="6">
        <f>VALUE(MID($W267,L267+1,M267-(L267+1)))</f>
        <v>-778</v>
      </c>
      <c r="F267" s="6">
        <f>VALUE(MID($W267,M267+1,N267-(M267+1)))</f>
        <v>4403</v>
      </c>
      <c r="G267" s="6">
        <f>VALUE(MID($W267,N267+1,O267-(N267+1)))</f>
        <v>324</v>
      </c>
      <c r="H267" s="6">
        <f>VALUE(MID($W267,O267+1,P267-(O267+1)))</f>
        <v>1316</v>
      </c>
      <c r="I267" s="6">
        <f>VALUE(MID($W267,P267+1,Q267-(P267+1)))</f>
        <v>3170</v>
      </c>
      <c r="J267" s="6">
        <f>VALUE(MID($W267,Q267+1,R267-(Q267+1)))</f>
        <v>4743</v>
      </c>
      <c r="K267" s="4">
        <f>VALUE(MID(W267,R267+1,LEN(W267)-(R267)))</f>
        <v>4495</v>
      </c>
      <c r="L267" s="4">
        <f>SEARCH(",",W267,X267)</f>
        <v>14</v>
      </c>
      <c r="M267" s="4">
        <f>SEARCH(",",$W267,L267+1)</f>
        <v>20</v>
      </c>
      <c r="N267" s="4">
        <f>SEARCH(",",$W267,M267+1)</f>
        <v>26</v>
      </c>
      <c r="O267" s="4">
        <f>SEARCH(",",$W267,N267+1)</f>
        <v>31</v>
      </c>
      <c r="P267" s="4">
        <f>SEARCH(",",$W267,O267+1)</f>
        <v>37</v>
      </c>
      <c r="Q267" s="4">
        <f>SEARCH(",",$W267,P267+1)</f>
        <v>43</v>
      </c>
      <c r="R267" s="4">
        <f>SEARCH(",",$W267,Q267+1)</f>
        <v>49</v>
      </c>
      <c r="T267" t="s">
        <v>557</v>
      </c>
      <c r="U267">
        <f>SEARCH(":",T267)</f>
        <v>6</v>
      </c>
      <c r="V267" t="str">
        <f>MID(T267,U267+1,LEN(T267)-(U267))</f>
        <v xml:space="preserve"> 59396 ** -320, -778, 4403, 324, 1316, 3170, 4743, 4495</v>
      </c>
      <c r="W267" t="str">
        <f>TRIM(V267)</f>
        <v>59396 ** -320, -778, 4403, 324, 1316, 3170, 4743, 4495</v>
      </c>
      <c r="X267">
        <f>SEARCH("~*",W267)</f>
        <v>7</v>
      </c>
      <c r="Y267" t="str">
        <f>LEFT(W267,X267-1)</f>
        <v xml:space="preserve">59396 </v>
      </c>
      <c r="AA267" t="str">
        <f>CONCATENATE(A267,",",D267,",",E267,",",F267,",",G267,",",H267,",",I267,",",J267,",",K267)</f>
        <v>59396,-320,-778,4403,324,1316,3170,4743,4495</v>
      </c>
    </row>
    <row r="268" spans="1:27">
      <c r="A268" s="1">
        <f>IF(ISBLANK(T268),"",VALUE(Y268))</f>
        <v>52010</v>
      </c>
      <c r="B268" s="1">
        <f>A268*4/10 -18</f>
        <v>20786</v>
      </c>
      <c r="C268" s="3">
        <f>B268/7000000</f>
        <v>2.9694285714285712E-3</v>
      </c>
      <c r="D268" s="6">
        <f>VALUE(MID(W268,$X268+2,L268-(X268+2)))</f>
        <v>-320</v>
      </c>
      <c r="E268" s="6">
        <f>VALUE(MID($W268,L268+1,M268-(L268+1)))</f>
        <v>-778</v>
      </c>
      <c r="F268" s="6">
        <f>VALUE(MID($W268,M268+1,N268-(M268+1)))</f>
        <v>4403</v>
      </c>
      <c r="G268" s="6">
        <f>VALUE(MID($W268,N268+1,O268-(N268+1)))</f>
        <v>324</v>
      </c>
      <c r="H268" s="6">
        <f>VALUE(MID($W268,O268+1,P268-(O268+1)))</f>
        <v>1316</v>
      </c>
      <c r="I268" s="6">
        <f>VALUE(MID($W268,P268+1,Q268-(P268+1)))</f>
        <v>3170</v>
      </c>
      <c r="J268" s="6">
        <f>VALUE(MID($W268,Q268+1,R268-(Q268+1)))</f>
        <v>4743</v>
      </c>
      <c r="K268" s="4">
        <f>VALUE(MID(W268,R268+1,LEN(W268)-(R268)))</f>
        <v>4495</v>
      </c>
      <c r="L268" s="4">
        <f>SEARCH(",",W268,X268)</f>
        <v>14</v>
      </c>
      <c r="M268" s="4">
        <f>SEARCH(",",$W268,L268+1)</f>
        <v>20</v>
      </c>
      <c r="N268" s="4">
        <f>SEARCH(",",$W268,M268+1)</f>
        <v>26</v>
      </c>
      <c r="O268" s="4">
        <f>SEARCH(",",$W268,N268+1)</f>
        <v>31</v>
      </c>
      <c r="P268" s="4">
        <f>SEARCH(",",$W268,O268+1)</f>
        <v>37</v>
      </c>
      <c r="Q268" s="4">
        <f>SEARCH(",",$W268,P268+1)</f>
        <v>43</v>
      </c>
      <c r="R268" s="4">
        <f>SEARCH(",",$W268,Q268+1)</f>
        <v>49</v>
      </c>
      <c r="T268" t="s">
        <v>435</v>
      </c>
      <c r="U268">
        <f>SEARCH(":",T268)</f>
        <v>6</v>
      </c>
      <c r="V268" t="str">
        <f>MID(T268,U268+1,LEN(T268)-(U268))</f>
        <v xml:space="preserve"> 52010 ** -320, -778, 4403, 324, 1316, 3170, 4743, 4495</v>
      </c>
      <c r="W268" t="str">
        <f>TRIM(V268)</f>
        <v>52010 ** -320, -778, 4403, 324, 1316, 3170, 4743, 4495</v>
      </c>
      <c r="X268">
        <f>SEARCH("~*",W268)</f>
        <v>7</v>
      </c>
      <c r="Y268" t="str">
        <f>LEFT(W268,X268-1)</f>
        <v xml:space="preserve">52010 </v>
      </c>
      <c r="AA268" t="str">
        <f>CONCATENATE(A268,",",D268,",",E268,",",F268,",",G268,",",H268,",",I268,",",J268,",",K268)</f>
        <v>52010,-320,-778,4403,324,1316,3170,4743,4495</v>
      </c>
    </row>
    <row r="269" spans="1:27">
      <c r="A269" s="1">
        <f>IF(ISBLANK(T269),"",VALUE(Y269))</f>
        <v>49669</v>
      </c>
      <c r="B269" s="1">
        <f>A269*4/10 -18</f>
        <v>19849.599999999999</v>
      </c>
      <c r="C269" s="3">
        <f>B269/7000000</f>
        <v>2.8356571428571425E-3</v>
      </c>
      <c r="D269" s="6">
        <f>VALUE(MID(W269,$X269+2,L269-(X269+2)))</f>
        <v>-320</v>
      </c>
      <c r="E269" s="6">
        <f>VALUE(MID($W269,L269+1,M269-(L269+1)))</f>
        <v>-778</v>
      </c>
      <c r="F269" s="6">
        <f>VALUE(MID($W269,M269+1,N269-(M269+1)))</f>
        <v>4403</v>
      </c>
      <c r="G269" s="6">
        <f>VALUE(MID($W269,N269+1,O269-(N269+1)))</f>
        <v>324</v>
      </c>
      <c r="H269" s="6">
        <f>VALUE(MID($W269,O269+1,P269-(O269+1)))</f>
        <v>1316</v>
      </c>
      <c r="I269" s="6">
        <f>VALUE(MID($W269,P269+1,Q269-(P269+1)))</f>
        <v>3170</v>
      </c>
      <c r="J269" s="6">
        <f>VALUE(MID($W269,Q269+1,R269-(Q269+1)))</f>
        <v>4743</v>
      </c>
      <c r="K269" s="4">
        <f>VALUE(MID(W269,R269+1,LEN(W269)-(R269)))</f>
        <v>4495</v>
      </c>
      <c r="L269" s="4">
        <f>SEARCH(",",W269,X269)</f>
        <v>14</v>
      </c>
      <c r="M269" s="4">
        <f>SEARCH(",",$W269,L269+1)</f>
        <v>20</v>
      </c>
      <c r="N269" s="4">
        <f>SEARCH(",",$W269,M269+1)</f>
        <v>26</v>
      </c>
      <c r="O269" s="4">
        <f>SEARCH(",",$W269,N269+1)</f>
        <v>31</v>
      </c>
      <c r="P269" s="4">
        <f>SEARCH(",",$W269,O269+1)</f>
        <v>37</v>
      </c>
      <c r="Q269" s="4">
        <f>SEARCH(",",$W269,P269+1)</f>
        <v>43</v>
      </c>
      <c r="R269" s="4">
        <f>SEARCH(",",$W269,Q269+1)</f>
        <v>49</v>
      </c>
      <c r="T269" t="s">
        <v>491</v>
      </c>
      <c r="U269">
        <f>SEARCH(":",T269)</f>
        <v>6</v>
      </c>
      <c r="V269" t="str">
        <f>MID(T269,U269+1,LEN(T269)-(U269))</f>
        <v xml:space="preserve"> 49669 ** -320, -778, 4403, 324, 1316, 3170, 4743, 4495</v>
      </c>
      <c r="W269" t="str">
        <f>TRIM(V269)</f>
        <v>49669 ** -320, -778, 4403, 324, 1316, 3170, 4743, 4495</v>
      </c>
      <c r="X269">
        <f>SEARCH("~*",W269)</f>
        <v>7</v>
      </c>
      <c r="Y269" t="str">
        <f>LEFT(W269,X269-1)</f>
        <v xml:space="preserve">49669 </v>
      </c>
      <c r="AA269" t="str">
        <f>CONCATENATE(A269,",",D269,",",E269,",",F269,",",G269,",",H269,",",I269,",",J269,",",K269)</f>
        <v>49669,-320,-778,4403,324,1316,3170,4743,4495</v>
      </c>
    </row>
    <row r="270" spans="1:27">
      <c r="A270" s="1">
        <f>IF(ISBLANK(T270),"",VALUE(Y270))</f>
        <v>43439</v>
      </c>
      <c r="B270" s="1">
        <f>A270*4/10 -18</f>
        <v>17357.599999999999</v>
      </c>
      <c r="C270" s="3">
        <f>B270/7000000</f>
        <v>2.4796571428571425E-3</v>
      </c>
      <c r="D270" s="6">
        <f>VALUE(MID(W270,$X270+2,L270-(X270+2)))</f>
        <v>-320</v>
      </c>
      <c r="E270" s="6">
        <f>VALUE(MID($W270,L270+1,M270-(L270+1)))</f>
        <v>-778</v>
      </c>
      <c r="F270" s="6">
        <f>VALUE(MID($W270,M270+1,N270-(M270+1)))</f>
        <v>4403</v>
      </c>
      <c r="G270" s="6">
        <f>VALUE(MID($W270,N270+1,O270-(N270+1)))</f>
        <v>324</v>
      </c>
      <c r="H270" s="6">
        <f>VALUE(MID($W270,O270+1,P270-(O270+1)))</f>
        <v>1316</v>
      </c>
      <c r="I270" s="6">
        <f>VALUE(MID($W270,P270+1,Q270-(P270+1)))</f>
        <v>3170</v>
      </c>
      <c r="J270" s="6">
        <f>VALUE(MID($W270,Q270+1,R270-(Q270+1)))</f>
        <v>4743</v>
      </c>
      <c r="K270" s="4">
        <f>VALUE(MID(W270,R270+1,LEN(W270)-(R270)))</f>
        <v>4495</v>
      </c>
      <c r="L270" s="4">
        <f>SEARCH(",",W270,X270)</f>
        <v>14</v>
      </c>
      <c r="M270" s="4">
        <f>SEARCH(",",$W270,L270+1)</f>
        <v>20</v>
      </c>
      <c r="N270" s="4">
        <f>SEARCH(",",$W270,M270+1)</f>
        <v>26</v>
      </c>
      <c r="O270" s="4">
        <f>SEARCH(",",$W270,N270+1)</f>
        <v>31</v>
      </c>
      <c r="P270" s="4">
        <f>SEARCH(",",$W270,O270+1)</f>
        <v>37</v>
      </c>
      <c r="Q270" s="4">
        <f>SEARCH(",",$W270,P270+1)</f>
        <v>43</v>
      </c>
      <c r="R270" s="4">
        <f>SEARCH(",",$W270,Q270+1)</f>
        <v>49</v>
      </c>
      <c r="T270" t="s">
        <v>524</v>
      </c>
      <c r="U270">
        <f>SEARCH(":",T270)</f>
        <v>6</v>
      </c>
      <c r="V270" t="str">
        <f>MID(T270,U270+1,LEN(T270)-(U270))</f>
        <v xml:space="preserve"> 43439 ** -320, -778, 4403, 324, 1316, 3170, 4743, 4495</v>
      </c>
      <c r="W270" t="str">
        <f>TRIM(V270)</f>
        <v>43439 ** -320, -778, 4403, 324, 1316, 3170, 4743, 4495</v>
      </c>
      <c r="X270">
        <f>SEARCH("~*",W270)</f>
        <v>7</v>
      </c>
      <c r="Y270" t="str">
        <f>LEFT(W270,X270-1)</f>
        <v xml:space="preserve">43439 </v>
      </c>
      <c r="AA270" t="str">
        <f>CONCATENATE(A270,",",D270,",",E270,",",F270,",",G270,",",H270,",",I270,",",J270,",",K270)</f>
        <v>43439,-320,-778,4403,324,1316,3170,4743,4495</v>
      </c>
    </row>
    <row r="271" spans="1:27">
      <c r="A271" s="1">
        <f>IF(ISBLANK(T271),"",VALUE(Y271))</f>
        <v>42885</v>
      </c>
      <c r="B271" s="1">
        <f>A271*4/10 -18</f>
        <v>17136</v>
      </c>
      <c r="C271" s="3">
        <f>B271/7000000</f>
        <v>2.4480000000000001E-3</v>
      </c>
      <c r="D271" s="6">
        <f>VALUE(MID(W271,$X271+2,L271-(X271+2)))</f>
        <v>-320</v>
      </c>
      <c r="E271" s="6">
        <f>VALUE(MID($W271,L271+1,M271-(L271+1)))</f>
        <v>-778</v>
      </c>
      <c r="F271" s="6">
        <f>VALUE(MID($W271,M271+1,N271-(M271+1)))</f>
        <v>4403</v>
      </c>
      <c r="G271" s="6">
        <f>VALUE(MID($W271,N271+1,O271-(N271+1)))</f>
        <v>324</v>
      </c>
      <c r="H271" s="6">
        <f>VALUE(MID($W271,O271+1,P271-(O271+1)))</f>
        <v>1316</v>
      </c>
      <c r="I271" s="6">
        <f>VALUE(MID($W271,P271+1,Q271-(P271+1)))</f>
        <v>3170</v>
      </c>
      <c r="J271" s="6">
        <f>VALUE(MID($W271,Q271+1,R271-(Q271+1)))</f>
        <v>4743</v>
      </c>
      <c r="K271" s="4">
        <f>VALUE(MID(W271,R271+1,LEN(W271)-(R271)))</f>
        <v>4495</v>
      </c>
      <c r="L271" s="4">
        <f>SEARCH(",",W271,X271)</f>
        <v>14</v>
      </c>
      <c r="M271" s="4">
        <f>SEARCH(",",$W271,L271+1)</f>
        <v>20</v>
      </c>
      <c r="N271" s="4">
        <f>SEARCH(",",$W271,M271+1)</f>
        <v>26</v>
      </c>
      <c r="O271" s="4">
        <f>SEARCH(",",$W271,N271+1)</f>
        <v>31</v>
      </c>
      <c r="P271" s="4">
        <f>SEARCH(",",$W271,O271+1)</f>
        <v>37</v>
      </c>
      <c r="Q271" s="4">
        <f>SEARCH(",",$W271,P271+1)</f>
        <v>43</v>
      </c>
      <c r="R271" s="4">
        <f>SEARCH(",",$W271,Q271+1)</f>
        <v>49</v>
      </c>
      <c r="T271" t="s">
        <v>388</v>
      </c>
      <c r="U271">
        <f>SEARCH(":",T271)</f>
        <v>6</v>
      </c>
      <c r="V271" t="str">
        <f>MID(T271,U271+1,LEN(T271)-(U271))</f>
        <v xml:space="preserve"> 42885 ** -320, -778, 4403, 324, 1316, 3170, 4743, 4495</v>
      </c>
      <c r="W271" t="str">
        <f>TRIM(V271)</f>
        <v>42885 ** -320, -778, 4403, 324, 1316, 3170, 4743, 4495</v>
      </c>
      <c r="X271">
        <f>SEARCH("~*",W271)</f>
        <v>7</v>
      </c>
      <c r="Y271" t="str">
        <f>LEFT(W271,X271-1)</f>
        <v xml:space="preserve">42885 </v>
      </c>
      <c r="AA271" t="str">
        <f>CONCATENATE(A271,",",D271,",",E271,",",F271,",",G271,",",H271,",",I271,",",J271,",",K271)</f>
        <v>42885,-320,-778,4403,324,1316,3170,4743,4495</v>
      </c>
    </row>
    <row r="272" spans="1:27">
      <c r="A272" s="1">
        <f>IF(ISBLANK(T272),"",VALUE(Y272))</f>
        <v>42616</v>
      </c>
      <c r="B272" s="1">
        <f>A272*4/10 -18</f>
        <v>17028.400000000001</v>
      </c>
      <c r="C272" s="3">
        <f>B272/7000000</f>
        <v>2.4326285714285716E-3</v>
      </c>
      <c r="D272" s="6">
        <f>VALUE(MID(W272,$X272+2,L272-(X272+2)))</f>
        <v>-320</v>
      </c>
      <c r="E272" s="6">
        <f>VALUE(MID($W272,L272+1,M272-(L272+1)))</f>
        <v>-778</v>
      </c>
      <c r="F272" s="6">
        <f>VALUE(MID($W272,M272+1,N272-(M272+1)))</f>
        <v>4403</v>
      </c>
      <c r="G272" s="6">
        <f>VALUE(MID($W272,N272+1,O272-(N272+1)))</f>
        <v>324</v>
      </c>
      <c r="H272" s="6">
        <f>VALUE(MID($W272,O272+1,P272-(O272+1)))</f>
        <v>1316</v>
      </c>
      <c r="I272" s="6">
        <f>VALUE(MID($W272,P272+1,Q272-(P272+1)))</f>
        <v>3170</v>
      </c>
      <c r="J272" s="6">
        <f>VALUE(MID($W272,Q272+1,R272-(Q272+1)))</f>
        <v>4743</v>
      </c>
      <c r="K272" s="4">
        <f>VALUE(MID(W272,R272+1,LEN(W272)-(R272)))</f>
        <v>4495</v>
      </c>
      <c r="L272" s="4">
        <f>SEARCH(",",W272,X272)</f>
        <v>14</v>
      </c>
      <c r="M272" s="4">
        <f>SEARCH(",",$W272,L272+1)</f>
        <v>20</v>
      </c>
      <c r="N272" s="4">
        <f>SEARCH(",",$W272,M272+1)</f>
        <v>26</v>
      </c>
      <c r="O272" s="4">
        <f>SEARCH(",",$W272,N272+1)</f>
        <v>31</v>
      </c>
      <c r="P272" s="4">
        <f>SEARCH(",",$W272,O272+1)</f>
        <v>37</v>
      </c>
      <c r="Q272" s="4">
        <f>SEARCH(",",$W272,P272+1)</f>
        <v>43</v>
      </c>
      <c r="R272" s="4">
        <f>SEARCH(",",$W272,Q272+1)</f>
        <v>49</v>
      </c>
      <c r="T272" t="s">
        <v>398</v>
      </c>
      <c r="U272">
        <f>SEARCH(":",T272)</f>
        <v>6</v>
      </c>
      <c r="V272" t="str">
        <f>MID(T272,U272+1,LEN(T272)-(U272))</f>
        <v xml:space="preserve"> 42616 ** -320, -778, 4403, 324, 1316, 3170, 4743, 4495</v>
      </c>
      <c r="W272" t="str">
        <f>TRIM(V272)</f>
        <v>42616 ** -320, -778, 4403, 324, 1316, 3170, 4743, 4495</v>
      </c>
      <c r="X272">
        <f>SEARCH("~*",W272)</f>
        <v>7</v>
      </c>
      <c r="Y272" t="str">
        <f>LEFT(W272,X272-1)</f>
        <v xml:space="preserve">42616 </v>
      </c>
      <c r="AA272" t="str">
        <f>CONCATENATE(A272,",",D272,",",E272,",",F272,",",G272,",",H272,",",I272,",",J272,",",K272)</f>
        <v>42616,-320,-778,4403,324,1316,3170,4743,4495</v>
      </c>
    </row>
    <row r="273" spans="1:27">
      <c r="A273" s="1">
        <f>IF(ISBLANK(T273),"",VALUE(Y273))</f>
        <v>40436</v>
      </c>
      <c r="B273" s="1">
        <f>A273*4/10 -18</f>
        <v>16156.4</v>
      </c>
      <c r="C273" s="3">
        <f>B273/7000000</f>
        <v>2.3080571428571429E-3</v>
      </c>
      <c r="D273" s="6">
        <f>VALUE(MID(W273,$X273+2,L273-(X273+2)))</f>
        <v>-320</v>
      </c>
      <c r="E273" s="6">
        <f>VALUE(MID($W273,L273+1,M273-(L273+1)))</f>
        <v>-778</v>
      </c>
      <c r="F273" s="6">
        <f>VALUE(MID($W273,M273+1,N273-(M273+1)))</f>
        <v>4403</v>
      </c>
      <c r="G273" s="6">
        <f>VALUE(MID($W273,N273+1,O273-(N273+1)))</f>
        <v>324</v>
      </c>
      <c r="H273" s="6">
        <f>VALUE(MID($W273,O273+1,P273-(O273+1)))</f>
        <v>1316</v>
      </c>
      <c r="I273" s="6">
        <f>VALUE(MID($W273,P273+1,Q273-(P273+1)))</f>
        <v>3170</v>
      </c>
      <c r="J273" s="6">
        <f>VALUE(MID($W273,Q273+1,R273-(Q273+1)))</f>
        <v>4743</v>
      </c>
      <c r="K273" s="4">
        <f>VALUE(MID(W273,R273+1,LEN(W273)-(R273)))</f>
        <v>4495</v>
      </c>
      <c r="L273" s="4">
        <f>SEARCH(",",W273,X273)</f>
        <v>14</v>
      </c>
      <c r="M273" s="4">
        <f>SEARCH(",",$W273,L273+1)</f>
        <v>20</v>
      </c>
      <c r="N273" s="4">
        <f>SEARCH(",",$W273,M273+1)</f>
        <v>26</v>
      </c>
      <c r="O273" s="4">
        <f>SEARCH(",",$W273,N273+1)</f>
        <v>31</v>
      </c>
      <c r="P273" s="4">
        <f>SEARCH(",",$W273,O273+1)</f>
        <v>37</v>
      </c>
      <c r="Q273" s="4">
        <f>SEARCH(",",$W273,P273+1)</f>
        <v>43</v>
      </c>
      <c r="R273" s="4">
        <f>SEARCH(",",$W273,Q273+1)</f>
        <v>49</v>
      </c>
      <c r="T273" t="s">
        <v>352</v>
      </c>
      <c r="U273">
        <f>SEARCH(":",T273)</f>
        <v>6</v>
      </c>
      <c r="V273" t="str">
        <f>MID(T273,U273+1,LEN(T273)-(U273))</f>
        <v xml:space="preserve"> 40436 ** -320, -778, 4403, 324, 1316, 3170, 4743, 4495</v>
      </c>
      <c r="W273" t="str">
        <f>TRIM(V273)</f>
        <v>40436 ** -320, -778, 4403, 324, 1316, 3170, 4743, 4495</v>
      </c>
      <c r="X273">
        <f>SEARCH("~*",W273)</f>
        <v>7</v>
      </c>
      <c r="Y273" t="str">
        <f>LEFT(W273,X273-1)</f>
        <v xml:space="preserve">40436 </v>
      </c>
      <c r="AA273" t="str">
        <f>CONCATENATE(A273,",",D273,",",E273,",",F273,",",G273,",",H273,",",I273,",",J273,",",K273)</f>
        <v>40436,-320,-778,4403,324,1316,3170,4743,4495</v>
      </c>
    </row>
    <row r="274" spans="1:27">
      <c r="A274" s="1">
        <f>IF(ISBLANK(T274),"",VALUE(Y274))</f>
        <v>31879</v>
      </c>
      <c r="B274" s="1">
        <f>A274*4/10 -18</f>
        <v>12733.6</v>
      </c>
      <c r="C274" s="3">
        <f>B274/7000000</f>
        <v>1.8190857142857144E-3</v>
      </c>
      <c r="D274" s="6">
        <f>VALUE(MID(W274,$X274+2,L274-(X274+2)))</f>
        <v>-320</v>
      </c>
      <c r="E274" s="6">
        <f>VALUE(MID($W274,L274+1,M274-(L274+1)))</f>
        <v>-778</v>
      </c>
      <c r="F274" s="6">
        <f>VALUE(MID($W274,M274+1,N274-(M274+1)))</f>
        <v>4403</v>
      </c>
      <c r="G274" s="6">
        <f>VALUE(MID($W274,N274+1,O274-(N274+1)))</f>
        <v>324</v>
      </c>
      <c r="H274" s="6">
        <f>VALUE(MID($W274,O274+1,P274-(O274+1)))</f>
        <v>1316</v>
      </c>
      <c r="I274" s="6">
        <f>VALUE(MID($W274,P274+1,Q274-(P274+1)))</f>
        <v>3170</v>
      </c>
      <c r="J274" s="6">
        <f>VALUE(MID($W274,Q274+1,R274-(Q274+1)))</f>
        <v>4743</v>
      </c>
      <c r="K274" s="4">
        <f>VALUE(MID(W274,R274+1,LEN(W274)-(R274)))</f>
        <v>4495</v>
      </c>
      <c r="L274" s="4">
        <f>SEARCH(",",W274,X274)</f>
        <v>14</v>
      </c>
      <c r="M274" s="4">
        <f>SEARCH(",",$W274,L274+1)</f>
        <v>20</v>
      </c>
      <c r="N274" s="4">
        <f>SEARCH(",",$W274,M274+1)</f>
        <v>26</v>
      </c>
      <c r="O274" s="4">
        <f>SEARCH(",",$W274,N274+1)</f>
        <v>31</v>
      </c>
      <c r="P274" s="4">
        <f>SEARCH(",",$W274,O274+1)</f>
        <v>37</v>
      </c>
      <c r="Q274" s="4">
        <f>SEARCH(",",$W274,P274+1)</f>
        <v>43</v>
      </c>
      <c r="R274" s="4">
        <f>SEARCH(",",$W274,Q274+1)</f>
        <v>49</v>
      </c>
      <c r="T274" t="s">
        <v>323</v>
      </c>
      <c r="U274">
        <f>SEARCH(":",T274)</f>
        <v>6</v>
      </c>
      <c r="V274" t="str">
        <f>MID(T274,U274+1,LEN(T274)-(U274))</f>
        <v xml:space="preserve"> 31879 ** -320, -778, 4403, 324, 1316, 3170, 4743, 4495</v>
      </c>
      <c r="W274" t="str">
        <f>TRIM(V274)</f>
        <v>31879 ** -320, -778, 4403, 324, 1316, 3170, 4743, 4495</v>
      </c>
      <c r="X274">
        <f>SEARCH("~*",W274)</f>
        <v>7</v>
      </c>
      <c r="Y274" t="str">
        <f>LEFT(W274,X274-1)</f>
        <v xml:space="preserve">31879 </v>
      </c>
      <c r="AA274" t="str">
        <f>CONCATENATE(A274,",",D274,",",E274,",",F274,",",G274,",",H274,",",I274,",",J274,",",K274)</f>
        <v>31879,-320,-778,4403,324,1316,3170,4743,4495</v>
      </c>
    </row>
    <row r="275" spans="1:27">
      <c r="A275" s="1">
        <f>IF(ISBLANK(T275),"",VALUE(Y275))</f>
        <v>30739</v>
      </c>
      <c r="B275" s="1">
        <f>A275*4/10 -18</f>
        <v>12277.6</v>
      </c>
      <c r="C275" s="3">
        <f>B275/7000000</f>
        <v>1.7539428571428572E-3</v>
      </c>
      <c r="D275" s="6">
        <f>VALUE(MID(W275,$X275+2,L275-(X275+2)))</f>
        <v>-320</v>
      </c>
      <c r="E275" s="6">
        <f>VALUE(MID($W275,L275+1,M275-(L275+1)))</f>
        <v>-778</v>
      </c>
      <c r="F275" s="6">
        <f>VALUE(MID($W275,M275+1,N275-(M275+1)))</f>
        <v>4403</v>
      </c>
      <c r="G275" s="6">
        <f>VALUE(MID($W275,N275+1,O275-(N275+1)))</f>
        <v>324</v>
      </c>
      <c r="H275" s="6">
        <f>VALUE(MID($W275,O275+1,P275-(O275+1)))</f>
        <v>1316</v>
      </c>
      <c r="I275" s="6">
        <f>VALUE(MID($W275,P275+1,Q275-(P275+1)))</f>
        <v>3170</v>
      </c>
      <c r="J275" s="6">
        <f>VALUE(MID($W275,Q275+1,R275-(Q275+1)))</f>
        <v>4743</v>
      </c>
      <c r="K275" s="4">
        <f>VALUE(MID(W275,R275+1,LEN(W275)-(R275)))</f>
        <v>4495</v>
      </c>
      <c r="L275" s="4">
        <f>SEARCH(",",W275,X275)</f>
        <v>14</v>
      </c>
      <c r="M275" s="4">
        <f>SEARCH(",",$W275,L275+1)</f>
        <v>20</v>
      </c>
      <c r="N275" s="4">
        <f>SEARCH(",",$W275,M275+1)</f>
        <v>26</v>
      </c>
      <c r="O275" s="4">
        <f>SEARCH(",",$W275,N275+1)</f>
        <v>31</v>
      </c>
      <c r="P275" s="4">
        <f>SEARCH(",",$W275,O275+1)</f>
        <v>37</v>
      </c>
      <c r="Q275" s="4">
        <f>SEARCH(",",$W275,P275+1)</f>
        <v>43</v>
      </c>
      <c r="R275" s="4">
        <f>SEARCH(",",$W275,Q275+1)</f>
        <v>49</v>
      </c>
      <c r="T275" t="s">
        <v>439</v>
      </c>
      <c r="U275">
        <f>SEARCH(":",T275)</f>
        <v>6</v>
      </c>
      <c r="V275" t="str">
        <f>MID(T275,U275+1,LEN(T275)-(U275))</f>
        <v xml:space="preserve"> 30739 ** -320, -778, 4403, 324, 1316, 3170, 4743, 4495</v>
      </c>
      <c r="W275" t="str">
        <f>TRIM(V275)</f>
        <v>30739 ** -320, -778, 4403, 324, 1316, 3170, 4743, 4495</v>
      </c>
      <c r="X275">
        <f>SEARCH("~*",W275)</f>
        <v>7</v>
      </c>
      <c r="Y275" t="str">
        <f>LEFT(W275,X275-1)</f>
        <v xml:space="preserve">30739 </v>
      </c>
      <c r="AA275" t="str">
        <f>CONCATENATE(A275,",",D275,",",E275,",",F275,",",G275,",",H275,",",I275,",",J275,",",K275)</f>
        <v>30739,-320,-778,4403,324,1316,3170,4743,4495</v>
      </c>
    </row>
    <row r="276" spans="1:27">
      <c r="A276" s="1">
        <f>IF(ISBLANK(T276),"",VALUE(Y276))</f>
        <v>27907</v>
      </c>
      <c r="B276" s="1">
        <f>A276*4/10 -18</f>
        <v>11144.8</v>
      </c>
      <c r="C276" s="3">
        <f>B276/7000000</f>
        <v>1.5921142857142855E-3</v>
      </c>
      <c r="D276" s="6">
        <f>VALUE(MID(W276,$X276+2,L276-(X276+2)))</f>
        <v>-320</v>
      </c>
      <c r="E276" s="6">
        <f>VALUE(MID($W276,L276+1,M276-(L276+1)))</f>
        <v>-778</v>
      </c>
      <c r="F276" s="6">
        <f>VALUE(MID($W276,M276+1,N276-(M276+1)))</f>
        <v>4403</v>
      </c>
      <c r="G276" s="6">
        <f>VALUE(MID($W276,N276+1,O276-(N276+1)))</f>
        <v>324</v>
      </c>
      <c r="H276" s="6">
        <f>VALUE(MID($W276,O276+1,P276-(O276+1)))</f>
        <v>1316</v>
      </c>
      <c r="I276" s="6">
        <f>VALUE(MID($W276,P276+1,Q276-(P276+1)))</f>
        <v>3170</v>
      </c>
      <c r="J276" s="6">
        <f>VALUE(MID($W276,Q276+1,R276-(Q276+1)))</f>
        <v>4743</v>
      </c>
      <c r="K276" s="4">
        <f>VALUE(MID(W276,R276+1,LEN(W276)-(R276)))</f>
        <v>4495</v>
      </c>
      <c r="L276" s="4">
        <f>SEARCH(",",W276,X276)</f>
        <v>14</v>
      </c>
      <c r="M276" s="4">
        <f>SEARCH(",",$W276,L276+1)</f>
        <v>20</v>
      </c>
      <c r="N276" s="4">
        <f>SEARCH(",",$W276,M276+1)</f>
        <v>26</v>
      </c>
      <c r="O276" s="4">
        <f>SEARCH(",",$W276,N276+1)</f>
        <v>31</v>
      </c>
      <c r="P276" s="4">
        <f>SEARCH(",",$W276,O276+1)</f>
        <v>37</v>
      </c>
      <c r="Q276" s="4">
        <f>SEARCH(",",$W276,P276+1)</f>
        <v>43</v>
      </c>
      <c r="R276" s="4">
        <f>SEARCH(",",$W276,Q276+1)</f>
        <v>49</v>
      </c>
      <c r="T276" t="s">
        <v>325</v>
      </c>
      <c r="U276">
        <f>SEARCH(":",T276)</f>
        <v>6</v>
      </c>
      <c r="V276" t="str">
        <f>MID(T276,U276+1,LEN(T276)-(U276))</f>
        <v xml:space="preserve"> 27907 ** -320, -778, 4403, 324, 1316, 3170, 4743, 4495</v>
      </c>
      <c r="W276" t="str">
        <f>TRIM(V276)</f>
        <v>27907 ** -320, -778, 4403, 324, 1316, 3170, 4743, 4495</v>
      </c>
      <c r="X276">
        <f>SEARCH("~*",W276)</f>
        <v>7</v>
      </c>
      <c r="Y276" t="str">
        <f>LEFT(W276,X276-1)</f>
        <v xml:space="preserve">27907 </v>
      </c>
      <c r="AA276" t="str">
        <f>CONCATENATE(A276,",",D276,",",E276,",",F276,",",G276,",",H276,",",I276,",",J276,",",K276)</f>
        <v>27907,-320,-778,4403,324,1316,3170,4743,4495</v>
      </c>
    </row>
    <row r="277" spans="1:27">
      <c r="A277" s="1">
        <f>IF(ISBLANK(T277),"",VALUE(Y277))</f>
        <v>23676</v>
      </c>
      <c r="B277" s="1">
        <f>A277*4/10 -18</f>
        <v>9452.4</v>
      </c>
      <c r="C277" s="3">
        <f>B277/7000000</f>
        <v>1.3503428571428572E-3</v>
      </c>
      <c r="D277" s="6">
        <f>VALUE(MID(W277,$X277+2,L277-(X277+2)))</f>
        <v>-320</v>
      </c>
      <c r="E277" s="6">
        <f>VALUE(MID($W277,L277+1,M277-(L277+1)))</f>
        <v>-778</v>
      </c>
      <c r="F277" s="6">
        <f>VALUE(MID($W277,M277+1,N277-(M277+1)))</f>
        <v>4403</v>
      </c>
      <c r="G277" s="6">
        <f>VALUE(MID($W277,N277+1,O277-(N277+1)))</f>
        <v>324</v>
      </c>
      <c r="H277" s="6">
        <f>VALUE(MID($W277,O277+1,P277-(O277+1)))</f>
        <v>1316</v>
      </c>
      <c r="I277" s="6">
        <f>VALUE(MID($W277,P277+1,Q277-(P277+1)))</f>
        <v>3170</v>
      </c>
      <c r="J277" s="6">
        <f>VALUE(MID($W277,Q277+1,R277-(Q277+1)))</f>
        <v>4743</v>
      </c>
      <c r="K277" s="4">
        <f>VALUE(MID(W277,R277+1,LEN(W277)-(R277)))</f>
        <v>4495</v>
      </c>
      <c r="L277" s="4">
        <f>SEARCH(",",W277,X277)</f>
        <v>14</v>
      </c>
      <c r="M277" s="4">
        <f>SEARCH(",",$W277,L277+1)</f>
        <v>20</v>
      </c>
      <c r="N277" s="4">
        <f>SEARCH(",",$W277,M277+1)</f>
        <v>26</v>
      </c>
      <c r="O277" s="4">
        <f>SEARCH(",",$W277,N277+1)</f>
        <v>31</v>
      </c>
      <c r="P277" s="4">
        <f>SEARCH(",",$W277,O277+1)</f>
        <v>37</v>
      </c>
      <c r="Q277" s="4">
        <f>SEARCH(",",$W277,P277+1)</f>
        <v>43</v>
      </c>
      <c r="R277" s="4">
        <f>SEARCH(",",$W277,Q277+1)</f>
        <v>49</v>
      </c>
      <c r="T277" t="s">
        <v>462</v>
      </c>
      <c r="U277">
        <f>SEARCH(":",T277)</f>
        <v>6</v>
      </c>
      <c r="V277" t="str">
        <f>MID(T277,U277+1,LEN(T277)-(U277))</f>
        <v xml:space="preserve"> 23676 ** -320, -778, 4403, 324, 1316, 3170, 4743, 4495</v>
      </c>
      <c r="W277" t="str">
        <f>TRIM(V277)</f>
        <v>23676 ** -320, -778, 4403, 324, 1316, 3170, 4743, 4495</v>
      </c>
      <c r="X277">
        <f>SEARCH("~*",W277)</f>
        <v>7</v>
      </c>
      <c r="Y277" t="str">
        <f>LEFT(W277,X277-1)</f>
        <v xml:space="preserve">23676 </v>
      </c>
      <c r="AA277" t="str">
        <f>CONCATENATE(A277,",",D277,",",E277,",",F277,",",G277,",",H277,",",I277,",",J277,",",K277)</f>
        <v>23676,-320,-778,4403,324,1316,3170,4743,4495</v>
      </c>
    </row>
    <row r="278" spans="1:27">
      <c r="A278" s="1">
        <f>IF(ISBLANK(T278),"",VALUE(Y278))</f>
        <v>20358</v>
      </c>
      <c r="B278" s="1">
        <f>A278*4/10 -18</f>
        <v>8125.2</v>
      </c>
      <c r="C278" s="3">
        <f>B278/7000000</f>
        <v>1.1607428571428571E-3</v>
      </c>
      <c r="D278" s="6">
        <f>VALUE(MID(W278,$X278+2,L278-(X278+2)))</f>
        <v>-320</v>
      </c>
      <c r="E278" s="6">
        <f>VALUE(MID($W278,L278+1,M278-(L278+1)))</f>
        <v>-778</v>
      </c>
      <c r="F278" s="6">
        <f>VALUE(MID($W278,M278+1,N278-(M278+1)))</f>
        <v>4403</v>
      </c>
      <c r="G278" s="6">
        <f>VALUE(MID($W278,N278+1,O278-(N278+1)))</f>
        <v>324</v>
      </c>
      <c r="H278" s="6">
        <f>VALUE(MID($W278,O278+1,P278-(O278+1)))</f>
        <v>1316</v>
      </c>
      <c r="I278" s="6">
        <f>VALUE(MID($W278,P278+1,Q278-(P278+1)))</f>
        <v>3170</v>
      </c>
      <c r="J278" s="6">
        <f>VALUE(MID($W278,Q278+1,R278-(Q278+1)))</f>
        <v>4743</v>
      </c>
      <c r="K278" s="4">
        <f>VALUE(MID(W278,R278+1,LEN(W278)-(R278)))</f>
        <v>4495</v>
      </c>
      <c r="L278" s="4">
        <f>SEARCH(",",W278,X278)</f>
        <v>14</v>
      </c>
      <c r="M278" s="4">
        <f>SEARCH(",",$W278,L278+1)</f>
        <v>20</v>
      </c>
      <c r="N278" s="4">
        <f>SEARCH(",",$W278,M278+1)</f>
        <v>26</v>
      </c>
      <c r="O278" s="4">
        <f>SEARCH(",",$W278,N278+1)</f>
        <v>31</v>
      </c>
      <c r="P278" s="4">
        <f>SEARCH(",",$W278,O278+1)</f>
        <v>37</v>
      </c>
      <c r="Q278" s="4">
        <f>SEARCH(",",$W278,P278+1)</f>
        <v>43</v>
      </c>
      <c r="R278" s="4">
        <f>SEARCH(",",$W278,Q278+1)</f>
        <v>49</v>
      </c>
      <c r="T278" t="s">
        <v>451</v>
      </c>
      <c r="U278">
        <f>SEARCH(":",T278)</f>
        <v>6</v>
      </c>
      <c r="V278" t="str">
        <f>MID(T278,U278+1,LEN(T278)-(U278))</f>
        <v xml:space="preserve"> 20358 ** -320, -778, 4403, 324, 1316, 3170, 4743, 4495</v>
      </c>
      <c r="W278" t="str">
        <f>TRIM(V278)</f>
        <v>20358 ** -320, -778, 4403, 324, 1316, 3170, 4743, 4495</v>
      </c>
      <c r="X278">
        <f>SEARCH("~*",W278)</f>
        <v>7</v>
      </c>
      <c r="Y278" t="str">
        <f>LEFT(W278,X278-1)</f>
        <v xml:space="preserve">20358 </v>
      </c>
      <c r="AA278" t="str">
        <f>CONCATENATE(A278,",",D278,",",E278,",",F278,",",G278,",",H278,",",I278,",",J278,",",K278)</f>
        <v>20358,-320,-778,4403,324,1316,3170,4743,4495</v>
      </c>
    </row>
    <row r="279" spans="1:27">
      <c r="A279" s="1">
        <f>IF(ISBLANK(T279),"",VALUE(Y279))</f>
        <v>19299</v>
      </c>
      <c r="B279" s="1">
        <f>A279*4/10 -18</f>
        <v>7701.6</v>
      </c>
      <c r="C279" s="3">
        <f>B279/7000000</f>
        <v>1.1002285714285715E-3</v>
      </c>
      <c r="D279" s="6">
        <f>VALUE(MID(W279,$X279+2,L279-(X279+2)))</f>
        <v>-320</v>
      </c>
      <c r="E279" s="6">
        <f>VALUE(MID($W279,L279+1,M279-(L279+1)))</f>
        <v>-778</v>
      </c>
      <c r="F279" s="6">
        <f>VALUE(MID($W279,M279+1,N279-(M279+1)))</f>
        <v>4403</v>
      </c>
      <c r="G279" s="6">
        <f>VALUE(MID($W279,N279+1,O279-(N279+1)))</f>
        <v>324</v>
      </c>
      <c r="H279" s="6">
        <f>VALUE(MID($W279,O279+1,P279-(O279+1)))</f>
        <v>1316</v>
      </c>
      <c r="I279" s="6">
        <f>VALUE(MID($W279,P279+1,Q279-(P279+1)))</f>
        <v>3170</v>
      </c>
      <c r="J279" s="6">
        <f>VALUE(MID($W279,Q279+1,R279-(Q279+1)))</f>
        <v>4743</v>
      </c>
      <c r="K279" s="4">
        <f>VALUE(MID(W279,R279+1,LEN(W279)-(R279)))</f>
        <v>4495</v>
      </c>
      <c r="L279" s="4">
        <f>SEARCH(",",W279,X279)</f>
        <v>14</v>
      </c>
      <c r="M279" s="4">
        <f>SEARCH(",",$W279,L279+1)</f>
        <v>20</v>
      </c>
      <c r="N279" s="4">
        <f>SEARCH(",",$W279,M279+1)</f>
        <v>26</v>
      </c>
      <c r="O279" s="4">
        <f>SEARCH(",",$W279,N279+1)</f>
        <v>31</v>
      </c>
      <c r="P279" s="4">
        <f>SEARCH(",",$W279,O279+1)</f>
        <v>37</v>
      </c>
      <c r="Q279" s="4">
        <f>SEARCH(",",$W279,P279+1)</f>
        <v>43</v>
      </c>
      <c r="R279" s="4">
        <f>SEARCH(",",$W279,Q279+1)</f>
        <v>49</v>
      </c>
      <c r="T279" t="s">
        <v>360</v>
      </c>
      <c r="U279">
        <f>SEARCH(":",T279)</f>
        <v>6</v>
      </c>
      <c r="V279" t="str">
        <f>MID(T279,U279+1,LEN(T279)-(U279))</f>
        <v xml:space="preserve"> 19299 ** -320, -778, 4403, 324, 1316, 3170, 4743, 4495</v>
      </c>
      <c r="W279" t="str">
        <f>TRIM(V279)</f>
        <v>19299 ** -320, -778, 4403, 324, 1316, 3170, 4743, 4495</v>
      </c>
      <c r="X279">
        <f>SEARCH("~*",W279)</f>
        <v>7</v>
      </c>
      <c r="Y279" t="str">
        <f>LEFT(W279,X279-1)</f>
        <v xml:space="preserve">19299 </v>
      </c>
      <c r="AA279" t="str">
        <f>CONCATENATE(A279,",",D279,",",E279,",",F279,",",G279,",",H279,",",I279,",",J279,",",K279)</f>
        <v>19299,-320,-778,4403,324,1316,3170,4743,4495</v>
      </c>
    </row>
    <row r="280" spans="1:27">
      <c r="A280" s="1">
        <f>IF(ISBLANK(T280),"",VALUE(Y280))</f>
        <v>10337</v>
      </c>
      <c r="B280" s="1">
        <f>A280*4/10 -18</f>
        <v>4116.8</v>
      </c>
      <c r="C280" s="3">
        <f>B280/7000000</f>
        <v>5.8811428571428571E-4</v>
      </c>
      <c r="D280" s="6">
        <f>VALUE(MID(W280,$X280+2,L280-(X280+2)))</f>
        <v>-320</v>
      </c>
      <c r="E280" s="6">
        <f>VALUE(MID($W280,L280+1,M280-(L280+1)))</f>
        <v>-778</v>
      </c>
      <c r="F280" s="6">
        <f>VALUE(MID($W280,M280+1,N280-(M280+1)))</f>
        <v>4403</v>
      </c>
      <c r="G280" s="6">
        <f>VALUE(MID($W280,N280+1,O280-(N280+1)))</f>
        <v>324</v>
      </c>
      <c r="H280" s="6">
        <f>VALUE(MID($W280,O280+1,P280-(O280+1)))</f>
        <v>1316</v>
      </c>
      <c r="I280" s="6">
        <f>VALUE(MID($W280,P280+1,Q280-(P280+1)))</f>
        <v>3170</v>
      </c>
      <c r="J280" s="6">
        <f>VALUE(MID($W280,Q280+1,R280-(Q280+1)))</f>
        <v>4743</v>
      </c>
      <c r="K280" s="4">
        <f>VALUE(MID(W280,R280+1,LEN(W280)-(R280)))</f>
        <v>4495</v>
      </c>
      <c r="L280" s="4">
        <f>SEARCH(",",W280,X280)</f>
        <v>14</v>
      </c>
      <c r="M280" s="4">
        <f>SEARCH(",",$W280,L280+1)</f>
        <v>20</v>
      </c>
      <c r="N280" s="4">
        <f>SEARCH(",",$W280,M280+1)</f>
        <v>26</v>
      </c>
      <c r="O280" s="4">
        <f>SEARCH(",",$W280,N280+1)</f>
        <v>31</v>
      </c>
      <c r="P280" s="4">
        <f>SEARCH(",",$W280,O280+1)</f>
        <v>37</v>
      </c>
      <c r="Q280" s="4">
        <f>SEARCH(",",$W280,P280+1)</f>
        <v>43</v>
      </c>
      <c r="R280" s="4">
        <f>SEARCH(",",$W280,Q280+1)</f>
        <v>49</v>
      </c>
      <c r="T280" t="s">
        <v>330</v>
      </c>
      <c r="U280">
        <f>SEARCH(":",T280)</f>
        <v>6</v>
      </c>
      <c r="V280" t="str">
        <f>MID(T280,U280+1,LEN(T280)-(U280))</f>
        <v xml:space="preserve"> 10337 ** -320, -778, 4403, 324, 1316, 3170, 4743, 4495</v>
      </c>
      <c r="W280" t="str">
        <f>TRIM(V280)</f>
        <v>10337 ** -320, -778, 4403, 324, 1316, 3170, 4743, 4495</v>
      </c>
      <c r="X280">
        <f>SEARCH("~*",W280)</f>
        <v>7</v>
      </c>
      <c r="Y280" t="str">
        <f>LEFT(W280,X280-1)</f>
        <v xml:space="preserve">10337 </v>
      </c>
      <c r="AA280" t="str">
        <f>CONCATENATE(A280,",",D280,",",E280,",",F280,",",G280,",",H280,",",I280,",",J280,",",K280)</f>
        <v>10337,-320,-778,4403,324,1316,3170,4743,4495</v>
      </c>
    </row>
    <row r="281" spans="1:27">
      <c r="A281" s="1">
        <f>IF(ISBLANK(T281),"",VALUE(Y281))</f>
        <v>1331</v>
      </c>
      <c r="B281" s="1">
        <f>A281*4/10 -18</f>
        <v>514.4</v>
      </c>
      <c r="C281" s="3">
        <f>B281/7000000</f>
        <v>7.3485714285714281E-5</v>
      </c>
      <c r="D281" s="6">
        <f>VALUE(MID(W281,$X281+2,L281-(X281+2)))</f>
        <v>-320</v>
      </c>
      <c r="E281" s="6">
        <f>VALUE(MID($W281,L281+1,M281-(L281+1)))</f>
        <v>-778</v>
      </c>
      <c r="F281" s="6">
        <f>VALUE(MID($W281,M281+1,N281-(M281+1)))</f>
        <v>4403</v>
      </c>
      <c r="G281" s="6">
        <f>VALUE(MID($W281,N281+1,O281-(N281+1)))</f>
        <v>324</v>
      </c>
      <c r="H281" s="6">
        <f>VALUE(MID($W281,O281+1,P281-(O281+1)))</f>
        <v>1316</v>
      </c>
      <c r="I281" s="6">
        <f>VALUE(MID($W281,P281+1,Q281-(P281+1)))</f>
        <v>3170</v>
      </c>
      <c r="J281" s="6">
        <f>VALUE(MID($W281,Q281+1,R281-(Q281+1)))</f>
        <v>4743</v>
      </c>
      <c r="K281" s="4">
        <f>VALUE(MID(W281,R281+1,LEN(W281)-(R281)))</f>
        <v>4495</v>
      </c>
      <c r="L281" s="4">
        <f>SEARCH(",",W281,X281)</f>
        <v>13</v>
      </c>
      <c r="M281" s="4">
        <f>SEARCH(",",$W281,L281+1)</f>
        <v>19</v>
      </c>
      <c r="N281" s="4">
        <f>SEARCH(",",$W281,M281+1)</f>
        <v>25</v>
      </c>
      <c r="O281" s="4">
        <f>SEARCH(",",$W281,N281+1)</f>
        <v>30</v>
      </c>
      <c r="P281" s="4">
        <f>SEARCH(",",$W281,O281+1)</f>
        <v>36</v>
      </c>
      <c r="Q281" s="4">
        <f>SEARCH(",",$W281,P281+1)</f>
        <v>42</v>
      </c>
      <c r="R281" s="4">
        <f>SEARCH(",",$W281,Q281+1)</f>
        <v>48</v>
      </c>
      <c r="T281" t="s">
        <v>294</v>
      </c>
      <c r="U281">
        <f>SEARCH(":",T281)</f>
        <v>6</v>
      </c>
      <c r="V281" t="str">
        <f>MID(T281,U281+1,LEN(T281)-(U281))</f>
        <v xml:space="preserve"> 1331 ** -320, -778, 4403, 324, 1316, 3170, 4743, 4495</v>
      </c>
      <c r="W281" t="str">
        <f>TRIM(V281)</f>
        <v>1331 ** -320, -778, 4403, 324, 1316, 3170, 4743, 4495</v>
      </c>
      <c r="X281">
        <f>SEARCH("~*",W281)</f>
        <v>6</v>
      </c>
      <c r="Y281" t="str">
        <f>LEFT(W281,X281-1)</f>
        <v xml:space="preserve">1331 </v>
      </c>
      <c r="AA281" t="str">
        <f>CONCATENATE(A281,",",D281,",",E281,",",F281,",",G281,",",H281,",",I281,",",J281,",",K281)</f>
        <v>1331,-320,-778,4403,324,1316,3170,4743,4495</v>
      </c>
    </row>
    <row r="282" spans="1:27">
      <c r="A282" s="1">
        <f t="shared" ref="A282:A301" si="0">IF(ISBLANK(T282),"",VALUE(Y282))</f>
        <v>544914</v>
      </c>
      <c r="B282" s="1">
        <f t="shared" ref="B282:B301" si="1">A282*4/10 -18</f>
        <v>217947.6</v>
      </c>
      <c r="C282" s="3">
        <f t="shared" ref="C282:C301" si="2">B282/7000000</f>
        <v>3.113537142857143E-2</v>
      </c>
      <c r="D282" s="6">
        <f t="shared" ref="D282:D301" si="3">VALUE(MID(W282,$X282+2,L282-(X282+2)))</f>
        <v>-320</v>
      </c>
      <c r="E282" s="6">
        <f t="shared" ref="E282:E301" si="4">VALUE(MID($W282,L282+1,M282-(L282+1)))</f>
        <v>-778</v>
      </c>
      <c r="F282" s="6">
        <f t="shared" ref="F282:F301" si="5">VALUE(MID($W282,M282+1,N282-(M282+1)))</f>
        <v>4403</v>
      </c>
      <c r="G282" s="6">
        <f t="shared" ref="G282:G301" si="6">VALUE(MID($W282,N282+1,O282-(N282+1)))</f>
        <v>324</v>
      </c>
      <c r="H282" s="6">
        <f t="shared" ref="H282:H301" si="7">VALUE(MID($W282,O282+1,P282-(O282+1)))</f>
        <v>1316</v>
      </c>
      <c r="I282" s="6">
        <f t="shared" ref="I282:I301" si="8">VALUE(MID($W282,P282+1,Q282-(P282+1)))</f>
        <v>3170</v>
      </c>
      <c r="J282" s="6">
        <f t="shared" ref="J282:J301" si="9">VALUE(MID($W282,Q282+1,R282-(Q282+1)))</f>
        <v>4743</v>
      </c>
      <c r="K282" s="4">
        <f t="shared" ref="K282:K301" si="10">VALUE(MID(W282,R282+1,LEN(W282)-(R282)))</f>
        <v>4495</v>
      </c>
      <c r="L282" s="4">
        <f t="shared" ref="L282:L301" si="11">SEARCH(",",W282,X282)</f>
        <v>15</v>
      </c>
      <c r="M282" s="4">
        <f t="shared" ref="M282:R282" si="12">SEARCH(",",$W282,L282+1)</f>
        <v>21</v>
      </c>
      <c r="N282" s="4">
        <f t="shared" si="12"/>
        <v>27</v>
      </c>
      <c r="O282" s="4">
        <f t="shared" si="12"/>
        <v>32</v>
      </c>
      <c r="P282" s="4">
        <f t="shared" si="12"/>
        <v>38</v>
      </c>
      <c r="Q282" s="4">
        <f t="shared" si="12"/>
        <v>44</v>
      </c>
      <c r="R282" s="4">
        <f t="shared" si="12"/>
        <v>50</v>
      </c>
      <c r="T282" t="s">
        <v>568</v>
      </c>
      <c r="U282">
        <f t="shared" ref="U282:U301" si="13">SEARCH(":",T282)</f>
        <v>6</v>
      </c>
      <c r="V282" t="str">
        <f t="shared" ref="V282:V301" si="14">MID(T282,U282+1,LEN(T282)-(U282))</f>
        <v xml:space="preserve"> 544914 ** -320, -778, 4403, 324, 1316, 3170, 4743, 4495</v>
      </c>
      <c r="W282" t="str">
        <f t="shared" ref="W282:W301" si="15">TRIM(V282)</f>
        <v>544914 ** -320, -778, 4403, 324, 1316, 3170, 4743, 4495</v>
      </c>
      <c r="X282">
        <f t="shared" ref="X282:X301" si="16">SEARCH("~*",W282)</f>
        <v>8</v>
      </c>
      <c r="Y282" t="str">
        <f t="shared" ref="Y282:Y301" si="17">LEFT(W282,X282-1)</f>
        <v xml:space="preserve">544914 </v>
      </c>
      <c r="AA282" t="str">
        <f t="shared" ref="AA282:AA301" si="18">CONCATENATE(A282,",",D282,",",E282,",",F282,",",G282,",",H282,",",I282,",",J282,",",K282)</f>
        <v>544914,-320,-778,4403,324,1316,3170,4743,4495</v>
      </c>
    </row>
    <row r="283" spans="1:27">
      <c r="A283" s="1">
        <f t="shared" si="0"/>
        <v>345045</v>
      </c>
      <c r="B283" s="1">
        <f t="shared" si="1"/>
        <v>138000</v>
      </c>
      <c r="C283" s="3">
        <f t="shared" si="2"/>
        <v>1.9714285714285715E-2</v>
      </c>
      <c r="D283" s="6">
        <f t="shared" si="3"/>
        <v>-320</v>
      </c>
      <c r="E283" s="6">
        <f t="shared" si="4"/>
        <v>-778</v>
      </c>
      <c r="F283" s="6">
        <f t="shared" si="5"/>
        <v>4403</v>
      </c>
      <c r="G283" s="6">
        <f t="shared" si="6"/>
        <v>324</v>
      </c>
      <c r="H283" s="6">
        <f t="shared" si="7"/>
        <v>1316</v>
      </c>
      <c r="I283" s="6">
        <f t="shared" si="8"/>
        <v>3170</v>
      </c>
      <c r="J283" s="6">
        <f t="shared" si="9"/>
        <v>4743</v>
      </c>
      <c r="K283" s="4">
        <f t="shared" si="10"/>
        <v>4495</v>
      </c>
      <c r="L283" s="4">
        <f t="shared" si="11"/>
        <v>15</v>
      </c>
      <c r="M283" s="4">
        <f t="shared" ref="M283:R283" si="19">SEARCH(",",$W283,L283+1)</f>
        <v>21</v>
      </c>
      <c r="N283" s="4">
        <f t="shared" si="19"/>
        <v>27</v>
      </c>
      <c r="O283" s="4">
        <f t="shared" si="19"/>
        <v>32</v>
      </c>
      <c r="P283" s="4">
        <f t="shared" si="19"/>
        <v>38</v>
      </c>
      <c r="Q283" s="4">
        <f t="shared" si="19"/>
        <v>44</v>
      </c>
      <c r="R283" s="4">
        <f t="shared" si="19"/>
        <v>50</v>
      </c>
      <c r="T283" t="s">
        <v>569</v>
      </c>
      <c r="U283">
        <f t="shared" si="13"/>
        <v>6</v>
      </c>
      <c r="V283" t="str">
        <f t="shared" si="14"/>
        <v xml:space="preserve"> 345045 ** -320, -778, 4403, 324, 1316, 3170, 4743, 4495</v>
      </c>
      <c r="W283" t="str">
        <f t="shared" si="15"/>
        <v>345045 ** -320, -778, 4403, 324, 1316, 3170, 4743, 4495</v>
      </c>
      <c r="X283">
        <f t="shared" si="16"/>
        <v>8</v>
      </c>
      <c r="Y283" t="str">
        <f t="shared" si="17"/>
        <v xml:space="preserve">345045 </v>
      </c>
      <c r="AA283" t="str">
        <f t="shared" si="18"/>
        <v>345045,-320,-778,4403,324,1316,3170,4743,4495</v>
      </c>
    </row>
    <row r="284" spans="1:27">
      <c r="A284" s="1">
        <f t="shared" si="0"/>
        <v>1610341</v>
      </c>
      <c r="B284" s="1">
        <f t="shared" si="1"/>
        <v>644118.4</v>
      </c>
      <c r="C284" s="3">
        <f t="shared" si="2"/>
        <v>9.2016914285714291E-2</v>
      </c>
      <c r="D284" s="6">
        <f t="shared" si="3"/>
        <v>-320</v>
      </c>
      <c r="E284" s="6">
        <f t="shared" si="4"/>
        <v>-778</v>
      </c>
      <c r="F284" s="6">
        <f t="shared" si="5"/>
        <v>4403</v>
      </c>
      <c r="G284" s="6">
        <f t="shared" si="6"/>
        <v>324</v>
      </c>
      <c r="H284" s="6">
        <f t="shared" si="7"/>
        <v>1316</v>
      </c>
      <c r="I284" s="6">
        <f t="shared" si="8"/>
        <v>3170</v>
      </c>
      <c r="J284" s="6">
        <f t="shared" si="9"/>
        <v>4743</v>
      </c>
      <c r="K284" s="4">
        <f t="shared" si="10"/>
        <v>4495</v>
      </c>
      <c r="L284" s="4">
        <f t="shared" si="11"/>
        <v>16</v>
      </c>
      <c r="M284" s="4">
        <f t="shared" ref="M284:R284" si="20">SEARCH(",",$W284,L284+1)</f>
        <v>22</v>
      </c>
      <c r="N284" s="4">
        <f t="shared" si="20"/>
        <v>28</v>
      </c>
      <c r="O284" s="4">
        <f t="shared" si="20"/>
        <v>33</v>
      </c>
      <c r="P284" s="4">
        <f t="shared" si="20"/>
        <v>39</v>
      </c>
      <c r="Q284" s="4">
        <f t="shared" si="20"/>
        <v>45</v>
      </c>
      <c r="R284" s="4">
        <f t="shared" si="20"/>
        <v>51</v>
      </c>
      <c r="T284" t="s">
        <v>570</v>
      </c>
      <c r="U284">
        <f t="shared" si="13"/>
        <v>6</v>
      </c>
      <c r="V284" t="str">
        <f t="shared" si="14"/>
        <v xml:space="preserve"> 1610341 ** -320, -778, 4403, 324, 1316, 3170, 4743, 4495</v>
      </c>
      <c r="W284" t="str">
        <f t="shared" si="15"/>
        <v>1610341 ** -320, -778, 4403, 324, 1316, 3170, 4743, 4495</v>
      </c>
      <c r="X284">
        <f t="shared" si="16"/>
        <v>9</v>
      </c>
      <c r="Y284" t="str">
        <f t="shared" si="17"/>
        <v xml:space="preserve">1610341 </v>
      </c>
      <c r="AA284" t="str">
        <f t="shared" si="18"/>
        <v>1610341,-320,-778,4403,324,1316,3170,4743,4495</v>
      </c>
    </row>
    <row r="285" spans="1:27">
      <c r="A285" s="1">
        <f t="shared" si="0"/>
        <v>2178794</v>
      </c>
      <c r="B285" s="1">
        <f t="shared" si="1"/>
        <v>871499.6</v>
      </c>
      <c r="C285" s="3">
        <f t="shared" si="2"/>
        <v>0.12449994285714286</v>
      </c>
      <c r="D285" s="6">
        <f t="shared" si="3"/>
        <v>-320</v>
      </c>
      <c r="E285" s="6">
        <f t="shared" si="4"/>
        <v>-778</v>
      </c>
      <c r="F285" s="6">
        <f t="shared" si="5"/>
        <v>4403</v>
      </c>
      <c r="G285" s="6">
        <f t="shared" si="6"/>
        <v>324</v>
      </c>
      <c r="H285" s="6">
        <f t="shared" si="7"/>
        <v>1316</v>
      </c>
      <c r="I285" s="6">
        <f t="shared" si="8"/>
        <v>3170</v>
      </c>
      <c r="J285" s="6">
        <f t="shared" si="9"/>
        <v>4743</v>
      </c>
      <c r="K285" s="4">
        <f t="shared" si="10"/>
        <v>4495</v>
      </c>
      <c r="L285" s="4">
        <f t="shared" si="11"/>
        <v>16</v>
      </c>
      <c r="M285" s="4">
        <f t="shared" ref="M285:R285" si="21">SEARCH(",",$W285,L285+1)</f>
        <v>22</v>
      </c>
      <c r="N285" s="4">
        <f t="shared" si="21"/>
        <v>28</v>
      </c>
      <c r="O285" s="4">
        <f t="shared" si="21"/>
        <v>33</v>
      </c>
      <c r="P285" s="4">
        <f t="shared" si="21"/>
        <v>39</v>
      </c>
      <c r="Q285" s="4">
        <f t="shared" si="21"/>
        <v>45</v>
      </c>
      <c r="R285" s="4">
        <f t="shared" si="21"/>
        <v>51</v>
      </c>
      <c r="T285" t="s">
        <v>571</v>
      </c>
      <c r="U285">
        <f t="shared" si="13"/>
        <v>6</v>
      </c>
      <c r="V285" t="str">
        <f t="shared" si="14"/>
        <v xml:space="preserve"> 2178794 ** -320, -778, 4403, 324, 1316, 3170, 4743, 4495</v>
      </c>
      <c r="W285" t="str">
        <f t="shared" si="15"/>
        <v>2178794 ** -320, -778, 4403, 324, 1316, 3170, 4743, 4495</v>
      </c>
      <c r="X285">
        <f t="shared" si="16"/>
        <v>9</v>
      </c>
      <c r="Y285" t="str">
        <f t="shared" si="17"/>
        <v xml:space="preserve">2178794 </v>
      </c>
      <c r="AA285" t="str">
        <f t="shared" si="18"/>
        <v>2178794,-320,-778,4403,324,1316,3170,4743,4495</v>
      </c>
    </row>
    <row r="286" spans="1:27">
      <c r="A286" s="1">
        <f t="shared" si="0"/>
        <v>369827</v>
      </c>
      <c r="B286" s="1">
        <f t="shared" si="1"/>
        <v>147912.79999999999</v>
      </c>
      <c r="C286" s="3">
        <f t="shared" si="2"/>
        <v>2.1130399999999997E-2</v>
      </c>
      <c r="D286" s="6">
        <f t="shared" si="3"/>
        <v>-320</v>
      </c>
      <c r="E286" s="6">
        <f t="shared" si="4"/>
        <v>-778</v>
      </c>
      <c r="F286" s="6">
        <f t="shared" si="5"/>
        <v>4403</v>
      </c>
      <c r="G286" s="6">
        <f t="shared" si="6"/>
        <v>324</v>
      </c>
      <c r="H286" s="6">
        <f t="shared" si="7"/>
        <v>1316</v>
      </c>
      <c r="I286" s="6">
        <f t="shared" si="8"/>
        <v>3170</v>
      </c>
      <c r="J286" s="6">
        <f t="shared" si="9"/>
        <v>4743</v>
      </c>
      <c r="K286" s="4">
        <f t="shared" si="10"/>
        <v>4495</v>
      </c>
      <c r="L286" s="4">
        <f t="shared" si="11"/>
        <v>15</v>
      </c>
      <c r="M286" s="4">
        <f t="shared" ref="M286:R286" si="22">SEARCH(",",$W286,L286+1)</f>
        <v>21</v>
      </c>
      <c r="N286" s="4">
        <f t="shared" si="22"/>
        <v>27</v>
      </c>
      <c r="O286" s="4">
        <f t="shared" si="22"/>
        <v>32</v>
      </c>
      <c r="P286" s="4">
        <f t="shared" si="22"/>
        <v>38</v>
      </c>
      <c r="Q286" s="4">
        <f t="shared" si="22"/>
        <v>44</v>
      </c>
      <c r="R286" s="4">
        <f t="shared" si="22"/>
        <v>50</v>
      </c>
      <c r="T286" t="s">
        <v>572</v>
      </c>
      <c r="U286">
        <f t="shared" si="13"/>
        <v>6</v>
      </c>
      <c r="V286" t="str">
        <f t="shared" si="14"/>
        <v xml:space="preserve"> 369827 ** -320, -778, 4403, 324, 1316, 3170, 4743, 4495</v>
      </c>
      <c r="W286" t="str">
        <f t="shared" si="15"/>
        <v>369827 ** -320, -778, 4403, 324, 1316, 3170, 4743, 4495</v>
      </c>
      <c r="X286">
        <f t="shared" si="16"/>
        <v>8</v>
      </c>
      <c r="Y286" t="str">
        <f t="shared" si="17"/>
        <v xml:space="preserve">369827 </v>
      </c>
      <c r="AA286" t="str">
        <f t="shared" si="18"/>
        <v>369827,-320,-778,4403,324,1316,3170,4743,4495</v>
      </c>
    </row>
    <row r="287" spans="1:27">
      <c r="A287" s="1">
        <f t="shared" si="0"/>
        <v>525176</v>
      </c>
      <c r="B287" s="1">
        <f t="shared" si="1"/>
        <v>210052.4</v>
      </c>
      <c r="C287" s="3">
        <f t="shared" si="2"/>
        <v>3.0007485714285714E-2</v>
      </c>
      <c r="D287" s="6">
        <f t="shared" si="3"/>
        <v>-320</v>
      </c>
      <c r="E287" s="6">
        <f t="shared" si="4"/>
        <v>-778</v>
      </c>
      <c r="F287" s="6">
        <f t="shared" si="5"/>
        <v>4403</v>
      </c>
      <c r="G287" s="6">
        <f t="shared" si="6"/>
        <v>324</v>
      </c>
      <c r="H287" s="6">
        <f t="shared" si="7"/>
        <v>1316</v>
      </c>
      <c r="I287" s="6">
        <f t="shared" si="8"/>
        <v>3170</v>
      </c>
      <c r="J287" s="6">
        <f t="shared" si="9"/>
        <v>4743</v>
      </c>
      <c r="K287" s="4">
        <f t="shared" si="10"/>
        <v>4495</v>
      </c>
      <c r="L287" s="4">
        <f t="shared" si="11"/>
        <v>15</v>
      </c>
      <c r="M287" s="4">
        <f t="shared" ref="M287:R287" si="23">SEARCH(",",$W287,L287+1)</f>
        <v>21</v>
      </c>
      <c r="N287" s="4">
        <f t="shared" si="23"/>
        <v>27</v>
      </c>
      <c r="O287" s="4">
        <f t="shared" si="23"/>
        <v>32</v>
      </c>
      <c r="P287" s="4">
        <f t="shared" si="23"/>
        <v>38</v>
      </c>
      <c r="Q287" s="4">
        <f t="shared" si="23"/>
        <v>44</v>
      </c>
      <c r="R287" s="4">
        <f t="shared" si="23"/>
        <v>50</v>
      </c>
      <c r="T287" t="s">
        <v>573</v>
      </c>
      <c r="U287">
        <f t="shared" si="13"/>
        <v>6</v>
      </c>
      <c r="V287" t="str">
        <f t="shared" si="14"/>
        <v xml:space="preserve"> 525176 ** -320, -778, 4403, 324, 1316, 3170, 4743, 4495</v>
      </c>
      <c r="W287" t="str">
        <f t="shared" si="15"/>
        <v>525176 ** -320, -778, 4403, 324, 1316, 3170, 4743, 4495</v>
      </c>
      <c r="X287">
        <f t="shared" si="16"/>
        <v>8</v>
      </c>
      <c r="Y287" t="str">
        <f t="shared" si="17"/>
        <v xml:space="preserve">525176 </v>
      </c>
      <c r="AA287" t="str">
        <f t="shared" si="18"/>
        <v>525176,-320,-778,4403,324,1316,3170,4743,4495</v>
      </c>
    </row>
    <row r="288" spans="1:27">
      <c r="A288" s="1">
        <f t="shared" si="0"/>
        <v>278612</v>
      </c>
      <c r="B288" s="1">
        <f t="shared" si="1"/>
        <v>111426.8</v>
      </c>
      <c r="C288" s="3">
        <f t="shared" si="2"/>
        <v>1.5918114285714286E-2</v>
      </c>
      <c r="D288" s="6">
        <f t="shared" si="3"/>
        <v>-320</v>
      </c>
      <c r="E288" s="6">
        <f t="shared" si="4"/>
        <v>-778</v>
      </c>
      <c r="F288" s="6">
        <f t="shared" si="5"/>
        <v>4403</v>
      </c>
      <c r="G288" s="6">
        <f t="shared" si="6"/>
        <v>324</v>
      </c>
      <c r="H288" s="6">
        <f t="shared" si="7"/>
        <v>1316</v>
      </c>
      <c r="I288" s="6">
        <f t="shared" si="8"/>
        <v>3170</v>
      </c>
      <c r="J288" s="6">
        <f t="shared" si="9"/>
        <v>4743</v>
      </c>
      <c r="K288" s="4">
        <f t="shared" si="10"/>
        <v>4495</v>
      </c>
      <c r="L288" s="4">
        <f t="shared" si="11"/>
        <v>15</v>
      </c>
      <c r="M288" s="4">
        <f t="shared" ref="M288:R288" si="24">SEARCH(",",$W288,L288+1)</f>
        <v>21</v>
      </c>
      <c r="N288" s="4">
        <f t="shared" si="24"/>
        <v>27</v>
      </c>
      <c r="O288" s="4">
        <f t="shared" si="24"/>
        <v>32</v>
      </c>
      <c r="P288" s="4">
        <f t="shared" si="24"/>
        <v>38</v>
      </c>
      <c r="Q288" s="4">
        <f t="shared" si="24"/>
        <v>44</v>
      </c>
      <c r="R288" s="4">
        <f t="shared" si="24"/>
        <v>50</v>
      </c>
      <c r="T288" t="s">
        <v>574</v>
      </c>
      <c r="U288">
        <f t="shared" si="13"/>
        <v>6</v>
      </c>
      <c r="V288" t="str">
        <f t="shared" si="14"/>
        <v xml:space="preserve"> 278612 ** -320, -778, 4403, 324, 1316, 3170, 4743, 4495</v>
      </c>
      <c r="W288" t="str">
        <f t="shared" si="15"/>
        <v>278612 ** -320, -778, 4403, 324, 1316, 3170, 4743, 4495</v>
      </c>
      <c r="X288">
        <f t="shared" si="16"/>
        <v>8</v>
      </c>
      <c r="Y288" t="str">
        <f t="shared" si="17"/>
        <v xml:space="preserve">278612 </v>
      </c>
      <c r="AA288" t="str">
        <f t="shared" si="18"/>
        <v>278612,-320,-778,4403,324,1316,3170,4743,4495</v>
      </c>
    </row>
    <row r="289" spans="1:27">
      <c r="A289" s="1">
        <f t="shared" si="0"/>
        <v>637194</v>
      </c>
      <c r="B289" s="1">
        <f t="shared" si="1"/>
        <v>254859.6</v>
      </c>
      <c r="C289" s="3">
        <f t="shared" si="2"/>
        <v>3.6408514285714288E-2</v>
      </c>
      <c r="D289" s="6">
        <f t="shared" si="3"/>
        <v>-320</v>
      </c>
      <c r="E289" s="6">
        <f t="shared" si="4"/>
        <v>-778</v>
      </c>
      <c r="F289" s="6">
        <f t="shared" si="5"/>
        <v>4403</v>
      </c>
      <c r="G289" s="6">
        <f t="shared" si="6"/>
        <v>324</v>
      </c>
      <c r="H289" s="6">
        <f t="shared" si="7"/>
        <v>1316</v>
      </c>
      <c r="I289" s="6">
        <f t="shared" si="8"/>
        <v>3170</v>
      </c>
      <c r="J289" s="6">
        <f t="shared" si="9"/>
        <v>4743</v>
      </c>
      <c r="K289" s="4">
        <f t="shared" si="10"/>
        <v>4495</v>
      </c>
      <c r="L289" s="4">
        <f t="shared" si="11"/>
        <v>15</v>
      </c>
      <c r="M289" s="4">
        <f t="shared" ref="M289:R289" si="25">SEARCH(",",$W289,L289+1)</f>
        <v>21</v>
      </c>
      <c r="N289" s="4">
        <f t="shared" si="25"/>
        <v>27</v>
      </c>
      <c r="O289" s="4">
        <f t="shared" si="25"/>
        <v>32</v>
      </c>
      <c r="P289" s="4">
        <f t="shared" si="25"/>
        <v>38</v>
      </c>
      <c r="Q289" s="4">
        <f t="shared" si="25"/>
        <v>44</v>
      </c>
      <c r="R289" s="4">
        <f t="shared" si="25"/>
        <v>50</v>
      </c>
      <c r="T289" t="s">
        <v>575</v>
      </c>
      <c r="U289">
        <f t="shared" si="13"/>
        <v>6</v>
      </c>
      <c r="V289" t="str">
        <f t="shared" si="14"/>
        <v xml:space="preserve"> 637194 ** -320, -778, 4403, 324, 1316, 3170, 4743, 4495</v>
      </c>
      <c r="W289" t="str">
        <f t="shared" si="15"/>
        <v>637194 ** -320, -778, 4403, 324, 1316, 3170, 4743, 4495</v>
      </c>
      <c r="X289">
        <f t="shared" si="16"/>
        <v>8</v>
      </c>
      <c r="Y289" t="str">
        <f t="shared" si="17"/>
        <v xml:space="preserve">637194 </v>
      </c>
      <c r="AA289" t="str">
        <f t="shared" si="18"/>
        <v>637194,-320,-778,4403,324,1316,3170,4743,4495</v>
      </c>
    </row>
    <row r="290" spans="1:27">
      <c r="A290" s="1">
        <f t="shared" si="0"/>
        <v>1063865</v>
      </c>
      <c r="B290" s="1">
        <f t="shared" si="1"/>
        <v>425528</v>
      </c>
      <c r="C290" s="3">
        <f t="shared" si="2"/>
        <v>6.0789714285714287E-2</v>
      </c>
      <c r="D290" s="6">
        <f t="shared" si="3"/>
        <v>-320</v>
      </c>
      <c r="E290" s="6">
        <f t="shared" si="4"/>
        <v>-778</v>
      </c>
      <c r="F290" s="6">
        <f t="shared" si="5"/>
        <v>4403</v>
      </c>
      <c r="G290" s="6">
        <f t="shared" si="6"/>
        <v>324</v>
      </c>
      <c r="H290" s="6">
        <f t="shared" si="7"/>
        <v>1316</v>
      </c>
      <c r="I290" s="6">
        <f t="shared" si="8"/>
        <v>3170</v>
      </c>
      <c r="J290" s="6">
        <f t="shared" si="9"/>
        <v>4743</v>
      </c>
      <c r="K290" s="4">
        <f t="shared" si="10"/>
        <v>4495</v>
      </c>
      <c r="L290" s="4">
        <f t="shared" si="11"/>
        <v>16</v>
      </c>
      <c r="M290" s="4">
        <f t="shared" ref="M290:R290" si="26">SEARCH(",",$W290,L290+1)</f>
        <v>22</v>
      </c>
      <c r="N290" s="4">
        <f t="shared" si="26"/>
        <v>28</v>
      </c>
      <c r="O290" s="4">
        <f t="shared" si="26"/>
        <v>33</v>
      </c>
      <c r="P290" s="4">
        <f t="shared" si="26"/>
        <v>39</v>
      </c>
      <c r="Q290" s="4">
        <f t="shared" si="26"/>
        <v>45</v>
      </c>
      <c r="R290" s="4">
        <f t="shared" si="26"/>
        <v>51</v>
      </c>
      <c r="T290" t="s">
        <v>576</v>
      </c>
      <c r="U290">
        <f t="shared" si="13"/>
        <v>6</v>
      </c>
      <c r="V290" t="str">
        <f t="shared" si="14"/>
        <v xml:space="preserve"> 1063865 ** -320, -778, 4403, 324, 1316, 3170, 4743, 4495</v>
      </c>
      <c r="W290" t="str">
        <f t="shared" si="15"/>
        <v>1063865 ** -320, -778, 4403, 324, 1316, 3170, 4743, 4495</v>
      </c>
      <c r="X290">
        <f t="shared" si="16"/>
        <v>9</v>
      </c>
      <c r="Y290" t="str">
        <f t="shared" si="17"/>
        <v xml:space="preserve">1063865 </v>
      </c>
      <c r="AA290" t="str">
        <f t="shared" si="18"/>
        <v>1063865,-320,-778,4403,324,1316,3170,4743,4495</v>
      </c>
    </row>
    <row r="291" spans="1:27">
      <c r="A291" s="1">
        <f t="shared" si="0"/>
        <v>825566</v>
      </c>
      <c r="B291" s="1">
        <f t="shared" si="1"/>
        <v>330208.40000000002</v>
      </c>
      <c r="C291" s="3">
        <f t="shared" si="2"/>
        <v>4.7172628571428572E-2</v>
      </c>
      <c r="D291" s="6">
        <f t="shared" si="3"/>
        <v>-320</v>
      </c>
      <c r="E291" s="6">
        <f t="shared" si="4"/>
        <v>-778</v>
      </c>
      <c r="F291" s="6">
        <f t="shared" si="5"/>
        <v>4403</v>
      </c>
      <c r="G291" s="6">
        <f t="shared" si="6"/>
        <v>324</v>
      </c>
      <c r="H291" s="6">
        <f t="shared" si="7"/>
        <v>1316</v>
      </c>
      <c r="I291" s="6">
        <f t="shared" si="8"/>
        <v>3170</v>
      </c>
      <c r="J291" s="6">
        <f t="shared" si="9"/>
        <v>4743</v>
      </c>
      <c r="K291" s="4">
        <f t="shared" si="10"/>
        <v>4495</v>
      </c>
      <c r="L291" s="4">
        <f t="shared" si="11"/>
        <v>15</v>
      </c>
      <c r="M291" s="4">
        <f t="shared" ref="M291:R291" si="27">SEARCH(",",$W291,L291+1)</f>
        <v>21</v>
      </c>
      <c r="N291" s="4">
        <f t="shared" si="27"/>
        <v>27</v>
      </c>
      <c r="O291" s="4">
        <f t="shared" si="27"/>
        <v>32</v>
      </c>
      <c r="P291" s="4">
        <f t="shared" si="27"/>
        <v>38</v>
      </c>
      <c r="Q291" s="4">
        <f t="shared" si="27"/>
        <v>44</v>
      </c>
      <c r="R291" s="4">
        <f t="shared" si="27"/>
        <v>50</v>
      </c>
      <c r="T291" t="s">
        <v>577</v>
      </c>
      <c r="U291">
        <f t="shared" si="13"/>
        <v>6</v>
      </c>
      <c r="V291" t="str">
        <f t="shared" si="14"/>
        <v xml:space="preserve"> 825566 ** -320, -778, 4403, 324, 1316, 3170, 4743, 4495</v>
      </c>
      <c r="W291" t="str">
        <f t="shared" si="15"/>
        <v>825566 ** -320, -778, 4403, 324, 1316, 3170, 4743, 4495</v>
      </c>
      <c r="X291">
        <f t="shared" si="16"/>
        <v>8</v>
      </c>
      <c r="Y291" t="str">
        <f t="shared" si="17"/>
        <v xml:space="preserve">825566 </v>
      </c>
      <c r="AA291" t="str">
        <f t="shared" si="18"/>
        <v>825566,-320,-778,4403,324,1316,3170,4743,4495</v>
      </c>
    </row>
    <row r="292" spans="1:27">
      <c r="A292" s="1">
        <f t="shared" si="0"/>
        <v>810955</v>
      </c>
      <c r="B292" s="1">
        <f t="shared" si="1"/>
        <v>324364</v>
      </c>
      <c r="C292" s="3">
        <f t="shared" si="2"/>
        <v>4.6337714285714288E-2</v>
      </c>
      <c r="D292" s="6">
        <f t="shared" si="3"/>
        <v>-320</v>
      </c>
      <c r="E292" s="6">
        <f t="shared" si="4"/>
        <v>-778</v>
      </c>
      <c r="F292" s="6">
        <f t="shared" si="5"/>
        <v>4403</v>
      </c>
      <c r="G292" s="6">
        <f t="shared" si="6"/>
        <v>324</v>
      </c>
      <c r="H292" s="6">
        <f t="shared" si="7"/>
        <v>1316</v>
      </c>
      <c r="I292" s="6">
        <f t="shared" si="8"/>
        <v>3170</v>
      </c>
      <c r="J292" s="6">
        <f t="shared" si="9"/>
        <v>4743</v>
      </c>
      <c r="K292" s="4">
        <f t="shared" si="10"/>
        <v>4495</v>
      </c>
      <c r="L292" s="4">
        <f t="shared" si="11"/>
        <v>15</v>
      </c>
      <c r="M292" s="4">
        <f t="shared" ref="M292:R292" si="28">SEARCH(",",$W292,L292+1)</f>
        <v>21</v>
      </c>
      <c r="N292" s="4">
        <f t="shared" si="28"/>
        <v>27</v>
      </c>
      <c r="O292" s="4">
        <f t="shared" si="28"/>
        <v>32</v>
      </c>
      <c r="P292" s="4">
        <f t="shared" si="28"/>
        <v>38</v>
      </c>
      <c r="Q292" s="4">
        <f t="shared" si="28"/>
        <v>44</v>
      </c>
      <c r="R292" s="4">
        <f t="shared" si="28"/>
        <v>50</v>
      </c>
      <c r="T292" t="s">
        <v>578</v>
      </c>
      <c r="U292">
        <f t="shared" si="13"/>
        <v>6</v>
      </c>
      <c r="V292" t="str">
        <f t="shared" si="14"/>
        <v xml:space="preserve"> 810955 ** -320, -778, 4403, 324, 1316, 3170, 4743, 4495</v>
      </c>
      <c r="W292" t="str">
        <f t="shared" si="15"/>
        <v>810955 ** -320, -778, 4403, 324, 1316, 3170, 4743, 4495</v>
      </c>
      <c r="X292">
        <f t="shared" si="16"/>
        <v>8</v>
      </c>
      <c r="Y292" t="str">
        <f t="shared" si="17"/>
        <v xml:space="preserve">810955 </v>
      </c>
      <c r="AA292" t="str">
        <f t="shared" si="18"/>
        <v>810955,-320,-778,4403,324,1316,3170,4743,4495</v>
      </c>
    </row>
    <row r="293" spans="1:27">
      <c r="A293" s="1">
        <f t="shared" si="0"/>
        <v>1203593</v>
      </c>
      <c r="B293" s="1">
        <f t="shared" si="1"/>
        <v>481419.2</v>
      </c>
      <c r="C293" s="3">
        <f t="shared" si="2"/>
        <v>6.8774171428571423E-2</v>
      </c>
      <c r="D293" s="6">
        <f t="shared" si="3"/>
        <v>-320</v>
      </c>
      <c r="E293" s="6">
        <f t="shared" si="4"/>
        <v>-778</v>
      </c>
      <c r="F293" s="6">
        <f t="shared" si="5"/>
        <v>4403</v>
      </c>
      <c r="G293" s="6">
        <f t="shared" si="6"/>
        <v>324</v>
      </c>
      <c r="H293" s="6">
        <f t="shared" si="7"/>
        <v>1316</v>
      </c>
      <c r="I293" s="6">
        <f t="shared" si="8"/>
        <v>3170</v>
      </c>
      <c r="J293" s="6">
        <f t="shared" si="9"/>
        <v>4743</v>
      </c>
      <c r="K293" s="4">
        <f t="shared" si="10"/>
        <v>4495</v>
      </c>
      <c r="L293" s="4">
        <f t="shared" si="11"/>
        <v>16</v>
      </c>
      <c r="M293" s="4">
        <f t="shared" ref="M293:R293" si="29">SEARCH(",",$W293,L293+1)</f>
        <v>22</v>
      </c>
      <c r="N293" s="4">
        <f t="shared" si="29"/>
        <v>28</v>
      </c>
      <c r="O293" s="4">
        <f t="shared" si="29"/>
        <v>33</v>
      </c>
      <c r="P293" s="4">
        <f t="shared" si="29"/>
        <v>39</v>
      </c>
      <c r="Q293" s="4">
        <f t="shared" si="29"/>
        <v>45</v>
      </c>
      <c r="R293" s="4">
        <f t="shared" si="29"/>
        <v>51</v>
      </c>
      <c r="T293" t="s">
        <v>579</v>
      </c>
      <c r="U293">
        <f t="shared" si="13"/>
        <v>6</v>
      </c>
      <c r="V293" t="str">
        <f t="shared" si="14"/>
        <v xml:space="preserve"> 1203593 ** -320, -778, 4403, 324, 1316, 3170, 4743, 4495</v>
      </c>
      <c r="W293" t="str">
        <f t="shared" si="15"/>
        <v>1203593 ** -320, -778, 4403, 324, 1316, 3170, 4743, 4495</v>
      </c>
      <c r="X293">
        <f t="shared" si="16"/>
        <v>9</v>
      </c>
      <c r="Y293" t="str">
        <f t="shared" si="17"/>
        <v xml:space="preserve">1203593 </v>
      </c>
      <c r="AA293" t="str">
        <f t="shared" si="18"/>
        <v>1203593,-320,-778,4403,324,1316,3170,4743,4495</v>
      </c>
    </row>
    <row r="294" spans="1:27">
      <c r="A294" s="1">
        <f t="shared" si="0"/>
        <v>111572</v>
      </c>
      <c r="B294" s="1">
        <f t="shared" si="1"/>
        <v>44610.8</v>
      </c>
      <c r="C294" s="3">
        <f t="shared" si="2"/>
        <v>6.3729714285714291E-3</v>
      </c>
      <c r="D294" s="6">
        <f t="shared" si="3"/>
        <v>-320</v>
      </c>
      <c r="E294" s="6">
        <f t="shared" si="4"/>
        <v>-778</v>
      </c>
      <c r="F294" s="6">
        <f t="shared" si="5"/>
        <v>4403</v>
      </c>
      <c r="G294" s="6">
        <f t="shared" si="6"/>
        <v>324</v>
      </c>
      <c r="H294" s="6">
        <f t="shared" si="7"/>
        <v>1316</v>
      </c>
      <c r="I294" s="6">
        <f t="shared" si="8"/>
        <v>3170</v>
      </c>
      <c r="J294" s="6">
        <f t="shared" si="9"/>
        <v>4743</v>
      </c>
      <c r="K294" s="4">
        <f t="shared" si="10"/>
        <v>4495</v>
      </c>
      <c r="L294" s="4">
        <f t="shared" si="11"/>
        <v>15</v>
      </c>
      <c r="M294" s="4">
        <f t="shared" ref="M294:R294" si="30">SEARCH(",",$W294,L294+1)</f>
        <v>21</v>
      </c>
      <c r="N294" s="4">
        <f t="shared" si="30"/>
        <v>27</v>
      </c>
      <c r="O294" s="4">
        <f t="shared" si="30"/>
        <v>32</v>
      </c>
      <c r="P294" s="4">
        <f t="shared" si="30"/>
        <v>38</v>
      </c>
      <c r="Q294" s="4">
        <f t="shared" si="30"/>
        <v>44</v>
      </c>
      <c r="R294" s="4">
        <f t="shared" si="30"/>
        <v>50</v>
      </c>
      <c r="T294" t="s">
        <v>580</v>
      </c>
      <c r="U294">
        <f t="shared" si="13"/>
        <v>6</v>
      </c>
      <c r="V294" t="str">
        <f t="shared" si="14"/>
        <v xml:space="preserve"> 111572 ** -320, -778, 4403, 324, 1316, 3170, 4743, 4495</v>
      </c>
      <c r="W294" t="str">
        <f t="shared" si="15"/>
        <v>111572 ** -320, -778, 4403, 324, 1316, 3170, 4743, 4495</v>
      </c>
      <c r="X294">
        <f t="shared" si="16"/>
        <v>8</v>
      </c>
      <c r="Y294" t="str">
        <f t="shared" si="17"/>
        <v xml:space="preserve">111572 </v>
      </c>
      <c r="AA294" t="str">
        <f t="shared" si="18"/>
        <v>111572,-320,-778,4403,324,1316,3170,4743,4495</v>
      </c>
    </row>
    <row r="295" spans="1:27">
      <c r="A295" s="1">
        <f t="shared" si="0"/>
        <v>161570</v>
      </c>
      <c r="B295" s="1">
        <f t="shared" si="1"/>
        <v>64610</v>
      </c>
      <c r="C295" s="3">
        <f t="shared" si="2"/>
        <v>9.2300000000000004E-3</v>
      </c>
      <c r="D295" s="6">
        <f t="shared" si="3"/>
        <v>-320</v>
      </c>
      <c r="E295" s="6">
        <f t="shared" si="4"/>
        <v>-778</v>
      </c>
      <c r="F295" s="6">
        <f t="shared" si="5"/>
        <v>4403</v>
      </c>
      <c r="G295" s="6">
        <f t="shared" si="6"/>
        <v>324</v>
      </c>
      <c r="H295" s="6">
        <f t="shared" si="7"/>
        <v>1316</v>
      </c>
      <c r="I295" s="6">
        <f t="shared" si="8"/>
        <v>3170</v>
      </c>
      <c r="J295" s="6">
        <f t="shared" si="9"/>
        <v>4743</v>
      </c>
      <c r="K295" s="4">
        <f t="shared" si="10"/>
        <v>4495</v>
      </c>
      <c r="L295" s="4">
        <f t="shared" si="11"/>
        <v>15</v>
      </c>
      <c r="M295" s="4">
        <f t="shared" ref="M295:R295" si="31">SEARCH(",",$W295,L295+1)</f>
        <v>21</v>
      </c>
      <c r="N295" s="4">
        <f t="shared" si="31"/>
        <v>27</v>
      </c>
      <c r="O295" s="4">
        <f t="shared" si="31"/>
        <v>32</v>
      </c>
      <c r="P295" s="4">
        <f t="shared" si="31"/>
        <v>38</v>
      </c>
      <c r="Q295" s="4">
        <f t="shared" si="31"/>
        <v>44</v>
      </c>
      <c r="R295" s="4">
        <f t="shared" si="31"/>
        <v>50</v>
      </c>
      <c r="T295" t="s">
        <v>581</v>
      </c>
      <c r="U295">
        <f t="shared" si="13"/>
        <v>6</v>
      </c>
      <c r="V295" t="str">
        <f t="shared" si="14"/>
        <v xml:space="preserve"> 161570 ** -320, -778, 4403, 324, 1316, 3170, 4743, 4495</v>
      </c>
      <c r="W295" t="str">
        <f t="shared" si="15"/>
        <v>161570 ** -320, -778, 4403, 324, 1316, 3170, 4743, 4495</v>
      </c>
      <c r="X295">
        <f t="shared" si="16"/>
        <v>8</v>
      </c>
      <c r="Y295" t="str">
        <f t="shared" si="17"/>
        <v xml:space="preserve">161570 </v>
      </c>
      <c r="AA295" t="str">
        <f t="shared" si="18"/>
        <v>161570,-320,-778,4403,324,1316,3170,4743,4495</v>
      </c>
    </row>
    <row r="296" spans="1:27">
      <c r="A296" s="1">
        <f t="shared" si="0"/>
        <v>543117</v>
      </c>
      <c r="B296" s="1">
        <f t="shared" si="1"/>
        <v>217228.79999999999</v>
      </c>
      <c r="C296" s="3">
        <f t="shared" si="2"/>
        <v>3.1032685714285711E-2</v>
      </c>
      <c r="D296" s="6">
        <f t="shared" si="3"/>
        <v>-320</v>
      </c>
      <c r="E296" s="6">
        <f t="shared" si="4"/>
        <v>-778</v>
      </c>
      <c r="F296" s="6">
        <f t="shared" si="5"/>
        <v>4403</v>
      </c>
      <c r="G296" s="6">
        <f t="shared" si="6"/>
        <v>324</v>
      </c>
      <c r="H296" s="6">
        <f t="shared" si="7"/>
        <v>1316</v>
      </c>
      <c r="I296" s="6">
        <f t="shared" si="8"/>
        <v>3170</v>
      </c>
      <c r="J296" s="6">
        <f t="shared" si="9"/>
        <v>4743</v>
      </c>
      <c r="K296" s="4">
        <f t="shared" si="10"/>
        <v>4495</v>
      </c>
      <c r="L296" s="4">
        <f t="shared" si="11"/>
        <v>15</v>
      </c>
      <c r="M296" s="4">
        <f t="shared" ref="M296:R296" si="32">SEARCH(",",$W296,L296+1)</f>
        <v>21</v>
      </c>
      <c r="N296" s="4">
        <f t="shared" si="32"/>
        <v>27</v>
      </c>
      <c r="O296" s="4">
        <f t="shared" si="32"/>
        <v>32</v>
      </c>
      <c r="P296" s="4">
        <f t="shared" si="32"/>
        <v>38</v>
      </c>
      <c r="Q296" s="4">
        <f t="shared" si="32"/>
        <v>44</v>
      </c>
      <c r="R296" s="4">
        <f t="shared" si="32"/>
        <v>50</v>
      </c>
      <c r="T296" t="s">
        <v>582</v>
      </c>
      <c r="U296">
        <f t="shared" si="13"/>
        <v>6</v>
      </c>
      <c r="V296" t="str">
        <f t="shared" si="14"/>
        <v xml:space="preserve"> 543117 ** -320, -778, 4403, 324, 1316, 3170, 4743, 4495</v>
      </c>
      <c r="W296" t="str">
        <f t="shared" si="15"/>
        <v>543117 ** -320, -778, 4403, 324, 1316, 3170, 4743, 4495</v>
      </c>
      <c r="X296">
        <f t="shared" si="16"/>
        <v>8</v>
      </c>
      <c r="Y296" t="str">
        <f t="shared" si="17"/>
        <v xml:space="preserve">543117 </v>
      </c>
      <c r="AA296" t="str">
        <f t="shared" si="18"/>
        <v>543117,-320,-778,4403,324,1316,3170,4743,4495</v>
      </c>
    </row>
    <row r="297" spans="1:27">
      <c r="A297" s="1">
        <f t="shared" si="0"/>
        <v>1251134</v>
      </c>
      <c r="B297" s="1">
        <f t="shared" si="1"/>
        <v>500435.6</v>
      </c>
      <c r="C297" s="3">
        <f t="shared" si="2"/>
        <v>7.1490799999999993E-2</v>
      </c>
      <c r="D297" s="6">
        <f t="shared" si="3"/>
        <v>-320</v>
      </c>
      <c r="E297" s="6">
        <f t="shared" si="4"/>
        <v>-778</v>
      </c>
      <c r="F297" s="6">
        <f t="shared" si="5"/>
        <v>4403</v>
      </c>
      <c r="G297" s="6">
        <f t="shared" si="6"/>
        <v>324</v>
      </c>
      <c r="H297" s="6">
        <f t="shared" si="7"/>
        <v>1316</v>
      </c>
      <c r="I297" s="6">
        <f t="shared" si="8"/>
        <v>3170</v>
      </c>
      <c r="J297" s="6">
        <f t="shared" si="9"/>
        <v>4743</v>
      </c>
      <c r="K297" s="4">
        <f t="shared" si="10"/>
        <v>4495</v>
      </c>
      <c r="L297" s="4">
        <f t="shared" si="11"/>
        <v>16</v>
      </c>
      <c r="M297" s="4">
        <f t="shared" ref="M297:R297" si="33">SEARCH(",",$W297,L297+1)</f>
        <v>22</v>
      </c>
      <c r="N297" s="4">
        <f t="shared" si="33"/>
        <v>28</v>
      </c>
      <c r="O297" s="4">
        <f t="shared" si="33"/>
        <v>33</v>
      </c>
      <c r="P297" s="4">
        <f t="shared" si="33"/>
        <v>39</v>
      </c>
      <c r="Q297" s="4">
        <f t="shared" si="33"/>
        <v>45</v>
      </c>
      <c r="R297" s="4">
        <f t="shared" si="33"/>
        <v>51</v>
      </c>
      <c r="T297" t="s">
        <v>583</v>
      </c>
      <c r="U297">
        <f t="shared" si="13"/>
        <v>6</v>
      </c>
      <c r="V297" t="str">
        <f t="shared" si="14"/>
        <v xml:space="preserve"> 1251134 ** -320, -778, 4403, 324, 1316, 3170, 4743, 4495</v>
      </c>
      <c r="W297" t="str">
        <f t="shared" si="15"/>
        <v>1251134 ** -320, -778, 4403, 324, 1316, 3170, 4743, 4495</v>
      </c>
      <c r="X297">
        <f t="shared" si="16"/>
        <v>9</v>
      </c>
      <c r="Y297" t="str">
        <f t="shared" si="17"/>
        <v xml:space="preserve">1251134 </v>
      </c>
      <c r="AA297" t="str">
        <f t="shared" si="18"/>
        <v>1251134,-320,-778,4403,324,1316,3170,4743,4495</v>
      </c>
    </row>
    <row r="298" spans="1:27">
      <c r="A298" s="1">
        <f t="shared" si="0"/>
        <v>2852676</v>
      </c>
      <c r="B298" s="1">
        <f t="shared" si="1"/>
        <v>1141052.3999999999</v>
      </c>
      <c r="C298" s="3">
        <f t="shared" si="2"/>
        <v>0.16300748571428569</v>
      </c>
      <c r="D298" s="6">
        <f t="shared" si="3"/>
        <v>-320</v>
      </c>
      <c r="E298" s="6">
        <f t="shared" si="4"/>
        <v>-778</v>
      </c>
      <c r="F298" s="6">
        <f t="shared" si="5"/>
        <v>4403</v>
      </c>
      <c r="G298" s="6">
        <f t="shared" si="6"/>
        <v>324</v>
      </c>
      <c r="H298" s="6">
        <f t="shared" si="7"/>
        <v>1316</v>
      </c>
      <c r="I298" s="6">
        <f t="shared" si="8"/>
        <v>3170</v>
      </c>
      <c r="J298" s="6">
        <f t="shared" si="9"/>
        <v>4743</v>
      </c>
      <c r="K298" s="4">
        <f t="shared" si="10"/>
        <v>4495</v>
      </c>
      <c r="L298" s="4">
        <f t="shared" si="11"/>
        <v>16</v>
      </c>
      <c r="M298" s="4">
        <f t="shared" ref="M298:R298" si="34">SEARCH(",",$W298,L298+1)</f>
        <v>22</v>
      </c>
      <c r="N298" s="4">
        <f t="shared" si="34"/>
        <v>28</v>
      </c>
      <c r="O298" s="4">
        <f t="shared" si="34"/>
        <v>33</v>
      </c>
      <c r="P298" s="4">
        <f t="shared" si="34"/>
        <v>39</v>
      </c>
      <c r="Q298" s="4">
        <f t="shared" si="34"/>
        <v>45</v>
      </c>
      <c r="R298" s="4">
        <f t="shared" si="34"/>
        <v>51</v>
      </c>
      <c r="T298" t="s">
        <v>584</v>
      </c>
      <c r="U298">
        <f t="shared" si="13"/>
        <v>6</v>
      </c>
      <c r="V298" t="str">
        <f t="shared" si="14"/>
        <v xml:space="preserve"> 2852676 ** -320, -778, 4403, 324, 1316, 3170, 4743, 4495</v>
      </c>
      <c r="W298" t="str">
        <f t="shared" si="15"/>
        <v>2852676 ** -320, -778, 4403, 324, 1316, 3170, 4743, 4495</v>
      </c>
      <c r="X298">
        <f t="shared" si="16"/>
        <v>9</v>
      </c>
      <c r="Y298" t="str">
        <f t="shared" si="17"/>
        <v xml:space="preserve">2852676 </v>
      </c>
      <c r="AA298" t="str">
        <f t="shared" si="18"/>
        <v>2852676,-320,-778,4403,324,1316,3170,4743,4495</v>
      </c>
    </row>
    <row r="299" spans="1:27">
      <c r="A299" s="1">
        <f t="shared" si="0"/>
        <v>629157</v>
      </c>
      <c r="B299" s="1">
        <f t="shared" si="1"/>
        <v>251644.79999999999</v>
      </c>
      <c r="C299" s="3">
        <f t="shared" si="2"/>
        <v>3.5949257142857141E-2</v>
      </c>
      <c r="D299" s="6">
        <f t="shared" si="3"/>
        <v>-320</v>
      </c>
      <c r="E299" s="6">
        <f t="shared" si="4"/>
        <v>-778</v>
      </c>
      <c r="F299" s="6">
        <f t="shared" si="5"/>
        <v>4403</v>
      </c>
      <c r="G299" s="6">
        <f t="shared" si="6"/>
        <v>324</v>
      </c>
      <c r="H299" s="6">
        <f t="shared" si="7"/>
        <v>1316</v>
      </c>
      <c r="I299" s="6">
        <f t="shared" si="8"/>
        <v>3170</v>
      </c>
      <c r="J299" s="6">
        <f t="shared" si="9"/>
        <v>4743</v>
      </c>
      <c r="K299" s="4">
        <f t="shared" si="10"/>
        <v>4495</v>
      </c>
      <c r="L299" s="4">
        <f t="shared" si="11"/>
        <v>15</v>
      </c>
      <c r="M299" s="4">
        <f t="shared" ref="M299:R299" si="35">SEARCH(",",$W299,L299+1)</f>
        <v>21</v>
      </c>
      <c r="N299" s="4">
        <f t="shared" si="35"/>
        <v>27</v>
      </c>
      <c r="O299" s="4">
        <f t="shared" si="35"/>
        <v>32</v>
      </c>
      <c r="P299" s="4">
        <f t="shared" si="35"/>
        <v>38</v>
      </c>
      <c r="Q299" s="4">
        <f t="shared" si="35"/>
        <v>44</v>
      </c>
      <c r="R299" s="4">
        <f t="shared" si="35"/>
        <v>50</v>
      </c>
      <c r="T299" t="s">
        <v>585</v>
      </c>
      <c r="U299">
        <f t="shared" si="13"/>
        <v>6</v>
      </c>
      <c r="V299" t="str">
        <f t="shared" si="14"/>
        <v xml:space="preserve"> 629157 ** -320, -778, 4403, 324, 1316, 3170, 4743, 4495</v>
      </c>
      <c r="W299" t="str">
        <f t="shared" si="15"/>
        <v>629157 ** -320, -778, 4403, 324, 1316, 3170, 4743, 4495</v>
      </c>
      <c r="X299">
        <f t="shared" si="16"/>
        <v>8</v>
      </c>
      <c r="Y299" t="str">
        <f t="shared" si="17"/>
        <v xml:space="preserve">629157 </v>
      </c>
      <c r="AA299" t="str">
        <f t="shared" si="18"/>
        <v>629157,-320,-778,4403,324,1316,3170,4743,4495</v>
      </c>
    </row>
    <row r="300" spans="1:27">
      <c r="A300" s="1">
        <f t="shared" si="0"/>
        <v>904727</v>
      </c>
      <c r="B300" s="1">
        <f t="shared" si="1"/>
        <v>361872.8</v>
      </c>
      <c r="C300" s="3">
        <f t="shared" si="2"/>
        <v>5.1696114285714287E-2</v>
      </c>
      <c r="D300" s="6">
        <f t="shared" si="3"/>
        <v>-320</v>
      </c>
      <c r="E300" s="6">
        <f t="shared" si="4"/>
        <v>-778</v>
      </c>
      <c r="F300" s="6">
        <f t="shared" si="5"/>
        <v>4403</v>
      </c>
      <c r="G300" s="6">
        <f t="shared" si="6"/>
        <v>324</v>
      </c>
      <c r="H300" s="6">
        <f t="shared" si="7"/>
        <v>1316</v>
      </c>
      <c r="I300" s="6">
        <f t="shared" si="8"/>
        <v>3170</v>
      </c>
      <c r="J300" s="6">
        <f t="shared" si="9"/>
        <v>4743</v>
      </c>
      <c r="K300" s="4">
        <f t="shared" si="10"/>
        <v>4495</v>
      </c>
      <c r="L300" s="4">
        <f t="shared" si="11"/>
        <v>15</v>
      </c>
      <c r="M300" s="4">
        <f t="shared" ref="M300:R300" si="36">SEARCH(",",$W300,L300+1)</f>
        <v>21</v>
      </c>
      <c r="N300" s="4">
        <f t="shared" si="36"/>
        <v>27</v>
      </c>
      <c r="O300" s="4">
        <f t="shared" si="36"/>
        <v>32</v>
      </c>
      <c r="P300" s="4">
        <f t="shared" si="36"/>
        <v>38</v>
      </c>
      <c r="Q300" s="4">
        <f t="shared" si="36"/>
        <v>44</v>
      </c>
      <c r="R300" s="4">
        <f t="shared" si="36"/>
        <v>50</v>
      </c>
      <c r="T300" t="s">
        <v>586</v>
      </c>
      <c r="U300">
        <f t="shared" si="13"/>
        <v>6</v>
      </c>
      <c r="V300" t="str">
        <f t="shared" si="14"/>
        <v xml:space="preserve"> 904727 ** -320, -778, 4403, 324, 1316, 3170, 4743, 4495</v>
      </c>
      <c r="W300" t="str">
        <f t="shared" si="15"/>
        <v>904727 ** -320, -778, 4403, 324, 1316, 3170, 4743, 4495</v>
      </c>
      <c r="X300">
        <f t="shared" si="16"/>
        <v>8</v>
      </c>
      <c r="Y300" t="str">
        <f t="shared" si="17"/>
        <v xml:space="preserve">904727 </v>
      </c>
      <c r="AA300" t="str">
        <f t="shared" si="18"/>
        <v>904727,-320,-778,4403,324,1316,3170,4743,4495</v>
      </c>
    </row>
    <row r="301" spans="1:27">
      <c r="A301" s="1">
        <f t="shared" si="0"/>
        <v>173833</v>
      </c>
      <c r="B301" s="1">
        <f t="shared" si="1"/>
        <v>69515.199999999997</v>
      </c>
      <c r="C301" s="3">
        <f t="shared" si="2"/>
        <v>9.930742857142856E-3</v>
      </c>
      <c r="D301" s="6">
        <f t="shared" si="3"/>
        <v>-320</v>
      </c>
      <c r="E301" s="6">
        <f t="shared" si="4"/>
        <v>-778</v>
      </c>
      <c r="F301" s="6">
        <f t="shared" si="5"/>
        <v>4403</v>
      </c>
      <c r="G301" s="6">
        <f t="shared" si="6"/>
        <v>324</v>
      </c>
      <c r="H301" s="6">
        <f t="shared" si="7"/>
        <v>1316</v>
      </c>
      <c r="I301" s="6">
        <f t="shared" si="8"/>
        <v>3170</v>
      </c>
      <c r="J301" s="6">
        <f t="shared" si="9"/>
        <v>4743</v>
      </c>
      <c r="K301" s="4">
        <f t="shared" si="10"/>
        <v>4495</v>
      </c>
      <c r="L301" s="4">
        <f t="shared" si="11"/>
        <v>15</v>
      </c>
      <c r="M301" s="4">
        <f t="shared" ref="M301:R301" si="37">SEARCH(",",$W301,L301+1)</f>
        <v>21</v>
      </c>
      <c r="N301" s="4">
        <f t="shared" si="37"/>
        <v>27</v>
      </c>
      <c r="O301" s="4">
        <f t="shared" si="37"/>
        <v>32</v>
      </c>
      <c r="P301" s="4">
        <f t="shared" si="37"/>
        <v>38</v>
      </c>
      <c r="Q301" s="4">
        <f t="shared" si="37"/>
        <v>44</v>
      </c>
      <c r="R301" s="4">
        <f t="shared" si="37"/>
        <v>50</v>
      </c>
      <c r="T301" t="s">
        <v>587</v>
      </c>
      <c r="U301">
        <f t="shared" si="13"/>
        <v>6</v>
      </c>
      <c r="V301" t="str">
        <f t="shared" si="14"/>
        <v xml:space="preserve"> 173833 ** -320, -778, 4403, 324, 1316, 3170, 4743, 4495</v>
      </c>
      <c r="W301" t="str">
        <f t="shared" si="15"/>
        <v>173833 ** -320, -778, 4403, 324, 1316, 3170, 4743, 4495</v>
      </c>
      <c r="X301">
        <f t="shared" si="16"/>
        <v>8</v>
      </c>
      <c r="Y301" t="str">
        <f t="shared" si="17"/>
        <v xml:space="preserve">173833 </v>
      </c>
      <c r="AA301" t="str">
        <f t="shared" si="18"/>
        <v>173833,-320,-778,4403,324,1316,3170,4743,4495</v>
      </c>
    </row>
  </sheetData>
  <sortState ref="A2:AB301">
    <sortCondition descending="1" ref="A2:A301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01"/>
  <sheetViews>
    <sheetView workbookViewId="0">
      <selection activeCell="A2" sqref="A2"/>
    </sheetView>
  </sheetViews>
  <sheetFormatPr defaultRowHeight="15"/>
  <cols>
    <col min="1" max="1" width="13.28515625" style="1" bestFit="1" customWidth="1"/>
    <col min="2" max="2" width="24.42578125" style="1" bestFit="1" customWidth="1"/>
    <col min="3" max="3" width="25.85546875" style="3" bestFit="1" customWidth="1"/>
    <col min="4" max="4" width="4.42578125" style="5" bestFit="1" customWidth="1"/>
    <col min="5" max="10" width="5.85546875" style="1" bestFit="1" customWidth="1"/>
    <col min="11" max="11" width="7" style="1" bestFit="1" customWidth="1"/>
    <col min="12" max="18" width="4.42578125" style="4" hidden="1" customWidth="1"/>
    <col min="19" max="19" width="4.42578125" style="4" customWidth="1"/>
    <col min="20" max="20" width="39.140625" bestFit="1" customWidth="1"/>
    <col min="21" max="21" width="2" hidden="1" customWidth="1"/>
    <col min="22" max="22" width="35.7109375" hidden="1" customWidth="1"/>
    <col min="23" max="23" width="33" hidden="1" customWidth="1"/>
    <col min="24" max="24" width="2" hidden="1" customWidth="1"/>
    <col min="25" max="25" width="10.7109375" hidden="1" customWidth="1"/>
    <col min="27" max="27" width="10.7109375" bestFit="1" customWidth="1"/>
  </cols>
  <sheetData>
    <row r="1" spans="1:27" s="11" customFormat="1" ht="18" thickBot="1">
      <c r="A1" s="7" t="s">
        <v>262</v>
      </c>
      <c r="B1" s="7" t="s">
        <v>263</v>
      </c>
      <c r="C1" s="8" t="s">
        <v>264</v>
      </c>
      <c r="D1" s="9" t="s">
        <v>265</v>
      </c>
      <c r="E1" s="7" t="s">
        <v>266</v>
      </c>
      <c r="F1" s="7" t="s">
        <v>267</v>
      </c>
      <c r="G1" s="7" t="s">
        <v>268</v>
      </c>
      <c r="H1" s="7" t="s">
        <v>269</v>
      </c>
      <c r="I1" s="7" t="s">
        <v>270</v>
      </c>
      <c r="J1" s="7" t="s">
        <v>271</v>
      </c>
      <c r="K1" s="7" t="s">
        <v>272</v>
      </c>
      <c r="L1" s="10" t="s">
        <v>279</v>
      </c>
      <c r="M1" s="10" t="s">
        <v>280</v>
      </c>
      <c r="N1" s="10" t="s">
        <v>281</v>
      </c>
      <c r="O1" s="10" t="s">
        <v>282</v>
      </c>
      <c r="P1" s="10" t="s">
        <v>283</v>
      </c>
      <c r="Q1" s="10" t="s">
        <v>284</v>
      </c>
      <c r="R1" s="10" t="s">
        <v>285</v>
      </c>
      <c r="S1" s="10"/>
      <c r="T1" s="7" t="s">
        <v>278</v>
      </c>
      <c r="U1" s="7" t="s">
        <v>273</v>
      </c>
      <c r="V1" s="7" t="s">
        <v>277</v>
      </c>
      <c r="W1" s="11" t="s">
        <v>276</v>
      </c>
      <c r="X1" s="11" t="s">
        <v>274</v>
      </c>
      <c r="Y1" s="11" t="s">
        <v>275</v>
      </c>
    </row>
    <row r="2" spans="1:27" ht="15.75" thickTop="1">
      <c r="A2" s="1">
        <f>IF(ISBLANK(T2),"",VALUE(Y2))</f>
        <v>3969487</v>
      </c>
      <c r="B2" s="1">
        <f>A2*4/10 -18</f>
        <v>1587776.8</v>
      </c>
      <c r="C2" s="3">
        <f>B2/7000000</f>
        <v>0.22682525714285715</v>
      </c>
      <c r="D2" s="6">
        <f>VALUE(MID(W2,$X2+2,L2-(X2+2)))</f>
        <v>-320</v>
      </c>
      <c r="E2" s="6">
        <f>VALUE(MID($W2,L2+1,M2-(L2+1)))</f>
        <v>-776</v>
      </c>
      <c r="F2" s="6">
        <f>VALUE(MID($W2,M2+1,N2-(M2+1)))</f>
        <v>4408</v>
      </c>
      <c r="G2" s="6">
        <f>VALUE(MID($W2,N2+1,O2-(N2+1)))</f>
        <v>323</v>
      </c>
      <c r="H2" s="6">
        <f>VALUE(MID($W2,O2+1,P2-(O2+1)))</f>
        <v>1315</v>
      </c>
      <c r="I2" s="6">
        <f>VALUE(MID($W2,P2+1,Q2-(P2+1)))</f>
        <v>3175</v>
      </c>
      <c r="J2" s="6">
        <f>VALUE(MID($W2,Q2+1,R2-(Q2+1)))</f>
        <v>4745</v>
      </c>
      <c r="K2" s="4">
        <f>VALUE(MID(W2,R2+1,LEN(W2)-(R2)))</f>
        <v>4493</v>
      </c>
      <c r="L2" s="4">
        <f>SEARCH(",",W2,X2)</f>
        <v>16</v>
      </c>
      <c r="M2" s="4">
        <f>SEARCH(",",$W2,L2+1)</f>
        <v>22</v>
      </c>
      <c r="N2" s="4">
        <f>SEARCH(",",$W2,M2+1)</f>
        <v>28</v>
      </c>
      <c r="O2" s="4">
        <f>SEARCH(",",$W2,N2+1)</f>
        <v>33</v>
      </c>
      <c r="P2" s="4">
        <f>SEARCH(",",$W2,O2+1)</f>
        <v>39</v>
      </c>
      <c r="Q2" s="4">
        <f>SEARCH(",",$W2,P2+1)</f>
        <v>45</v>
      </c>
      <c r="R2" s="4">
        <f>SEARCH(",",$W2,Q2+1)</f>
        <v>51</v>
      </c>
      <c r="T2" t="s">
        <v>780</v>
      </c>
      <c r="U2">
        <f>SEARCH(":",T2)</f>
        <v>6</v>
      </c>
      <c r="V2" t="str">
        <f>MID(T2,U2+1,LEN(T2)-(U2))</f>
        <v xml:space="preserve"> 3969487 ** -320, -776, 4408, 323, 1315, 3175, 4745, 4493</v>
      </c>
      <c r="W2" t="str">
        <f>TRIM(V2)</f>
        <v>3969487 ** -320, -776, 4408, 323, 1315, 3175, 4745, 4493</v>
      </c>
      <c r="X2">
        <f>SEARCH("~*",W2)</f>
        <v>9</v>
      </c>
      <c r="Y2" t="str">
        <f>LEFT(W2,X2-1)</f>
        <v xml:space="preserve">3969487 </v>
      </c>
      <c r="AA2" t="str">
        <f>CONCATENATE(A2,",",D2,",",E2,",",F2,",",G2,",",H2,",",I2,",",J2,",",K2)</f>
        <v>3969487,-320,-776,4408,323,1315,3175,4745,4493</v>
      </c>
    </row>
    <row r="3" spans="1:27">
      <c r="A3" s="1">
        <f>IF(ISBLANK(T3),"",VALUE(Y3))</f>
        <v>3511977</v>
      </c>
      <c r="B3" s="1">
        <f>A3*4/10 -18</f>
        <v>1404772.8</v>
      </c>
      <c r="C3" s="3">
        <f>B3/7000000</f>
        <v>0.20068182857142858</v>
      </c>
      <c r="D3" s="6">
        <f>VALUE(MID(W3,$X3+2,L3-(X3+2)))</f>
        <v>-322</v>
      </c>
      <c r="E3" s="6">
        <f>VALUE(MID($W3,L3+1,M3-(L3+1)))</f>
        <v>-781</v>
      </c>
      <c r="F3" s="6">
        <f>VALUE(MID($W3,M3+1,N3-(M3+1)))</f>
        <v>4404</v>
      </c>
      <c r="G3" s="6">
        <f>VALUE(MID($W3,N3+1,O3-(N3+1)))</f>
        <v>320</v>
      </c>
      <c r="H3" s="6">
        <f>VALUE(MID($W3,O3+1,P3-(O3+1)))</f>
        <v>1318</v>
      </c>
      <c r="I3" s="6">
        <f>VALUE(MID($W3,P3+1,Q3-(P3+1)))</f>
        <v>3172</v>
      </c>
      <c r="J3" s="6">
        <f>VALUE(MID($W3,Q3+1,R3-(Q3+1)))</f>
        <v>4742</v>
      </c>
      <c r="K3" s="4">
        <f>VALUE(MID(W3,R3+1,LEN(W3)-(R3)))</f>
        <v>4495</v>
      </c>
      <c r="L3" s="4">
        <f>SEARCH(",",W3,X3)</f>
        <v>16</v>
      </c>
      <c r="M3" s="4">
        <f>SEARCH(",",$W3,L3+1)</f>
        <v>22</v>
      </c>
      <c r="N3" s="4">
        <f>SEARCH(",",$W3,M3+1)</f>
        <v>28</v>
      </c>
      <c r="O3" s="4">
        <f>SEARCH(",",$W3,N3+1)</f>
        <v>33</v>
      </c>
      <c r="P3" s="4">
        <f>SEARCH(",",$W3,O3+1)</f>
        <v>39</v>
      </c>
      <c r="Q3" s="4">
        <f>SEARCH(",",$W3,P3+1)</f>
        <v>45</v>
      </c>
      <c r="R3" s="4">
        <f>SEARCH(",",$W3,Q3+1)</f>
        <v>51</v>
      </c>
      <c r="T3" t="s">
        <v>653</v>
      </c>
      <c r="U3">
        <f>SEARCH(":",T3)</f>
        <v>6</v>
      </c>
      <c r="V3" t="str">
        <f>MID(T3,U3+1,LEN(T3)-(U3))</f>
        <v xml:space="preserve"> 3511977 ** -322, -781, 4404, 320, 1318, 3172, 4742, 4495</v>
      </c>
      <c r="W3" t="str">
        <f>TRIM(V3)</f>
        <v>3511977 ** -322, -781, 4404, 320, 1318, 3172, 4742, 4495</v>
      </c>
      <c r="X3">
        <f>SEARCH("~*",W3)</f>
        <v>9</v>
      </c>
      <c r="Y3" t="str">
        <f>LEFT(W3,X3-1)</f>
        <v xml:space="preserve">3511977 </v>
      </c>
      <c r="AA3" t="str">
        <f>CONCATENATE(A3,",",D3,",",E3,",",F3,",",G3,",",H3,",",I3,",",J3,",",K3)</f>
        <v>3511977,-322,-781,4404,320,1318,3172,4742,4495</v>
      </c>
    </row>
    <row r="4" spans="1:27">
      <c r="A4" s="1">
        <f>IF(ISBLANK(T4),"",VALUE(Y4))</f>
        <v>3234763</v>
      </c>
      <c r="B4" s="1">
        <f>A4*4/10 -18</f>
        <v>1293887.2</v>
      </c>
      <c r="C4" s="3">
        <f>B4/7000000</f>
        <v>0.18484102857142856</v>
      </c>
      <c r="D4" s="6">
        <f>VALUE(MID(W4,$X4+2,L4-(X4+2)))</f>
        <v>-316</v>
      </c>
      <c r="E4" s="6">
        <f>VALUE(MID($W4,L4+1,M4-(L4+1)))</f>
        <v>-778</v>
      </c>
      <c r="F4" s="6">
        <f>VALUE(MID($W4,M4+1,N4-(M4+1)))</f>
        <v>4405</v>
      </c>
      <c r="G4" s="6">
        <f>VALUE(MID($W4,N4+1,O4-(N4+1)))</f>
        <v>324</v>
      </c>
      <c r="H4" s="6">
        <f>VALUE(MID($W4,O4+1,P4-(O4+1)))</f>
        <v>1313</v>
      </c>
      <c r="I4" s="6">
        <f>VALUE(MID($W4,P4+1,Q4-(P4+1)))</f>
        <v>3171</v>
      </c>
      <c r="J4" s="6">
        <f>VALUE(MID($W4,Q4+1,R4-(Q4+1)))</f>
        <v>4748</v>
      </c>
      <c r="K4" s="4">
        <f>VALUE(MID(W4,R4+1,LEN(W4)-(R4)))</f>
        <v>4495</v>
      </c>
      <c r="L4" s="4">
        <f>SEARCH(",",W4,X4)</f>
        <v>16</v>
      </c>
      <c r="M4" s="4">
        <f>SEARCH(",",$W4,L4+1)</f>
        <v>22</v>
      </c>
      <c r="N4" s="4">
        <f>SEARCH(",",$W4,M4+1)</f>
        <v>28</v>
      </c>
      <c r="O4" s="4">
        <f>SEARCH(",",$W4,N4+1)</f>
        <v>33</v>
      </c>
      <c r="P4" s="4">
        <f>SEARCH(",",$W4,O4+1)</f>
        <v>39</v>
      </c>
      <c r="Q4" s="4">
        <f>SEARCH(",",$W4,P4+1)</f>
        <v>45</v>
      </c>
      <c r="R4" s="4">
        <f>SEARCH(",",$W4,Q4+1)</f>
        <v>51</v>
      </c>
      <c r="T4" t="s">
        <v>844</v>
      </c>
      <c r="U4">
        <f>SEARCH(":",T4)</f>
        <v>6</v>
      </c>
      <c r="V4" t="str">
        <f>MID(T4,U4+1,LEN(T4)-(U4))</f>
        <v xml:space="preserve"> 3234763 ** -316, -778, 4405, 324, 1313, 3171, 4748, 4495</v>
      </c>
      <c r="W4" t="str">
        <f>TRIM(V4)</f>
        <v>3234763 ** -316, -778, 4405, 324, 1313, 3171, 4748, 4495</v>
      </c>
      <c r="X4">
        <f>SEARCH("~*",W4)</f>
        <v>9</v>
      </c>
      <c r="Y4" t="str">
        <f>LEFT(W4,X4-1)</f>
        <v xml:space="preserve">3234763 </v>
      </c>
      <c r="AA4" t="str">
        <f>CONCATENATE(A4,",",D4,",",E4,",",F4,",",G4,",",H4,",",I4,",",J4,",",K4)</f>
        <v>3234763,-316,-778,4405,324,1313,3171,4748,4495</v>
      </c>
    </row>
    <row r="5" spans="1:27">
      <c r="A5" s="1">
        <f>IF(ISBLANK(T5),"",VALUE(Y5))</f>
        <v>3137540</v>
      </c>
      <c r="B5" s="1">
        <f>A5*4/10 -18</f>
        <v>1254998</v>
      </c>
      <c r="C5" s="3">
        <f>B5/7000000</f>
        <v>0.17928542857142857</v>
      </c>
      <c r="D5" s="6">
        <f>VALUE(MID(W5,$X5+2,L5-(X5+2)))</f>
        <v>-323</v>
      </c>
      <c r="E5" s="6">
        <f>VALUE(MID($W5,L5+1,M5-(L5+1)))</f>
        <v>-782</v>
      </c>
      <c r="F5" s="6">
        <f>VALUE(MID($W5,M5+1,N5-(M5+1)))</f>
        <v>4401</v>
      </c>
      <c r="G5" s="6">
        <f>VALUE(MID($W5,N5+1,O5-(N5+1)))</f>
        <v>329</v>
      </c>
      <c r="H5" s="6">
        <f>VALUE(MID($W5,O5+1,P5-(O5+1)))</f>
        <v>1316</v>
      </c>
      <c r="I5" s="6">
        <f>VALUE(MID($W5,P5+1,Q5-(P5+1)))</f>
        <v>3170</v>
      </c>
      <c r="J5" s="6">
        <f>VALUE(MID($W5,Q5+1,R5-(Q5+1)))</f>
        <v>4743</v>
      </c>
      <c r="K5" s="4">
        <f>VALUE(MID(W5,R5+1,LEN(W5)-(R5)))</f>
        <v>4492</v>
      </c>
      <c r="L5" s="4">
        <f>SEARCH(",",W5,X5)</f>
        <v>16</v>
      </c>
      <c r="M5" s="4">
        <f>SEARCH(",",$W5,L5+1)</f>
        <v>22</v>
      </c>
      <c r="N5" s="4">
        <f>SEARCH(",",$W5,M5+1)</f>
        <v>28</v>
      </c>
      <c r="O5" s="4">
        <f>SEARCH(",",$W5,N5+1)</f>
        <v>33</v>
      </c>
      <c r="P5" s="4">
        <f>SEARCH(",",$W5,O5+1)</f>
        <v>39</v>
      </c>
      <c r="Q5" s="4">
        <f>SEARCH(",",$W5,P5+1)</f>
        <v>45</v>
      </c>
      <c r="R5" s="4">
        <f>SEARCH(",",$W5,Q5+1)</f>
        <v>51</v>
      </c>
      <c r="T5" t="s">
        <v>619</v>
      </c>
      <c r="U5">
        <f>SEARCH(":",T5)</f>
        <v>6</v>
      </c>
      <c r="V5" t="str">
        <f>MID(T5,U5+1,LEN(T5)-(U5))</f>
        <v xml:space="preserve"> 3137540 ** -323, -782, 4401, 329, 1316, 3170, 4743, 4492</v>
      </c>
      <c r="W5" t="str">
        <f>TRIM(V5)</f>
        <v>3137540 ** -323, -782, 4401, 329, 1316, 3170, 4743, 4492</v>
      </c>
      <c r="X5">
        <f>SEARCH("~*",W5)</f>
        <v>9</v>
      </c>
      <c r="Y5" t="str">
        <f>LEFT(W5,X5-1)</f>
        <v xml:space="preserve">3137540 </v>
      </c>
      <c r="AA5" t="str">
        <f>CONCATENATE(A5,",",D5,",",E5,",",F5,",",G5,",",H5,",",I5,",",J5,",",K5)</f>
        <v>3137540,-323,-782,4401,329,1316,3170,4743,4492</v>
      </c>
    </row>
    <row r="6" spans="1:27">
      <c r="A6" s="1">
        <f>IF(ISBLANK(T6),"",VALUE(Y6))</f>
        <v>2758913</v>
      </c>
      <c r="B6" s="1">
        <f>A6*4/10 -18</f>
        <v>1103547.2</v>
      </c>
      <c r="C6" s="3">
        <f>B6/7000000</f>
        <v>0.1576496</v>
      </c>
      <c r="D6" s="6">
        <f>VALUE(MID(W6,$X6+2,L6-(X6+2)))</f>
        <v>-320</v>
      </c>
      <c r="E6" s="6">
        <f>VALUE(MID($W6,L6+1,M6-(L6+1)))</f>
        <v>-773</v>
      </c>
      <c r="F6" s="6">
        <f>VALUE(MID($W6,M6+1,N6-(M6+1)))</f>
        <v>4407</v>
      </c>
      <c r="G6" s="6">
        <f>VALUE(MID($W6,N6+1,O6-(N6+1)))</f>
        <v>327</v>
      </c>
      <c r="H6" s="6">
        <f>VALUE(MID($W6,O6+1,P6-(O6+1)))</f>
        <v>1316</v>
      </c>
      <c r="I6" s="6">
        <f>VALUE(MID($W6,P6+1,Q6-(P6+1)))</f>
        <v>3168</v>
      </c>
      <c r="J6" s="6">
        <f>VALUE(MID($W6,Q6+1,R6-(Q6+1)))</f>
        <v>4741</v>
      </c>
      <c r="K6" s="4">
        <f>VALUE(MID(W6,R6+1,LEN(W6)-(R6)))</f>
        <v>4500</v>
      </c>
      <c r="L6" s="4">
        <f>SEARCH(",",W6,X6)</f>
        <v>16</v>
      </c>
      <c r="M6" s="4">
        <f>SEARCH(",",$W6,L6+1)</f>
        <v>22</v>
      </c>
      <c r="N6" s="4">
        <f>SEARCH(",",$W6,M6+1)</f>
        <v>28</v>
      </c>
      <c r="O6" s="4">
        <f>SEARCH(",",$W6,N6+1)</f>
        <v>33</v>
      </c>
      <c r="P6" s="4">
        <f>SEARCH(",",$W6,O6+1)</f>
        <v>39</v>
      </c>
      <c r="Q6" s="4">
        <f>SEARCH(",",$W6,P6+1)</f>
        <v>45</v>
      </c>
      <c r="R6" s="4">
        <f>SEARCH(",",$W6,Q6+1)</f>
        <v>51</v>
      </c>
      <c r="T6" t="s">
        <v>742</v>
      </c>
      <c r="U6">
        <f>SEARCH(":",T6)</f>
        <v>6</v>
      </c>
      <c r="V6" t="str">
        <f>MID(T6,U6+1,LEN(T6)-(U6))</f>
        <v xml:space="preserve"> 2758913 ** -320, -773, 4407, 327, 1316, 3168, 4741, 4500</v>
      </c>
      <c r="W6" t="str">
        <f>TRIM(V6)</f>
        <v>2758913 ** -320, -773, 4407, 327, 1316, 3168, 4741, 4500</v>
      </c>
      <c r="X6">
        <f>SEARCH("~*",W6)</f>
        <v>9</v>
      </c>
      <c r="Y6" t="str">
        <f>LEFT(W6,X6-1)</f>
        <v xml:space="preserve">2758913 </v>
      </c>
      <c r="AA6" t="str">
        <f>CONCATENATE(A6,",",D6,",",E6,",",F6,",",G6,",",H6,",",I6,",",J6,",",K6)</f>
        <v>2758913,-320,-773,4407,327,1316,3168,4741,4500</v>
      </c>
    </row>
    <row r="7" spans="1:27">
      <c r="A7" s="1">
        <f>IF(ISBLANK(T7),"",VALUE(Y7))</f>
        <v>2732658</v>
      </c>
      <c r="B7" s="1">
        <f>A7*4/10 -18</f>
        <v>1093045.2</v>
      </c>
      <c r="C7" s="3">
        <f>B7/7000000</f>
        <v>0.15614931428571427</v>
      </c>
      <c r="D7" s="6">
        <f>VALUE(MID(W7,$X7+2,L7-(X7+2)))</f>
        <v>-317</v>
      </c>
      <c r="E7" s="6">
        <f>VALUE(MID($W7,L7+1,M7-(L7+1)))</f>
        <v>-777</v>
      </c>
      <c r="F7" s="6">
        <f>VALUE(MID($W7,M7+1,N7-(M7+1)))</f>
        <v>4402</v>
      </c>
      <c r="G7" s="6">
        <f>VALUE(MID($W7,N7+1,O7-(N7+1)))</f>
        <v>326</v>
      </c>
      <c r="H7" s="6">
        <f>VALUE(MID($W7,O7+1,P7-(O7+1)))</f>
        <v>1314</v>
      </c>
      <c r="I7" s="6">
        <f>VALUE(MID($W7,P7+1,Q7-(P7+1)))</f>
        <v>3174</v>
      </c>
      <c r="J7" s="6">
        <f>VALUE(MID($W7,Q7+1,R7-(Q7+1)))</f>
        <v>4739</v>
      </c>
      <c r="K7" s="4">
        <f>VALUE(MID(W7,R7+1,LEN(W7)-(R7)))</f>
        <v>4493</v>
      </c>
      <c r="L7" s="4">
        <f>SEARCH(",",W7,X7)</f>
        <v>16</v>
      </c>
      <c r="M7" s="4">
        <f>SEARCH(",",$W7,L7+1)</f>
        <v>22</v>
      </c>
      <c r="N7" s="4">
        <f>SEARCH(",",$W7,M7+1)</f>
        <v>28</v>
      </c>
      <c r="O7" s="4">
        <f>SEARCH(",",$W7,N7+1)</f>
        <v>33</v>
      </c>
      <c r="P7" s="4">
        <f>SEARCH(",",$W7,O7+1)</f>
        <v>39</v>
      </c>
      <c r="Q7" s="4">
        <f>SEARCH(",",$W7,P7+1)</f>
        <v>45</v>
      </c>
      <c r="R7" s="4">
        <f>SEARCH(",",$W7,Q7+1)</f>
        <v>51</v>
      </c>
      <c r="T7" t="s">
        <v>626</v>
      </c>
      <c r="U7">
        <f>SEARCH(":",T7)</f>
        <v>6</v>
      </c>
      <c r="V7" t="str">
        <f>MID(T7,U7+1,LEN(T7)-(U7))</f>
        <v xml:space="preserve"> 2732658 ** -317, -777, 4402, 326, 1314, 3174, 4739, 4493</v>
      </c>
      <c r="W7" t="str">
        <f>TRIM(V7)</f>
        <v>2732658 ** -317, -777, 4402, 326, 1314, 3174, 4739, 4493</v>
      </c>
      <c r="X7">
        <f>SEARCH("~*",W7)</f>
        <v>9</v>
      </c>
      <c r="Y7" t="str">
        <f>LEFT(W7,X7-1)</f>
        <v xml:space="preserve">2732658 </v>
      </c>
      <c r="AA7" t="str">
        <f>CONCATENATE(A7,",",D7,",",E7,",",F7,",",G7,",",H7,",",I7,",",J7,",",K7)</f>
        <v>2732658,-317,-777,4402,326,1314,3174,4739,4493</v>
      </c>
    </row>
    <row r="8" spans="1:27">
      <c r="A8" s="1">
        <f>IF(ISBLANK(T8),"",VALUE(Y8))</f>
        <v>2666002</v>
      </c>
      <c r="B8" s="1">
        <f>A8*4/10 -18</f>
        <v>1066382.8</v>
      </c>
      <c r="C8" s="3">
        <f>B8/7000000</f>
        <v>0.15234040000000001</v>
      </c>
      <c r="D8" s="6">
        <f>VALUE(MID(W8,$X8+2,L8-(X8+2)))</f>
        <v>-324</v>
      </c>
      <c r="E8" s="6">
        <f>VALUE(MID($W8,L8+1,M8-(L8+1)))</f>
        <v>-773</v>
      </c>
      <c r="F8" s="6">
        <f>VALUE(MID($W8,M8+1,N8-(M8+1)))</f>
        <v>4399</v>
      </c>
      <c r="G8" s="6">
        <f>VALUE(MID($W8,N8+1,O8-(N8+1)))</f>
        <v>326</v>
      </c>
      <c r="H8" s="6">
        <f>VALUE(MID($W8,O8+1,P8-(O8+1)))</f>
        <v>1316</v>
      </c>
      <c r="I8" s="6">
        <f>VALUE(MID($W8,P8+1,Q8-(P8+1)))</f>
        <v>3170</v>
      </c>
      <c r="J8" s="6">
        <f>VALUE(MID($W8,Q8+1,R8-(Q8+1)))</f>
        <v>4742</v>
      </c>
      <c r="K8" s="4">
        <f>VALUE(MID(W8,R8+1,LEN(W8)-(R8)))</f>
        <v>4500</v>
      </c>
      <c r="L8" s="4">
        <f>SEARCH(",",W8,X8)</f>
        <v>16</v>
      </c>
      <c r="M8" s="4">
        <f>SEARCH(",",$W8,L8+1)</f>
        <v>22</v>
      </c>
      <c r="N8" s="4">
        <f>SEARCH(",",$W8,M8+1)</f>
        <v>28</v>
      </c>
      <c r="O8" s="4">
        <f>SEARCH(",",$W8,N8+1)</f>
        <v>33</v>
      </c>
      <c r="P8" s="4">
        <f>SEARCH(",",$W8,O8+1)</f>
        <v>39</v>
      </c>
      <c r="Q8" s="4">
        <f>SEARCH(",",$W8,P8+1)</f>
        <v>45</v>
      </c>
      <c r="R8" s="4">
        <f>SEARCH(",",$W8,Q8+1)</f>
        <v>51</v>
      </c>
      <c r="T8" t="s">
        <v>830</v>
      </c>
      <c r="U8">
        <f>SEARCH(":",T8)</f>
        <v>6</v>
      </c>
      <c r="V8" t="str">
        <f>MID(T8,U8+1,LEN(T8)-(U8))</f>
        <v xml:space="preserve"> 2666002 ** -324, -773, 4399, 326, 1316, 3170, 4742, 4500</v>
      </c>
      <c r="W8" t="str">
        <f>TRIM(V8)</f>
        <v>2666002 ** -324, -773, 4399, 326, 1316, 3170, 4742, 4500</v>
      </c>
      <c r="X8">
        <f>SEARCH("~*",W8)</f>
        <v>9</v>
      </c>
      <c r="Y8" t="str">
        <f>LEFT(W8,X8-1)</f>
        <v xml:space="preserve">2666002 </v>
      </c>
      <c r="AA8" t="str">
        <f>CONCATENATE(A8,",",D8,",",E8,",",F8,",",G8,",",H8,",",I8,",",J8,",",K8)</f>
        <v>2666002,-324,-773,4399,326,1316,3170,4742,4500</v>
      </c>
    </row>
    <row r="9" spans="1:27">
      <c r="A9" s="1">
        <f>IF(ISBLANK(T9),"",VALUE(Y9))</f>
        <v>2662206</v>
      </c>
      <c r="B9" s="1">
        <f>A9*4/10 -18</f>
        <v>1064864.3999999999</v>
      </c>
      <c r="C9" s="3">
        <f>B9/7000000</f>
        <v>0.15212348571428569</v>
      </c>
      <c r="D9" s="6">
        <f>VALUE(MID(W9,$X9+2,L9-(X9+2)))</f>
        <v>-315</v>
      </c>
      <c r="E9" s="6">
        <f>VALUE(MID($W9,L9+1,M9-(L9+1)))</f>
        <v>-778</v>
      </c>
      <c r="F9" s="6">
        <f>VALUE(MID($W9,M9+1,N9-(M9+1)))</f>
        <v>4408</v>
      </c>
      <c r="G9" s="6">
        <f>VALUE(MID($W9,N9+1,O9-(N9+1)))</f>
        <v>323</v>
      </c>
      <c r="H9" s="6">
        <f>VALUE(MID($W9,O9+1,P9-(O9+1)))</f>
        <v>1316</v>
      </c>
      <c r="I9" s="6">
        <f>VALUE(MID($W9,P9+1,Q9-(P9+1)))</f>
        <v>3170</v>
      </c>
      <c r="J9" s="6">
        <f>VALUE(MID($W9,Q9+1,R9-(Q9+1)))</f>
        <v>4740</v>
      </c>
      <c r="K9" s="4">
        <f>VALUE(MID(W9,R9+1,LEN(W9)-(R9)))</f>
        <v>4494</v>
      </c>
      <c r="L9" s="4">
        <f>SEARCH(",",W9,X9)</f>
        <v>16</v>
      </c>
      <c r="M9" s="4">
        <f>SEARCH(",",$W9,L9+1)</f>
        <v>22</v>
      </c>
      <c r="N9" s="4">
        <f>SEARCH(",",$W9,M9+1)</f>
        <v>28</v>
      </c>
      <c r="O9" s="4">
        <f>SEARCH(",",$W9,N9+1)</f>
        <v>33</v>
      </c>
      <c r="P9" s="4">
        <f>SEARCH(",",$W9,O9+1)</f>
        <v>39</v>
      </c>
      <c r="Q9" s="4">
        <f>SEARCH(",",$W9,P9+1)</f>
        <v>45</v>
      </c>
      <c r="R9" s="4">
        <f>SEARCH(",",$W9,Q9+1)</f>
        <v>51</v>
      </c>
      <c r="T9" t="s">
        <v>766</v>
      </c>
      <c r="U9">
        <f>SEARCH(":",T9)</f>
        <v>6</v>
      </c>
      <c r="V9" t="str">
        <f>MID(T9,U9+1,LEN(T9)-(U9))</f>
        <v xml:space="preserve"> 2662206 ** -315, -778, 4408, 323, 1316, 3170, 4740, 4494</v>
      </c>
      <c r="W9" t="str">
        <f>TRIM(V9)</f>
        <v>2662206 ** -315, -778, 4408, 323, 1316, 3170, 4740, 4494</v>
      </c>
      <c r="X9">
        <f>SEARCH("~*",W9)</f>
        <v>9</v>
      </c>
      <c r="Y9" t="str">
        <f>LEFT(W9,X9-1)</f>
        <v xml:space="preserve">2662206 </v>
      </c>
      <c r="AA9" t="str">
        <f>CONCATENATE(A9,",",D9,",",E9,",",F9,",",G9,",",H9,",",I9,",",J9,",",K9)</f>
        <v>2662206,-315,-778,4408,323,1316,3170,4740,4494</v>
      </c>
    </row>
    <row r="10" spans="1:27">
      <c r="A10" s="1">
        <f>IF(ISBLANK(T10),"",VALUE(Y10))</f>
        <v>2540729</v>
      </c>
      <c r="B10" s="1">
        <f>A10*4/10 -18</f>
        <v>1016273.6</v>
      </c>
      <c r="C10" s="3">
        <f>B10/7000000</f>
        <v>0.14518194285714286</v>
      </c>
      <c r="D10" s="6">
        <f>VALUE(MID(W10,$X10+2,L10-(X10+2)))</f>
        <v>-318</v>
      </c>
      <c r="E10" s="6">
        <f>VALUE(MID($W10,L10+1,M10-(L10+1)))</f>
        <v>-778</v>
      </c>
      <c r="F10" s="6">
        <f>VALUE(MID($W10,M10+1,N10-(M10+1)))</f>
        <v>4401</v>
      </c>
      <c r="G10" s="6">
        <f>VALUE(MID($W10,N10+1,O10-(N10+1)))</f>
        <v>326</v>
      </c>
      <c r="H10" s="6">
        <f>VALUE(MID($W10,O10+1,P10-(O10+1)))</f>
        <v>1312</v>
      </c>
      <c r="I10" s="6">
        <f>VALUE(MID($W10,P10+1,Q10-(P10+1)))</f>
        <v>3167</v>
      </c>
      <c r="J10" s="6">
        <f>VALUE(MID($W10,Q10+1,R10-(Q10+1)))</f>
        <v>4743</v>
      </c>
      <c r="K10" s="4">
        <f>VALUE(MID(W10,R10+1,LEN(W10)-(R10)))</f>
        <v>4495</v>
      </c>
      <c r="L10" s="4">
        <f>SEARCH(",",W10,X10)</f>
        <v>16</v>
      </c>
      <c r="M10" s="4">
        <f>SEARCH(",",$W10,L10+1)</f>
        <v>22</v>
      </c>
      <c r="N10" s="4">
        <f>SEARCH(",",$W10,M10+1)</f>
        <v>28</v>
      </c>
      <c r="O10" s="4">
        <f>SEARCH(",",$W10,N10+1)</f>
        <v>33</v>
      </c>
      <c r="P10" s="4">
        <f>SEARCH(",",$W10,O10+1)</f>
        <v>39</v>
      </c>
      <c r="Q10" s="4">
        <f>SEARCH(",",$W10,P10+1)</f>
        <v>45</v>
      </c>
      <c r="R10" s="4">
        <f>SEARCH(",",$W10,Q10+1)</f>
        <v>51</v>
      </c>
      <c r="T10" t="s">
        <v>699</v>
      </c>
      <c r="U10">
        <f>SEARCH(":",T10)</f>
        <v>6</v>
      </c>
      <c r="V10" t="str">
        <f>MID(T10,U10+1,LEN(T10)-(U10))</f>
        <v xml:space="preserve"> 2540729 ** -318, -778, 4401, 326, 1312, 3167, 4743, 4495</v>
      </c>
      <c r="W10" t="str">
        <f>TRIM(V10)</f>
        <v>2540729 ** -318, -778, 4401, 326, 1312, 3167, 4743, 4495</v>
      </c>
      <c r="X10">
        <f>SEARCH("~*",W10)</f>
        <v>9</v>
      </c>
      <c r="Y10" t="str">
        <f>LEFT(W10,X10-1)</f>
        <v xml:space="preserve">2540729 </v>
      </c>
      <c r="AA10" t="str">
        <f>CONCATENATE(A10,",",D10,",",E10,",",F10,",",G10,",",H10,",",I10,",",J10,",",K10)</f>
        <v>2540729,-318,-778,4401,326,1312,3167,4743,4495</v>
      </c>
    </row>
    <row r="11" spans="1:27">
      <c r="A11" s="1">
        <f>IF(ISBLANK(T11),"",VALUE(Y11))</f>
        <v>2443446</v>
      </c>
      <c r="B11" s="1">
        <f>A11*4/10 -18</f>
        <v>977360.4</v>
      </c>
      <c r="C11" s="3">
        <f>B11/7000000</f>
        <v>0.1396229142857143</v>
      </c>
      <c r="D11" s="6">
        <f>VALUE(MID(W11,$X11+2,L11-(X11+2)))</f>
        <v>-323</v>
      </c>
      <c r="E11" s="6">
        <f>VALUE(MID($W11,L11+1,M11-(L11+1)))</f>
        <v>-780</v>
      </c>
      <c r="F11" s="6">
        <f>VALUE(MID($W11,M11+1,N11-(M11+1)))</f>
        <v>4399</v>
      </c>
      <c r="G11" s="6">
        <f>VALUE(MID($W11,N11+1,O11-(N11+1)))</f>
        <v>326</v>
      </c>
      <c r="H11" s="6">
        <f>VALUE(MID($W11,O11+1,P11-(O11+1)))</f>
        <v>1321</v>
      </c>
      <c r="I11" s="6">
        <f>VALUE(MID($W11,P11+1,Q11-(P11+1)))</f>
        <v>3174</v>
      </c>
      <c r="J11" s="6">
        <f>VALUE(MID($W11,Q11+1,R11-(Q11+1)))</f>
        <v>4740</v>
      </c>
      <c r="K11" s="4">
        <f>VALUE(MID(W11,R11+1,LEN(W11)-(R11)))</f>
        <v>4500</v>
      </c>
      <c r="L11" s="4">
        <f>SEARCH(",",W11,X11)</f>
        <v>16</v>
      </c>
      <c r="M11" s="4">
        <f>SEARCH(",",$W11,L11+1)</f>
        <v>22</v>
      </c>
      <c r="N11" s="4">
        <f>SEARCH(",",$W11,M11+1)</f>
        <v>28</v>
      </c>
      <c r="O11" s="4">
        <f>SEARCH(",",$W11,N11+1)</f>
        <v>33</v>
      </c>
      <c r="P11" s="4">
        <f>SEARCH(",",$W11,O11+1)</f>
        <v>39</v>
      </c>
      <c r="Q11" s="4">
        <f>SEARCH(",",$W11,P11+1)</f>
        <v>45</v>
      </c>
      <c r="R11" s="4">
        <f>SEARCH(",",$W11,Q11+1)</f>
        <v>51</v>
      </c>
      <c r="T11" t="s">
        <v>662</v>
      </c>
      <c r="U11">
        <f>SEARCH(":",T11)</f>
        <v>6</v>
      </c>
      <c r="V11" t="str">
        <f>MID(T11,U11+1,LEN(T11)-(U11))</f>
        <v xml:space="preserve"> 2443446 ** -323, -780, 4399, 326, 1321, 3174, 4740, 4500</v>
      </c>
      <c r="W11" t="str">
        <f>TRIM(V11)</f>
        <v>2443446 ** -323, -780, 4399, 326, 1321, 3174, 4740, 4500</v>
      </c>
      <c r="X11">
        <f>SEARCH("~*",W11)</f>
        <v>9</v>
      </c>
      <c r="Y11" t="str">
        <f>LEFT(W11,X11-1)</f>
        <v xml:space="preserve">2443446 </v>
      </c>
      <c r="AA11" t="str">
        <f>CONCATENATE(A11,",",D11,",",E11,",",F11,",",G11,",",H11,",",I11,",",J11,",",K11)</f>
        <v>2443446,-323,-780,4399,326,1321,3174,4740,4500</v>
      </c>
    </row>
    <row r="12" spans="1:27">
      <c r="A12" s="1">
        <f>IF(ISBLANK(T12),"",VALUE(Y12))</f>
        <v>2431002</v>
      </c>
      <c r="B12" s="1">
        <f>A12*4/10 -18</f>
        <v>972382.8</v>
      </c>
      <c r="C12" s="3">
        <f>B12/7000000</f>
        <v>0.13891182857142859</v>
      </c>
      <c r="D12" s="6">
        <f>VALUE(MID(W12,$X12+2,L12-(X12+2)))</f>
        <v>-323</v>
      </c>
      <c r="E12" s="6">
        <f>VALUE(MID($W12,L12+1,M12-(L12+1)))</f>
        <v>-778</v>
      </c>
      <c r="F12" s="6">
        <f>VALUE(MID($W12,M12+1,N12-(M12+1)))</f>
        <v>4401</v>
      </c>
      <c r="G12" s="6">
        <f>VALUE(MID($W12,N12+1,O12-(N12+1)))</f>
        <v>325</v>
      </c>
      <c r="H12" s="6">
        <f>VALUE(MID($W12,O12+1,P12-(O12+1)))</f>
        <v>1316</v>
      </c>
      <c r="I12" s="6">
        <f>VALUE(MID($W12,P12+1,Q12-(P12+1)))</f>
        <v>3169</v>
      </c>
      <c r="J12" s="6">
        <f>VALUE(MID($W12,Q12+1,R12-(Q12+1)))</f>
        <v>4744</v>
      </c>
      <c r="K12" s="4">
        <f>VALUE(MID(W12,R12+1,LEN(W12)-(R12)))</f>
        <v>4491</v>
      </c>
      <c r="L12" s="4">
        <f>SEARCH(",",W12,X12)</f>
        <v>16</v>
      </c>
      <c r="M12" s="4">
        <f>SEARCH(",",$W12,L12+1)</f>
        <v>22</v>
      </c>
      <c r="N12" s="4">
        <f>SEARCH(",",$W12,M12+1)</f>
        <v>28</v>
      </c>
      <c r="O12" s="4">
        <f>SEARCH(",",$W12,N12+1)</f>
        <v>33</v>
      </c>
      <c r="P12" s="4">
        <f>SEARCH(",",$W12,O12+1)</f>
        <v>39</v>
      </c>
      <c r="Q12" s="4">
        <f>SEARCH(",",$W12,P12+1)</f>
        <v>45</v>
      </c>
      <c r="R12" s="4">
        <f>SEARCH(",",$W12,Q12+1)</f>
        <v>51</v>
      </c>
      <c r="T12" t="s">
        <v>760</v>
      </c>
      <c r="U12">
        <f>SEARCH(":",T12)</f>
        <v>6</v>
      </c>
      <c r="V12" t="str">
        <f>MID(T12,U12+1,LEN(T12)-(U12))</f>
        <v xml:space="preserve"> 2431002 ** -323, -778, 4401, 325, 1316, 3169, 4744, 4491</v>
      </c>
      <c r="W12" t="str">
        <f>TRIM(V12)</f>
        <v>2431002 ** -323, -778, 4401, 325, 1316, 3169, 4744, 4491</v>
      </c>
      <c r="X12">
        <f>SEARCH("~*",W12)</f>
        <v>9</v>
      </c>
      <c r="Y12" t="str">
        <f>LEFT(W12,X12-1)</f>
        <v xml:space="preserve">2431002 </v>
      </c>
      <c r="AA12" t="str">
        <f>CONCATENATE(A12,",",D12,",",E12,",",F12,",",G12,",",H12,",",I12,",",J12,",",K12)</f>
        <v>2431002,-323,-778,4401,325,1316,3169,4744,4491</v>
      </c>
    </row>
    <row r="13" spans="1:27">
      <c r="A13" s="1">
        <f>IF(ISBLANK(T13),"",VALUE(Y13))</f>
        <v>2418074</v>
      </c>
      <c r="B13" s="1">
        <f>A13*4/10 -18</f>
        <v>967211.6</v>
      </c>
      <c r="C13" s="3">
        <f>B13/7000000</f>
        <v>0.13817308571428571</v>
      </c>
      <c r="D13" s="6">
        <f>VALUE(MID(W13,$X13+2,L13-(X13+2)))</f>
        <v>-318</v>
      </c>
      <c r="E13" s="6">
        <f>VALUE(MID($W13,L13+1,M13-(L13+1)))</f>
        <v>-780</v>
      </c>
      <c r="F13" s="6">
        <f>VALUE(MID($W13,M13+1,N13-(M13+1)))</f>
        <v>4404</v>
      </c>
      <c r="G13" s="6">
        <f>VALUE(MID($W13,N13+1,O13-(N13+1)))</f>
        <v>329</v>
      </c>
      <c r="H13" s="6">
        <f>VALUE(MID($W13,O13+1,P13-(O13+1)))</f>
        <v>1319</v>
      </c>
      <c r="I13" s="6">
        <f>VALUE(MID($W13,P13+1,Q13-(P13+1)))</f>
        <v>3167</v>
      </c>
      <c r="J13" s="6">
        <f>VALUE(MID($W13,Q13+1,R13-(Q13+1)))</f>
        <v>4747</v>
      </c>
      <c r="K13" s="4">
        <f>VALUE(MID(W13,R13+1,LEN(W13)-(R13)))</f>
        <v>4498</v>
      </c>
      <c r="L13" s="4">
        <f>SEARCH(",",W13,X13)</f>
        <v>16</v>
      </c>
      <c r="M13" s="4">
        <f>SEARCH(",",$W13,L13+1)</f>
        <v>22</v>
      </c>
      <c r="N13" s="4">
        <f>SEARCH(",",$W13,M13+1)</f>
        <v>28</v>
      </c>
      <c r="O13" s="4">
        <f>SEARCH(",",$W13,N13+1)</f>
        <v>33</v>
      </c>
      <c r="P13" s="4">
        <f>SEARCH(",",$W13,O13+1)</f>
        <v>39</v>
      </c>
      <c r="Q13" s="4">
        <f>SEARCH(",",$W13,P13+1)</f>
        <v>45</v>
      </c>
      <c r="R13" s="4">
        <f>SEARCH(",",$W13,Q13+1)</f>
        <v>51</v>
      </c>
      <c r="T13" t="s">
        <v>676</v>
      </c>
      <c r="U13">
        <f>SEARCH(":",T13)</f>
        <v>6</v>
      </c>
      <c r="V13" t="str">
        <f>MID(T13,U13+1,LEN(T13)-(U13))</f>
        <v xml:space="preserve"> 2418074 ** -318, -780, 4404, 329, 1319, 3167, 4747, 4498</v>
      </c>
      <c r="W13" t="str">
        <f>TRIM(V13)</f>
        <v>2418074 ** -318, -780, 4404, 329, 1319, 3167, 4747, 4498</v>
      </c>
      <c r="X13">
        <f>SEARCH("~*",W13)</f>
        <v>9</v>
      </c>
      <c r="Y13" t="str">
        <f>LEFT(W13,X13-1)</f>
        <v xml:space="preserve">2418074 </v>
      </c>
      <c r="AA13" t="str">
        <f>CONCATENATE(A13,",",D13,",",E13,",",F13,",",G13,",",H13,",",I13,",",J13,",",K13)</f>
        <v>2418074,-318,-780,4404,329,1319,3167,4747,4498</v>
      </c>
    </row>
    <row r="14" spans="1:27">
      <c r="A14" s="1">
        <f>IF(ISBLANK(T14),"",VALUE(Y14))</f>
        <v>2283403</v>
      </c>
      <c r="B14" s="1">
        <f>A14*4/10 -18</f>
        <v>913343.2</v>
      </c>
      <c r="C14" s="3">
        <f>B14/7000000</f>
        <v>0.1304776</v>
      </c>
      <c r="D14" s="6">
        <f>VALUE(MID(W14,$X14+2,L14-(X14+2)))</f>
        <v>-318</v>
      </c>
      <c r="E14" s="6">
        <f>VALUE(MID($W14,L14+1,M14-(L14+1)))</f>
        <v>-781</v>
      </c>
      <c r="F14" s="6">
        <f>VALUE(MID($W14,M14+1,N14-(M14+1)))</f>
        <v>4404</v>
      </c>
      <c r="G14" s="6">
        <f>VALUE(MID($W14,N14+1,O14-(N14+1)))</f>
        <v>320</v>
      </c>
      <c r="H14" s="6">
        <f>VALUE(MID($W14,O14+1,P14-(O14+1)))</f>
        <v>1315</v>
      </c>
      <c r="I14" s="6">
        <f>VALUE(MID($W14,P14+1,Q14-(P14+1)))</f>
        <v>3172</v>
      </c>
      <c r="J14" s="6">
        <f>VALUE(MID($W14,Q14+1,R14-(Q14+1)))</f>
        <v>4743</v>
      </c>
      <c r="K14" s="4">
        <f>VALUE(MID(W14,R14+1,LEN(W14)-(R14)))</f>
        <v>4496</v>
      </c>
      <c r="L14" s="4">
        <f>SEARCH(",",W14,X14)</f>
        <v>16</v>
      </c>
      <c r="M14" s="4">
        <f>SEARCH(",",$W14,L14+1)</f>
        <v>22</v>
      </c>
      <c r="N14" s="4">
        <f>SEARCH(",",$W14,M14+1)</f>
        <v>28</v>
      </c>
      <c r="O14" s="4">
        <f>SEARCH(",",$W14,N14+1)</f>
        <v>33</v>
      </c>
      <c r="P14" s="4">
        <f>SEARCH(",",$W14,O14+1)</f>
        <v>39</v>
      </c>
      <c r="Q14" s="4">
        <f>SEARCH(",",$W14,P14+1)</f>
        <v>45</v>
      </c>
      <c r="R14" s="4">
        <f>SEARCH(",",$W14,Q14+1)</f>
        <v>51</v>
      </c>
      <c r="T14" t="s">
        <v>822</v>
      </c>
      <c r="U14">
        <f>SEARCH(":",T14)</f>
        <v>6</v>
      </c>
      <c r="V14" t="str">
        <f>MID(T14,U14+1,LEN(T14)-(U14))</f>
        <v xml:space="preserve"> 2283403 ** -318, -781, 4404, 320, 1315, 3172, 4743, 4496</v>
      </c>
      <c r="W14" t="str">
        <f>TRIM(V14)</f>
        <v>2283403 ** -318, -781, 4404, 320, 1315, 3172, 4743, 4496</v>
      </c>
      <c r="X14">
        <f>SEARCH("~*",W14)</f>
        <v>9</v>
      </c>
      <c r="Y14" t="str">
        <f>LEFT(W14,X14-1)</f>
        <v xml:space="preserve">2283403 </v>
      </c>
      <c r="AA14" t="str">
        <f>CONCATENATE(A14,",",D14,",",E14,",",F14,",",G14,",",H14,",",I14,",",J14,",",K14)</f>
        <v>2283403,-318,-781,4404,320,1315,3172,4743,4496</v>
      </c>
    </row>
    <row r="15" spans="1:27">
      <c r="A15" s="1">
        <f>IF(ISBLANK(T15),"",VALUE(Y15))</f>
        <v>2266911</v>
      </c>
      <c r="B15" s="1">
        <f>A15*4/10 -18</f>
        <v>906746.4</v>
      </c>
      <c r="C15" s="3">
        <f>B15/7000000</f>
        <v>0.12953520000000002</v>
      </c>
      <c r="D15" s="6">
        <f>VALUE(MID(W15,$X15+2,L15-(X15+2)))</f>
        <v>-319</v>
      </c>
      <c r="E15" s="6">
        <f>VALUE(MID($W15,L15+1,M15-(L15+1)))</f>
        <v>-780</v>
      </c>
      <c r="F15" s="6">
        <f>VALUE(MID($W15,M15+1,N15-(M15+1)))</f>
        <v>4406</v>
      </c>
      <c r="G15" s="6">
        <f>VALUE(MID($W15,N15+1,O15-(N15+1)))</f>
        <v>328</v>
      </c>
      <c r="H15" s="6">
        <f>VALUE(MID($W15,O15+1,P15-(O15+1)))</f>
        <v>1313</v>
      </c>
      <c r="I15" s="6">
        <f>VALUE(MID($W15,P15+1,Q15-(P15+1)))</f>
        <v>3166</v>
      </c>
      <c r="J15" s="6">
        <f>VALUE(MID($W15,Q15+1,R15-(Q15+1)))</f>
        <v>4739</v>
      </c>
      <c r="K15" s="4">
        <f>VALUE(MID(W15,R15+1,LEN(W15)-(R15)))</f>
        <v>4495</v>
      </c>
      <c r="L15" s="4">
        <f>SEARCH(",",W15,X15)</f>
        <v>16</v>
      </c>
      <c r="M15" s="4">
        <f>SEARCH(",",$W15,L15+1)</f>
        <v>22</v>
      </c>
      <c r="N15" s="4">
        <f>SEARCH(",",$W15,M15+1)</f>
        <v>28</v>
      </c>
      <c r="O15" s="4">
        <f>SEARCH(",",$W15,N15+1)</f>
        <v>33</v>
      </c>
      <c r="P15" s="4">
        <f>SEARCH(",",$W15,O15+1)</f>
        <v>39</v>
      </c>
      <c r="Q15" s="4">
        <f>SEARCH(",",$W15,P15+1)</f>
        <v>45</v>
      </c>
      <c r="R15" s="4">
        <f>SEARCH(",",$W15,Q15+1)</f>
        <v>51</v>
      </c>
      <c r="T15" t="s">
        <v>739</v>
      </c>
      <c r="U15">
        <f>SEARCH(":",T15)</f>
        <v>6</v>
      </c>
      <c r="V15" t="str">
        <f>MID(T15,U15+1,LEN(T15)-(U15))</f>
        <v xml:space="preserve"> 2266911 ** -319, -780, 4406, 328, 1313, 3166, 4739, 4495</v>
      </c>
      <c r="W15" t="str">
        <f>TRIM(V15)</f>
        <v>2266911 ** -319, -780, 4406, 328, 1313, 3166, 4739, 4495</v>
      </c>
      <c r="X15">
        <f>SEARCH("~*",W15)</f>
        <v>9</v>
      </c>
      <c r="Y15" t="str">
        <f>LEFT(W15,X15-1)</f>
        <v xml:space="preserve">2266911 </v>
      </c>
      <c r="AA15" t="str">
        <f>CONCATENATE(A15,",",D15,",",E15,",",F15,",",G15,",",H15,",",I15,",",J15,",",K15)</f>
        <v>2266911,-319,-780,4406,328,1313,3166,4739,4495</v>
      </c>
    </row>
    <row r="16" spans="1:27">
      <c r="A16" s="1">
        <f>IF(ISBLANK(T16),"",VALUE(Y16))</f>
        <v>2228141</v>
      </c>
      <c r="B16" s="1">
        <f>A16*4/10 -18</f>
        <v>891238.40000000002</v>
      </c>
      <c r="C16" s="3">
        <f>B16/7000000</f>
        <v>0.12731977142857143</v>
      </c>
      <c r="D16" s="6">
        <f>VALUE(MID(W16,$X16+2,L16-(X16+2)))</f>
        <v>-317</v>
      </c>
      <c r="E16" s="6">
        <f>VALUE(MID($W16,L16+1,M16-(L16+1)))</f>
        <v>-773</v>
      </c>
      <c r="F16" s="6">
        <f>VALUE(MID($W16,M16+1,N16-(M16+1)))</f>
        <v>4402</v>
      </c>
      <c r="G16" s="6">
        <f>VALUE(MID($W16,N16+1,O16-(N16+1)))</f>
        <v>328</v>
      </c>
      <c r="H16" s="6">
        <f>VALUE(MID($W16,O16+1,P16-(O16+1)))</f>
        <v>1316</v>
      </c>
      <c r="I16" s="6">
        <f>VALUE(MID($W16,P16+1,Q16-(P16+1)))</f>
        <v>3166</v>
      </c>
      <c r="J16" s="6">
        <f>VALUE(MID($W16,Q16+1,R16-(Q16+1)))</f>
        <v>4742</v>
      </c>
      <c r="K16" s="4">
        <f>VALUE(MID(W16,R16+1,LEN(W16)-(R16)))</f>
        <v>4496</v>
      </c>
      <c r="L16" s="4">
        <f>SEARCH(",",W16,X16)</f>
        <v>16</v>
      </c>
      <c r="M16" s="4">
        <f>SEARCH(",",$W16,L16+1)</f>
        <v>22</v>
      </c>
      <c r="N16" s="4">
        <f>SEARCH(",",$W16,M16+1)</f>
        <v>28</v>
      </c>
      <c r="O16" s="4">
        <f>SEARCH(",",$W16,N16+1)</f>
        <v>33</v>
      </c>
      <c r="P16" s="4">
        <f>SEARCH(",",$W16,O16+1)</f>
        <v>39</v>
      </c>
      <c r="Q16" s="4">
        <f>SEARCH(",",$W16,P16+1)</f>
        <v>45</v>
      </c>
      <c r="R16" s="4">
        <f>SEARCH(",",$W16,Q16+1)</f>
        <v>51</v>
      </c>
      <c r="T16" t="s">
        <v>687</v>
      </c>
      <c r="U16">
        <f>SEARCH(":",T16)</f>
        <v>6</v>
      </c>
      <c r="V16" t="str">
        <f>MID(T16,U16+1,LEN(T16)-(U16))</f>
        <v xml:space="preserve"> 2228141 ** -317, -773, 4402, 328, 1316, 3166, 4742, 4496</v>
      </c>
      <c r="W16" t="str">
        <f>TRIM(V16)</f>
        <v>2228141 ** -317, -773, 4402, 328, 1316, 3166, 4742, 4496</v>
      </c>
      <c r="X16">
        <f>SEARCH("~*",W16)</f>
        <v>9</v>
      </c>
      <c r="Y16" t="str">
        <f>LEFT(W16,X16-1)</f>
        <v xml:space="preserve">2228141 </v>
      </c>
      <c r="AA16" t="str">
        <f>CONCATENATE(A16,",",D16,",",E16,",",F16,",",G16,",",H16,",",I16,",",J16,",",K16)</f>
        <v>2228141,-317,-773,4402,328,1316,3166,4742,4496</v>
      </c>
    </row>
    <row r="17" spans="1:27">
      <c r="A17" s="1">
        <f>IF(ISBLANK(T17),"",VALUE(Y17))</f>
        <v>2179208</v>
      </c>
      <c r="B17" s="1">
        <f>A17*4/10 -18</f>
        <v>871665.2</v>
      </c>
      <c r="C17" s="3">
        <f>B17/7000000</f>
        <v>0.1245236</v>
      </c>
      <c r="D17" s="6">
        <f>VALUE(MID(W17,$X17+2,L17-(X17+2)))</f>
        <v>-315</v>
      </c>
      <c r="E17" s="6">
        <f>VALUE(MID($W17,L17+1,M17-(L17+1)))</f>
        <v>-773</v>
      </c>
      <c r="F17" s="6">
        <f>VALUE(MID($W17,M17+1,N17-(M17+1)))</f>
        <v>4400</v>
      </c>
      <c r="G17" s="6">
        <f>VALUE(MID($W17,N17+1,O17-(N17+1)))</f>
        <v>320</v>
      </c>
      <c r="H17" s="6">
        <f>VALUE(MID($W17,O17+1,P17-(O17+1)))</f>
        <v>1315</v>
      </c>
      <c r="I17" s="6">
        <f>VALUE(MID($W17,P17+1,Q17-(P17+1)))</f>
        <v>3170</v>
      </c>
      <c r="J17" s="6">
        <f>VALUE(MID($W17,Q17+1,R17-(Q17+1)))</f>
        <v>4741</v>
      </c>
      <c r="K17" s="4">
        <f>VALUE(MID(W17,R17+1,LEN(W17)-(R17)))</f>
        <v>4495</v>
      </c>
      <c r="L17" s="4">
        <f>SEARCH(",",W17,X17)</f>
        <v>16</v>
      </c>
      <c r="M17" s="4">
        <f>SEARCH(",",$W17,L17+1)</f>
        <v>22</v>
      </c>
      <c r="N17" s="4">
        <f>SEARCH(",",$W17,M17+1)</f>
        <v>28</v>
      </c>
      <c r="O17" s="4">
        <f>SEARCH(",",$W17,N17+1)</f>
        <v>33</v>
      </c>
      <c r="P17" s="4">
        <f>SEARCH(",",$W17,O17+1)</f>
        <v>39</v>
      </c>
      <c r="Q17" s="4">
        <f>SEARCH(",",$W17,P17+1)</f>
        <v>45</v>
      </c>
      <c r="R17" s="4">
        <f>SEARCH(",",$W17,Q17+1)</f>
        <v>51</v>
      </c>
      <c r="T17" t="s">
        <v>602</v>
      </c>
      <c r="U17">
        <f>SEARCH(":",T17)</f>
        <v>6</v>
      </c>
      <c r="V17" t="str">
        <f>MID(T17,U17+1,LEN(T17)-(U17))</f>
        <v xml:space="preserve"> 2179208 ** -315, -773, 4400, 320, 1315, 3170, 4741, 4495</v>
      </c>
      <c r="W17" t="str">
        <f>TRIM(V17)</f>
        <v>2179208 ** -315, -773, 4400, 320, 1315, 3170, 4741, 4495</v>
      </c>
      <c r="X17">
        <f>SEARCH("~*",W17)</f>
        <v>9</v>
      </c>
      <c r="Y17" t="str">
        <f>LEFT(W17,X17-1)</f>
        <v xml:space="preserve">2179208 </v>
      </c>
      <c r="AA17" t="str">
        <f>CONCATENATE(A17,",",D17,",",E17,",",F17,",",G17,",",H17,",",I17,",",J17,",",K17)</f>
        <v>2179208,-315,-773,4400,320,1315,3170,4741,4495</v>
      </c>
    </row>
    <row r="18" spans="1:27">
      <c r="A18" s="1">
        <f>IF(ISBLANK(T18),"",VALUE(Y18))</f>
        <v>2173836</v>
      </c>
      <c r="B18" s="1">
        <f>A18*4/10 -18</f>
        <v>869516.4</v>
      </c>
      <c r="C18" s="3">
        <f>B18/7000000</f>
        <v>0.12421662857142858</v>
      </c>
      <c r="D18" s="6">
        <f>VALUE(MID(W18,$X18+2,L18-(X18+2)))</f>
        <v>-323</v>
      </c>
      <c r="E18" s="6">
        <f>VALUE(MID($W18,L18+1,M18-(L18+1)))</f>
        <v>-782</v>
      </c>
      <c r="F18" s="6">
        <f>VALUE(MID($W18,M18+1,N18-(M18+1)))</f>
        <v>4408</v>
      </c>
      <c r="G18" s="6">
        <f>VALUE(MID($W18,N18+1,O18-(N18+1)))</f>
        <v>325</v>
      </c>
      <c r="H18" s="6">
        <f>VALUE(MID($W18,O18+1,P18-(O18+1)))</f>
        <v>1313</v>
      </c>
      <c r="I18" s="6">
        <f>VALUE(MID($W18,P18+1,Q18-(P18+1)))</f>
        <v>3167</v>
      </c>
      <c r="J18" s="6">
        <f>VALUE(MID($W18,Q18+1,R18-(Q18+1)))</f>
        <v>4748</v>
      </c>
      <c r="K18" s="4">
        <f>VALUE(MID(W18,R18+1,LEN(W18)-(R18)))</f>
        <v>4493</v>
      </c>
      <c r="L18" s="4">
        <f>SEARCH(",",W18,X18)</f>
        <v>16</v>
      </c>
      <c r="M18" s="4">
        <f>SEARCH(",",$W18,L18+1)</f>
        <v>22</v>
      </c>
      <c r="N18" s="4">
        <f>SEARCH(",",$W18,M18+1)</f>
        <v>28</v>
      </c>
      <c r="O18" s="4">
        <f>SEARCH(",",$W18,N18+1)</f>
        <v>33</v>
      </c>
      <c r="P18" s="4">
        <f>SEARCH(",",$W18,O18+1)</f>
        <v>39</v>
      </c>
      <c r="Q18" s="4">
        <f>SEARCH(",",$W18,P18+1)</f>
        <v>45</v>
      </c>
      <c r="R18" s="4">
        <f>SEARCH(",",$W18,Q18+1)</f>
        <v>51</v>
      </c>
      <c r="T18" t="s">
        <v>853</v>
      </c>
      <c r="U18">
        <f>SEARCH(":",T18)</f>
        <v>6</v>
      </c>
      <c r="V18" t="str">
        <f>MID(T18,U18+1,LEN(T18)-(U18))</f>
        <v xml:space="preserve"> 2173836 ** -323, -782, 4408, 325, 1313, 3167, 4748, 4493</v>
      </c>
      <c r="W18" t="str">
        <f>TRIM(V18)</f>
        <v>2173836 ** -323, -782, 4408, 325, 1313, 3167, 4748, 4493</v>
      </c>
      <c r="X18">
        <f>SEARCH("~*",W18)</f>
        <v>9</v>
      </c>
      <c r="Y18" t="str">
        <f>LEFT(W18,X18-1)</f>
        <v xml:space="preserve">2173836 </v>
      </c>
      <c r="AA18" t="str">
        <f>CONCATENATE(A18,",",D18,",",E18,",",F18,",",G18,",",H18,",",I18,",",J18,",",K18)</f>
        <v>2173836,-323,-782,4408,325,1313,3167,4748,4493</v>
      </c>
    </row>
    <row r="19" spans="1:27">
      <c r="A19" s="1">
        <f>IF(ISBLANK(T19),"",VALUE(Y19))</f>
        <v>2159932</v>
      </c>
      <c r="B19" s="1">
        <f>A19*4/10 -18</f>
        <v>863954.8</v>
      </c>
      <c r="C19" s="3">
        <f>B19/7000000</f>
        <v>0.1234221142857143</v>
      </c>
      <c r="D19" s="6">
        <f>VALUE(MID(W19,$X19+2,L19-(X19+2)))</f>
        <v>-321</v>
      </c>
      <c r="E19" s="6">
        <f>VALUE(MID($W19,L19+1,M19-(L19+1)))</f>
        <v>-779</v>
      </c>
      <c r="F19" s="6">
        <f>VALUE(MID($W19,M19+1,N19-(M19+1)))</f>
        <v>4405</v>
      </c>
      <c r="G19" s="6">
        <f>VALUE(MID($W19,N19+1,O19-(N19+1)))</f>
        <v>326</v>
      </c>
      <c r="H19" s="6">
        <f>VALUE(MID($W19,O19+1,P19-(O19+1)))</f>
        <v>1319</v>
      </c>
      <c r="I19" s="6">
        <f>VALUE(MID($W19,P19+1,Q19-(P19+1)))</f>
        <v>3174</v>
      </c>
      <c r="J19" s="6">
        <f>VALUE(MID($W19,Q19+1,R19-(Q19+1)))</f>
        <v>4741</v>
      </c>
      <c r="K19" s="4">
        <f>VALUE(MID(W19,R19+1,LEN(W19)-(R19)))</f>
        <v>4491</v>
      </c>
      <c r="L19" s="4">
        <f>SEARCH(",",W19,X19)</f>
        <v>16</v>
      </c>
      <c r="M19" s="4">
        <f>SEARCH(",",$W19,L19+1)</f>
        <v>22</v>
      </c>
      <c r="N19" s="4">
        <f>SEARCH(",",$W19,M19+1)</f>
        <v>28</v>
      </c>
      <c r="O19" s="4">
        <f>SEARCH(",",$W19,N19+1)</f>
        <v>33</v>
      </c>
      <c r="P19" s="4">
        <f>SEARCH(",",$W19,O19+1)</f>
        <v>39</v>
      </c>
      <c r="Q19" s="4">
        <f>SEARCH(",",$W19,P19+1)</f>
        <v>45</v>
      </c>
      <c r="R19" s="4">
        <f>SEARCH(",",$W19,Q19+1)</f>
        <v>51</v>
      </c>
      <c r="T19" t="s">
        <v>824</v>
      </c>
      <c r="U19">
        <f>SEARCH(":",T19)</f>
        <v>6</v>
      </c>
      <c r="V19" t="str">
        <f>MID(T19,U19+1,LEN(T19)-(U19))</f>
        <v xml:space="preserve"> 2159932 ** -321, -779, 4405, 326, 1319, 3174, 4741, 4491</v>
      </c>
      <c r="W19" t="str">
        <f>TRIM(V19)</f>
        <v>2159932 ** -321, -779, 4405, 326, 1319, 3174, 4741, 4491</v>
      </c>
      <c r="X19">
        <f>SEARCH("~*",W19)</f>
        <v>9</v>
      </c>
      <c r="Y19" t="str">
        <f>LEFT(W19,X19-1)</f>
        <v xml:space="preserve">2159932 </v>
      </c>
      <c r="AA19" t="str">
        <f>CONCATENATE(A19,",",D19,",",E19,",",F19,",",G19,",",H19,",",I19,",",J19,",",K19)</f>
        <v>2159932,-321,-779,4405,326,1319,3174,4741,4491</v>
      </c>
    </row>
    <row r="20" spans="1:27">
      <c r="A20" s="1">
        <f>IF(ISBLANK(T20),"",VALUE(Y20))</f>
        <v>2107569</v>
      </c>
      <c r="B20" s="1">
        <f>A20*4/10 -18</f>
        <v>843009.6</v>
      </c>
      <c r="C20" s="3">
        <f>B20/7000000</f>
        <v>0.12042994285714285</v>
      </c>
      <c r="D20" s="6">
        <f>VALUE(MID(W20,$X20+2,L20-(X20+2)))</f>
        <v>-323</v>
      </c>
      <c r="E20" s="6">
        <f>VALUE(MID($W20,L20+1,M20-(L20+1)))</f>
        <v>-780</v>
      </c>
      <c r="F20" s="6">
        <f>VALUE(MID($W20,M20+1,N20-(M20+1)))</f>
        <v>4408</v>
      </c>
      <c r="G20" s="6">
        <f>VALUE(MID($W20,N20+1,O20-(N20+1)))</f>
        <v>327</v>
      </c>
      <c r="H20" s="6">
        <f>VALUE(MID($W20,O20+1,P20-(O20+1)))</f>
        <v>1316</v>
      </c>
      <c r="I20" s="6">
        <f>VALUE(MID($W20,P20+1,Q20-(P20+1)))</f>
        <v>3166</v>
      </c>
      <c r="J20" s="6">
        <f>VALUE(MID($W20,Q20+1,R20-(Q20+1)))</f>
        <v>4742</v>
      </c>
      <c r="K20" s="4">
        <f>VALUE(MID(W20,R20+1,LEN(W20)-(R20)))</f>
        <v>4491</v>
      </c>
      <c r="L20" s="4">
        <f>SEARCH(",",W20,X20)</f>
        <v>16</v>
      </c>
      <c r="M20" s="4">
        <f>SEARCH(",",$W20,L20+1)</f>
        <v>22</v>
      </c>
      <c r="N20" s="4">
        <f>SEARCH(",",$W20,M20+1)</f>
        <v>28</v>
      </c>
      <c r="O20" s="4">
        <f>SEARCH(",",$W20,N20+1)</f>
        <v>33</v>
      </c>
      <c r="P20" s="4">
        <f>SEARCH(",",$W20,O20+1)</f>
        <v>39</v>
      </c>
      <c r="Q20" s="4">
        <f>SEARCH(",",$W20,P20+1)</f>
        <v>45</v>
      </c>
      <c r="R20" s="4">
        <f>SEARCH(",",$W20,Q20+1)</f>
        <v>51</v>
      </c>
      <c r="T20" t="s">
        <v>775</v>
      </c>
      <c r="U20">
        <f>SEARCH(":",T20)</f>
        <v>6</v>
      </c>
      <c r="V20" t="str">
        <f>MID(T20,U20+1,LEN(T20)-(U20))</f>
        <v xml:space="preserve"> 2107569 ** -323, -780, 4408, 327, 1316, 3166, 4742, 4491</v>
      </c>
      <c r="W20" t="str">
        <f>TRIM(V20)</f>
        <v>2107569 ** -323, -780, 4408, 327, 1316, 3166, 4742, 4491</v>
      </c>
      <c r="X20">
        <f>SEARCH("~*",W20)</f>
        <v>9</v>
      </c>
      <c r="Y20" t="str">
        <f>LEFT(W20,X20-1)</f>
        <v xml:space="preserve">2107569 </v>
      </c>
      <c r="AA20" t="str">
        <f>CONCATENATE(A20,",",D20,",",E20,",",F20,",",G20,",",H20,",",I20,",",J20,",",K20)</f>
        <v>2107569,-323,-780,4408,327,1316,3166,4742,4491</v>
      </c>
    </row>
    <row r="21" spans="1:27">
      <c r="A21" s="1">
        <f>IF(ISBLANK(T21),"",VALUE(Y21))</f>
        <v>2040141</v>
      </c>
      <c r="B21" s="1">
        <f>A21*4/10 -18</f>
        <v>816038.40000000002</v>
      </c>
      <c r="C21" s="3">
        <f>B21/7000000</f>
        <v>0.11657691428571429</v>
      </c>
      <c r="D21" s="6">
        <f>VALUE(MID(W21,$X21+2,L21-(X21+2)))</f>
        <v>-315</v>
      </c>
      <c r="E21" s="6">
        <f>VALUE(MID($W21,L21+1,M21-(L21+1)))</f>
        <v>-773</v>
      </c>
      <c r="F21" s="6">
        <f>VALUE(MID($W21,M21+1,N21-(M21+1)))</f>
        <v>4405</v>
      </c>
      <c r="G21" s="6">
        <f>VALUE(MID($W21,N21+1,O21-(N21+1)))</f>
        <v>324</v>
      </c>
      <c r="H21" s="6">
        <f>VALUE(MID($W21,O21+1,P21-(O21+1)))</f>
        <v>1315</v>
      </c>
      <c r="I21" s="6">
        <f>VALUE(MID($W21,P21+1,Q21-(P21+1)))</f>
        <v>3169</v>
      </c>
      <c r="J21" s="6">
        <f>VALUE(MID($W21,Q21+1,R21-(Q21+1)))</f>
        <v>4739</v>
      </c>
      <c r="K21" s="4">
        <f>VALUE(MID(W21,R21+1,LEN(W21)-(R21)))</f>
        <v>4498</v>
      </c>
      <c r="L21" s="4">
        <f>SEARCH(",",W21,X21)</f>
        <v>16</v>
      </c>
      <c r="M21" s="4">
        <f>SEARCH(",",$W21,L21+1)</f>
        <v>22</v>
      </c>
      <c r="N21" s="4">
        <f>SEARCH(",",$W21,M21+1)</f>
        <v>28</v>
      </c>
      <c r="O21" s="4">
        <f>SEARCH(",",$W21,N21+1)</f>
        <v>33</v>
      </c>
      <c r="P21" s="4">
        <f>SEARCH(",",$W21,O21+1)</f>
        <v>39</v>
      </c>
      <c r="Q21" s="4">
        <f>SEARCH(",",$W21,P21+1)</f>
        <v>45</v>
      </c>
      <c r="R21" s="4">
        <f>SEARCH(",",$W21,Q21+1)</f>
        <v>51</v>
      </c>
      <c r="T21" t="s">
        <v>694</v>
      </c>
      <c r="U21">
        <f>SEARCH(":",T21)</f>
        <v>6</v>
      </c>
      <c r="V21" t="str">
        <f>MID(T21,U21+1,LEN(T21)-(U21))</f>
        <v xml:space="preserve"> 2040141 ** -315, -773, 4405, 324, 1315, 3169, 4739, 4498</v>
      </c>
      <c r="W21" t="str">
        <f>TRIM(V21)</f>
        <v>2040141 ** -315, -773, 4405, 324, 1315, 3169, 4739, 4498</v>
      </c>
      <c r="X21">
        <f>SEARCH("~*",W21)</f>
        <v>9</v>
      </c>
      <c r="Y21" t="str">
        <f>LEFT(W21,X21-1)</f>
        <v xml:space="preserve">2040141 </v>
      </c>
      <c r="AA21" t="str">
        <f>CONCATENATE(A21,",",D21,",",E21,",",F21,",",G21,",",H21,",",I21,",",J21,",",K21)</f>
        <v>2040141,-315,-773,4405,324,1315,3169,4739,4498</v>
      </c>
    </row>
    <row r="22" spans="1:27">
      <c r="A22" s="1">
        <f>IF(ISBLANK(T22),"",VALUE(Y22))</f>
        <v>2034921</v>
      </c>
      <c r="B22" s="1">
        <f>A22*4/10 -18</f>
        <v>813950.4</v>
      </c>
      <c r="C22" s="3">
        <f>B22/7000000</f>
        <v>0.11627862857142858</v>
      </c>
      <c r="D22" s="6">
        <f>VALUE(MID(W22,$X22+2,L22-(X22+2)))</f>
        <v>-319</v>
      </c>
      <c r="E22" s="6">
        <f>VALUE(MID($W22,L22+1,M22-(L22+1)))</f>
        <v>-776</v>
      </c>
      <c r="F22" s="6">
        <f>VALUE(MID($W22,M22+1,N22-(M22+1)))</f>
        <v>4403</v>
      </c>
      <c r="G22" s="6">
        <f>VALUE(MID($W22,N22+1,O22-(N22+1)))</f>
        <v>328</v>
      </c>
      <c r="H22" s="6">
        <f>VALUE(MID($W22,O22+1,P22-(O22+1)))</f>
        <v>1316</v>
      </c>
      <c r="I22" s="6">
        <f>VALUE(MID($W22,P22+1,Q22-(P22+1)))</f>
        <v>3173</v>
      </c>
      <c r="J22" s="6">
        <f>VALUE(MID($W22,Q22+1,R22-(Q22+1)))</f>
        <v>4739</v>
      </c>
      <c r="K22" s="4">
        <f>VALUE(MID(W22,R22+1,LEN(W22)-(R22)))</f>
        <v>4495</v>
      </c>
      <c r="L22" s="4">
        <f>SEARCH(",",W22,X22)</f>
        <v>16</v>
      </c>
      <c r="M22" s="4">
        <f>SEARCH(",",$W22,L22+1)</f>
        <v>22</v>
      </c>
      <c r="N22" s="4">
        <f>SEARCH(",",$W22,M22+1)</f>
        <v>28</v>
      </c>
      <c r="O22" s="4">
        <f>SEARCH(",",$W22,N22+1)</f>
        <v>33</v>
      </c>
      <c r="P22" s="4">
        <f>SEARCH(",",$W22,O22+1)</f>
        <v>39</v>
      </c>
      <c r="Q22" s="4">
        <f>SEARCH(",",$W22,P22+1)</f>
        <v>45</v>
      </c>
      <c r="R22" s="4">
        <f>SEARCH(",",$W22,Q22+1)</f>
        <v>51</v>
      </c>
      <c r="T22" t="s">
        <v>673</v>
      </c>
      <c r="U22">
        <f>SEARCH(":",T22)</f>
        <v>6</v>
      </c>
      <c r="V22" t="str">
        <f>MID(T22,U22+1,LEN(T22)-(U22))</f>
        <v xml:space="preserve"> 2034921 ** -319, -776, 4403, 328, 1316, 3173, 4739, 4495</v>
      </c>
      <c r="W22" t="str">
        <f>TRIM(V22)</f>
        <v>2034921 ** -319, -776, 4403, 328, 1316, 3173, 4739, 4495</v>
      </c>
      <c r="X22">
        <f>SEARCH("~*",W22)</f>
        <v>9</v>
      </c>
      <c r="Y22" t="str">
        <f>LEFT(W22,X22-1)</f>
        <v xml:space="preserve">2034921 </v>
      </c>
      <c r="AA22" t="str">
        <f>CONCATENATE(A22,",",D22,",",E22,",",F22,",",G22,",",H22,",",I22,",",J22,",",K22)</f>
        <v>2034921,-319,-776,4403,328,1316,3173,4739,4495</v>
      </c>
    </row>
    <row r="23" spans="1:27">
      <c r="A23" s="1">
        <f>IF(ISBLANK(T23),"",VALUE(Y23))</f>
        <v>1955650</v>
      </c>
      <c r="B23" s="1">
        <f>A23*4/10 -18</f>
        <v>782242</v>
      </c>
      <c r="C23" s="3">
        <f>B23/7000000</f>
        <v>0.11174885714285715</v>
      </c>
      <c r="D23" s="6">
        <f>VALUE(MID(W23,$X23+2,L23-(X23+2)))</f>
        <v>-317</v>
      </c>
      <c r="E23" s="6">
        <f>VALUE(MID($W23,L23+1,M23-(L23+1)))</f>
        <v>-780</v>
      </c>
      <c r="F23" s="6">
        <f>VALUE(MID($W23,M23+1,N23-(M23+1)))</f>
        <v>4407</v>
      </c>
      <c r="G23" s="6">
        <f>VALUE(MID($W23,N23+1,O23-(N23+1)))</f>
        <v>323</v>
      </c>
      <c r="H23" s="6">
        <f>VALUE(MID($W23,O23+1,P23-(O23+1)))</f>
        <v>1312</v>
      </c>
      <c r="I23" s="6">
        <f>VALUE(MID($W23,P23+1,Q23-(P23+1)))</f>
        <v>3171</v>
      </c>
      <c r="J23" s="6">
        <f>VALUE(MID($W23,Q23+1,R23-(Q23+1)))</f>
        <v>4743</v>
      </c>
      <c r="K23" s="4">
        <f>VALUE(MID(W23,R23+1,LEN(W23)-(R23)))</f>
        <v>4496</v>
      </c>
      <c r="L23" s="4">
        <f>SEARCH(",",W23,X23)</f>
        <v>16</v>
      </c>
      <c r="M23" s="4">
        <f>SEARCH(",",$W23,L23+1)</f>
        <v>22</v>
      </c>
      <c r="N23" s="4">
        <f>SEARCH(",",$W23,M23+1)</f>
        <v>28</v>
      </c>
      <c r="O23" s="4">
        <f>SEARCH(",",$W23,N23+1)</f>
        <v>33</v>
      </c>
      <c r="P23" s="4">
        <f>SEARCH(",",$W23,O23+1)</f>
        <v>39</v>
      </c>
      <c r="Q23" s="4">
        <f>SEARCH(",",$W23,P23+1)</f>
        <v>45</v>
      </c>
      <c r="R23" s="4">
        <f>SEARCH(",",$W23,Q23+1)</f>
        <v>51</v>
      </c>
      <c r="T23" t="s">
        <v>794</v>
      </c>
      <c r="U23">
        <f>SEARCH(":",T23)</f>
        <v>6</v>
      </c>
      <c r="V23" t="str">
        <f>MID(T23,U23+1,LEN(T23)-(U23))</f>
        <v xml:space="preserve"> 1955650 ** -317, -780, 4407, 323, 1312, 3171, 4743, 4496</v>
      </c>
      <c r="W23" t="str">
        <f>TRIM(V23)</f>
        <v>1955650 ** -317, -780, 4407, 323, 1312, 3171, 4743, 4496</v>
      </c>
      <c r="X23">
        <f>SEARCH("~*",W23)</f>
        <v>9</v>
      </c>
      <c r="Y23" t="str">
        <f>LEFT(W23,X23-1)</f>
        <v xml:space="preserve">1955650 </v>
      </c>
      <c r="AA23" t="str">
        <f>CONCATENATE(A23,",",D23,",",E23,",",F23,",",G23,",",H23,",",I23,",",J23,",",K23)</f>
        <v>1955650,-317,-780,4407,323,1312,3171,4743,4496</v>
      </c>
    </row>
    <row r="24" spans="1:27">
      <c r="A24" s="1">
        <f>IF(ISBLANK(T24),"",VALUE(Y24))</f>
        <v>1929248</v>
      </c>
      <c r="B24" s="1">
        <f>A24*4/10 -18</f>
        <v>771681.2</v>
      </c>
      <c r="C24" s="3">
        <f>B24/7000000</f>
        <v>0.11024017142857143</v>
      </c>
      <c r="D24" s="6">
        <f>VALUE(MID(W24,$X24+2,L24-(X24+2)))</f>
        <v>-320</v>
      </c>
      <c r="E24" s="6">
        <f>VALUE(MID($W24,L24+1,M24-(L24+1)))</f>
        <v>-777</v>
      </c>
      <c r="F24" s="6">
        <f>VALUE(MID($W24,M24+1,N24-(M24+1)))</f>
        <v>4400</v>
      </c>
      <c r="G24" s="6">
        <f>VALUE(MID($W24,N24+1,O24-(N24+1)))</f>
        <v>324</v>
      </c>
      <c r="H24" s="6">
        <f>VALUE(MID($W24,O24+1,P24-(O24+1)))</f>
        <v>1320</v>
      </c>
      <c r="I24" s="6">
        <f>VALUE(MID($W24,P24+1,Q24-(P24+1)))</f>
        <v>3169</v>
      </c>
      <c r="J24" s="6">
        <f>VALUE(MID($W24,Q24+1,R24-(Q24+1)))</f>
        <v>4739</v>
      </c>
      <c r="K24" s="4">
        <f>VALUE(MID(W24,R24+1,LEN(W24)-(R24)))</f>
        <v>4499</v>
      </c>
      <c r="L24" s="4">
        <f>SEARCH(",",W24,X24)</f>
        <v>16</v>
      </c>
      <c r="M24" s="4">
        <f>SEARCH(",",$W24,L24+1)</f>
        <v>22</v>
      </c>
      <c r="N24" s="4">
        <f>SEARCH(",",$W24,M24+1)</f>
        <v>28</v>
      </c>
      <c r="O24" s="4">
        <f>SEARCH(",",$W24,N24+1)</f>
        <v>33</v>
      </c>
      <c r="P24" s="4">
        <f>SEARCH(",",$W24,O24+1)</f>
        <v>39</v>
      </c>
      <c r="Q24" s="4">
        <f>SEARCH(",",$W24,P24+1)</f>
        <v>45</v>
      </c>
      <c r="R24" s="4">
        <f>SEARCH(",",$W24,Q24+1)</f>
        <v>51</v>
      </c>
      <c r="T24" t="s">
        <v>864</v>
      </c>
      <c r="U24">
        <f>SEARCH(":",T24)</f>
        <v>6</v>
      </c>
      <c r="V24" t="str">
        <f>MID(T24,U24+1,LEN(T24)-(U24))</f>
        <v xml:space="preserve"> 1929248 ** -320, -777, 4400, 324, 1320, 3169, 4739, 4499</v>
      </c>
      <c r="W24" t="str">
        <f>TRIM(V24)</f>
        <v>1929248 ** -320, -777, 4400, 324, 1320, 3169, 4739, 4499</v>
      </c>
      <c r="X24">
        <f>SEARCH("~*",W24)</f>
        <v>9</v>
      </c>
      <c r="Y24" t="str">
        <f>LEFT(W24,X24-1)</f>
        <v xml:space="preserve">1929248 </v>
      </c>
      <c r="AA24" t="str">
        <f>CONCATENATE(A24,",",D24,",",E24,",",F24,",",G24,",",H24,",",I24,",",J24,",",K24)</f>
        <v>1929248,-320,-777,4400,324,1320,3169,4739,4499</v>
      </c>
    </row>
    <row r="25" spans="1:27">
      <c r="A25" s="1">
        <f>IF(ISBLANK(T25),"",VALUE(Y25))</f>
        <v>1920040</v>
      </c>
      <c r="B25" s="1">
        <f>A25*4/10 -18</f>
        <v>767998</v>
      </c>
      <c r="C25" s="3">
        <f>B25/7000000</f>
        <v>0.10971400000000001</v>
      </c>
      <c r="D25" s="6">
        <f>VALUE(MID(W25,$X25+2,L25-(X25+2)))</f>
        <v>-318</v>
      </c>
      <c r="E25" s="6">
        <f>VALUE(MID($W25,L25+1,M25-(L25+1)))</f>
        <v>-779</v>
      </c>
      <c r="F25" s="6">
        <f>VALUE(MID($W25,M25+1,N25-(M25+1)))</f>
        <v>4404</v>
      </c>
      <c r="G25" s="6">
        <f>VALUE(MID($W25,N25+1,O25-(N25+1)))</f>
        <v>322</v>
      </c>
      <c r="H25" s="6">
        <f>VALUE(MID($W25,O25+1,P25-(O25+1)))</f>
        <v>1319</v>
      </c>
      <c r="I25" s="6">
        <f>VALUE(MID($W25,P25+1,Q25-(P25+1)))</f>
        <v>3175</v>
      </c>
      <c r="J25" s="6">
        <f>VALUE(MID($W25,Q25+1,R25-(Q25+1)))</f>
        <v>4747</v>
      </c>
      <c r="K25" s="4">
        <f>VALUE(MID(W25,R25+1,LEN(W25)-(R25)))</f>
        <v>4497</v>
      </c>
      <c r="L25" s="4">
        <f>SEARCH(",",W25,X25)</f>
        <v>16</v>
      </c>
      <c r="M25" s="4">
        <f>SEARCH(",",$W25,L25+1)</f>
        <v>22</v>
      </c>
      <c r="N25" s="4">
        <f>SEARCH(",",$W25,M25+1)</f>
        <v>28</v>
      </c>
      <c r="O25" s="4">
        <f>SEARCH(",",$W25,N25+1)</f>
        <v>33</v>
      </c>
      <c r="P25" s="4">
        <f>SEARCH(",",$W25,O25+1)</f>
        <v>39</v>
      </c>
      <c r="Q25" s="4">
        <f>SEARCH(",",$W25,P25+1)</f>
        <v>45</v>
      </c>
      <c r="R25" s="4">
        <f>SEARCH(",",$W25,Q25+1)</f>
        <v>51</v>
      </c>
      <c r="T25" t="s">
        <v>856</v>
      </c>
      <c r="U25">
        <f>SEARCH(":",T25)</f>
        <v>6</v>
      </c>
      <c r="V25" t="str">
        <f>MID(T25,U25+1,LEN(T25)-(U25))</f>
        <v xml:space="preserve"> 1920040 ** -318, -779, 4404, 322, 1319, 3175, 4747, 4497</v>
      </c>
      <c r="W25" t="str">
        <f>TRIM(V25)</f>
        <v>1920040 ** -318, -779, 4404, 322, 1319, 3175, 4747, 4497</v>
      </c>
      <c r="X25">
        <f>SEARCH("~*",W25)</f>
        <v>9</v>
      </c>
      <c r="Y25" t="str">
        <f>LEFT(W25,X25-1)</f>
        <v xml:space="preserve">1920040 </v>
      </c>
      <c r="AA25" t="str">
        <f>CONCATENATE(A25,",",D25,",",E25,",",F25,",",G25,",",H25,",",I25,",",J25,",",K25)</f>
        <v>1920040,-318,-779,4404,322,1319,3175,4747,4497</v>
      </c>
    </row>
    <row r="26" spans="1:27">
      <c r="A26" s="1">
        <f>IF(ISBLANK(T26),"",VALUE(Y26))</f>
        <v>1895796</v>
      </c>
      <c r="B26" s="1">
        <f>A26*4/10 -18</f>
        <v>758300.4</v>
      </c>
      <c r="C26" s="3">
        <f>B26/7000000</f>
        <v>0.10832862857142858</v>
      </c>
      <c r="D26" s="6">
        <f>VALUE(MID(W26,$X26+2,L26-(X26+2)))</f>
        <v>-319</v>
      </c>
      <c r="E26" s="6">
        <f>VALUE(MID($W26,L26+1,M26-(L26+1)))</f>
        <v>-780</v>
      </c>
      <c r="F26" s="6">
        <f>VALUE(MID($W26,M26+1,N26-(M26+1)))</f>
        <v>4402</v>
      </c>
      <c r="G26" s="6">
        <f>VALUE(MID($W26,N26+1,O26-(N26+1)))</f>
        <v>323</v>
      </c>
      <c r="H26" s="6">
        <f>VALUE(MID($W26,O26+1,P26-(O26+1)))</f>
        <v>1313</v>
      </c>
      <c r="I26" s="6">
        <f>VALUE(MID($W26,P26+1,Q26-(P26+1)))</f>
        <v>3171</v>
      </c>
      <c r="J26" s="6">
        <f>VALUE(MID($W26,Q26+1,R26-(Q26+1)))</f>
        <v>4739</v>
      </c>
      <c r="K26" s="4">
        <f>VALUE(MID(W26,R26+1,LEN(W26)-(R26)))</f>
        <v>4496</v>
      </c>
      <c r="L26" s="4">
        <f>SEARCH(",",W26,X26)</f>
        <v>16</v>
      </c>
      <c r="M26" s="4">
        <f>SEARCH(",",$W26,L26+1)</f>
        <v>22</v>
      </c>
      <c r="N26" s="4">
        <f>SEARCH(",",$W26,M26+1)</f>
        <v>28</v>
      </c>
      <c r="O26" s="4">
        <f>SEARCH(",",$W26,N26+1)</f>
        <v>33</v>
      </c>
      <c r="P26" s="4">
        <f>SEARCH(",",$W26,O26+1)</f>
        <v>39</v>
      </c>
      <c r="Q26" s="4">
        <f>SEARCH(",",$W26,P26+1)</f>
        <v>45</v>
      </c>
      <c r="R26" s="4">
        <f>SEARCH(",",$W26,Q26+1)</f>
        <v>51</v>
      </c>
      <c r="T26" t="s">
        <v>857</v>
      </c>
      <c r="U26">
        <f>SEARCH(":",T26)</f>
        <v>6</v>
      </c>
      <c r="V26" t="str">
        <f>MID(T26,U26+1,LEN(T26)-(U26))</f>
        <v xml:space="preserve"> 1895796 ** -319, -780, 4402, 323, 1313, 3171, 4739, 4496</v>
      </c>
      <c r="W26" t="str">
        <f>TRIM(V26)</f>
        <v>1895796 ** -319, -780, 4402, 323, 1313, 3171, 4739, 4496</v>
      </c>
      <c r="X26">
        <f>SEARCH("~*",W26)</f>
        <v>9</v>
      </c>
      <c r="Y26" t="str">
        <f>LEFT(W26,X26-1)</f>
        <v xml:space="preserve">1895796 </v>
      </c>
      <c r="AA26" t="str">
        <f>CONCATENATE(A26,",",D26,",",E26,",",F26,",",G26,",",H26,",",I26,",",J26,",",K26)</f>
        <v>1895796,-319,-780,4402,323,1313,3171,4739,4496</v>
      </c>
    </row>
    <row r="27" spans="1:27">
      <c r="A27" s="1">
        <f>IF(ISBLANK(T27),"",VALUE(Y27))</f>
        <v>1888890</v>
      </c>
      <c r="B27" s="1">
        <f>A27*4/10 -18</f>
        <v>755538</v>
      </c>
      <c r="C27" s="3">
        <f>B27/7000000</f>
        <v>0.107934</v>
      </c>
      <c r="D27" s="6">
        <f>VALUE(MID(W27,$X27+2,L27-(X27+2)))</f>
        <v>-320</v>
      </c>
      <c r="E27" s="6">
        <f>VALUE(MID($W27,L27+1,M27-(L27+1)))</f>
        <v>-780</v>
      </c>
      <c r="F27" s="6">
        <f>VALUE(MID($W27,M27+1,N27-(M27+1)))</f>
        <v>4405</v>
      </c>
      <c r="G27" s="6">
        <f>VALUE(MID($W27,N27+1,O27-(N27+1)))</f>
        <v>328</v>
      </c>
      <c r="H27" s="6">
        <f>VALUE(MID($W27,O27+1,P27-(O27+1)))</f>
        <v>1317</v>
      </c>
      <c r="I27" s="6">
        <f>VALUE(MID($W27,P27+1,Q27-(P27+1)))</f>
        <v>3173</v>
      </c>
      <c r="J27" s="6">
        <f>VALUE(MID($W27,Q27+1,R27-(Q27+1)))</f>
        <v>4746</v>
      </c>
      <c r="K27" s="4">
        <f>VALUE(MID(W27,R27+1,LEN(W27)-(R27)))</f>
        <v>4491</v>
      </c>
      <c r="L27" s="4">
        <f>SEARCH(",",W27,X27)</f>
        <v>16</v>
      </c>
      <c r="M27" s="4">
        <f>SEARCH(",",$W27,L27+1)</f>
        <v>22</v>
      </c>
      <c r="N27" s="4">
        <f>SEARCH(",",$W27,M27+1)</f>
        <v>28</v>
      </c>
      <c r="O27" s="4">
        <f>SEARCH(",",$W27,N27+1)</f>
        <v>33</v>
      </c>
      <c r="P27" s="4">
        <f>SEARCH(",",$W27,O27+1)</f>
        <v>39</v>
      </c>
      <c r="Q27" s="4">
        <f>SEARCH(",",$W27,P27+1)</f>
        <v>45</v>
      </c>
      <c r="R27" s="4">
        <f>SEARCH(",",$W27,Q27+1)</f>
        <v>51</v>
      </c>
      <c r="T27" t="s">
        <v>796</v>
      </c>
      <c r="U27">
        <f>SEARCH(":",T27)</f>
        <v>6</v>
      </c>
      <c r="V27" t="str">
        <f>MID(T27,U27+1,LEN(T27)-(U27))</f>
        <v xml:space="preserve"> 1888890 ** -320, -780, 4405, 328, 1317, 3173, 4746, 4491</v>
      </c>
      <c r="W27" t="str">
        <f>TRIM(V27)</f>
        <v>1888890 ** -320, -780, 4405, 328, 1317, 3173, 4746, 4491</v>
      </c>
      <c r="X27">
        <f>SEARCH("~*",W27)</f>
        <v>9</v>
      </c>
      <c r="Y27" t="str">
        <f>LEFT(W27,X27-1)</f>
        <v xml:space="preserve">1888890 </v>
      </c>
      <c r="AA27" t="str">
        <f>CONCATENATE(A27,",",D27,",",E27,",",F27,",",G27,",",H27,",",I27,",",J27,",",K27)</f>
        <v>1888890,-320,-780,4405,328,1317,3173,4746,4491</v>
      </c>
    </row>
    <row r="28" spans="1:27">
      <c r="A28" s="1">
        <f>IF(ISBLANK(T28),"",VALUE(Y28))</f>
        <v>1869389</v>
      </c>
      <c r="B28" s="1">
        <f>A28*4/10 -18</f>
        <v>747737.59999999998</v>
      </c>
      <c r="C28" s="3">
        <f>B28/7000000</f>
        <v>0.10681965714285714</v>
      </c>
      <c r="D28" s="6">
        <f>VALUE(MID(W28,$X28+2,L28-(X28+2)))</f>
        <v>-322</v>
      </c>
      <c r="E28" s="6">
        <f>VALUE(MID($W28,L28+1,M28-(L28+1)))</f>
        <v>-781</v>
      </c>
      <c r="F28" s="6">
        <f>VALUE(MID($W28,M28+1,N28-(M28+1)))</f>
        <v>4404</v>
      </c>
      <c r="G28" s="6">
        <f>VALUE(MID($W28,N28+1,O28-(N28+1)))</f>
        <v>326</v>
      </c>
      <c r="H28" s="6">
        <f>VALUE(MID($W28,O28+1,P28-(O28+1)))</f>
        <v>1316</v>
      </c>
      <c r="I28" s="6">
        <f>VALUE(MID($W28,P28+1,Q28-(P28+1)))</f>
        <v>3174</v>
      </c>
      <c r="J28" s="6">
        <f>VALUE(MID($W28,Q28+1,R28-(Q28+1)))</f>
        <v>4740</v>
      </c>
      <c r="K28" s="4">
        <f>VALUE(MID(W28,R28+1,LEN(W28)-(R28)))</f>
        <v>4496</v>
      </c>
      <c r="L28" s="4">
        <f>SEARCH(",",W28,X28)</f>
        <v>16</v>
      </c>
      <c r="M28" s="4">
        <f>SEARCH(",",$W28,L28+1)</f>
        <v>22</v>
      </c>
      <c r="N28" s="4">
        <f>SEARCH(",",$W28,M28+1)</f>
        <v>28</v>
      </c>
      <c r="O28" s="4">
        <f>SEARCH(",",$W28,N28+1)</f>
        <v>33</v>
      </c>
      <c r="P28" s="4">
        <f>SEARCH(",",$W28,O28+1)</f>
        <v>39</v>
      </c>
      <c r="Q28" s="4">
        <f>SEARCH(",",$W28,P28+1)</f>
        <v>45</v>
      </c>
      <c r="R28" s="4">
        <f>SEARCH(",",$W28,Q28+1)</f>
        <v>51</v>
      </c>
      <c r="T28" t="s">
        <v>717</v>
      </c>
      <c r="U28">
        <f>SEARCH(":",T28)</f>
        <v>6</v>
      </c>
      <c r="V28" t="str">
        <f>MID(T28,U28+1,LEN(T28)-(U28))</f>
        <v xml:space="preserve"> 1869389 ** -322, -781, 4404, 326, 1316, 3174, 4740, 4496</v>
      </c>
      <c r="W28" t="str">
        <f>TRIM(V28)</f>
        <v>1869389 ** -322, -781, 4404, 326, 1316, 3174, 4740, 4496</v>
      </c>
      <c r="X28">
        <f>SEARCH("~*",W28)</f>
        <v>9</v>
      </c>
      <c r="Y28" t="str">
        <f>LEFT(W28,X28-1)</f>
        <v xml:space="preserve">1869389 </v>
      </c>
      <c r="AA28" t="str">
        <f>CONCATENATE(A28,",",D28,",",E28,",",F28,",",G28,",",H28,",",I28,",",J28,",",K28)</f>
        <v>1869389,-322,-781,4404,326,1316,3174,4740,4496</v>
      </c>
    </row>
    <row r="29" spans="1:27">
      <c r="A29" s="1">
        <f>IF(ISBLANK(T29),"",VALUE(Y29))</f>
        <v>1858090</v>
      </c>
      <c r="B29" s="1">
        <f>A29*4/10 -18</f>
        <v>743218</v>
      </c>
      <c r="C29" s="3">
        <f>B29/7000000</f>
        <v>0.106174</v>
      </c>
      <c r="D29" s="6">
        <f>VALUE(MID(W29,$X29+2,L29-(X29+2)))</f>
        <v>-317</v>
      </c>
      <c r="E29" s="6">
        <f>VALUE(MID($W29,L29+1,M29-(L29+1)))</f>
        <v>-778</v>
      </c>
      <c r="F29" s="6">
        <f>VALUE(MID($W29,M29+1,N29-(M29+1)))</f>
        <v>4399</v>
      </c>
      <c r="G29" s="6">
        <f>VALUE(MID($W29,N29+1,O29-(N29+1)))</f>
        <v>321</v>
      </c>
      <c r="H29" s="6">
        <f>VALUE(MID($W29,O29+1,P29-(O29+1)))</f>
        <v>1314</v>
      </c>
      <c r="I29" s="6">
        <f>VALUE(MID($W29,P29+1,Q29-(P29+1)))</f>
        <v>3172</v>
      </c>
      <c r="J29" s="6">
        <f>VALUE(MID($W29,Q29+1,R29-(Q29+1)))</f>
        <v>4741</v>
      </c>
      <c r="K29" s="4">
        <f>VALUE(MID(W29,R29+1,LEN(W29)-(R29)))</f>
        <v>4495</v>
      </c>
      <c r="L29" s="4">
        <f>SEARCH(",",W29,X29)</f>
        <v>16</v>
      </c>
      <c r="M29" s="4">
        <f>SEARCH(",",$W29,L29+1)</f>
        <v>22</v>
      </c>
      <c r="N29" s="4">
        <f>SEARCH(",",$W29,M29+1)</f>
        <v>28</v>
      </c>
      <c r="O29" s="4">
        <f>SEARCH(",",$W29,N29+1)</f>
        <v>33</v>
      </c>
      <c r="P29" s="4">
        <f>SEARCH(",",$W29,O29+1)</f>
        <v>39</v>
      </c>
      <c r="Q29" s="4">
        <f>SEARCH(",",$W29,P29+1)</f>
        <v>45</v>
      </c>
      <c r="R29" s="4">
        <f>SEARCH(",",$W29,Q29+1)</f>
        <v>51</v>
      </c>
      <c r="T29" t="s">
        <v>726</v>
      </c>
      <c r="U29">
        <f>SEARCH(":",T29)</f>
        <v>6</v>
      </c>
      <c r="V29" t="str">
        <f>MID(T29,U29+1,LEN(T29)-(U29))</f>
        <v xml:space="preserve"> 1858090 ** -317, -778, 4399, 321, 1314, 3172, 4741, 4495</v>
      </c>
      <c r="W29" t="str">
        <f>TRIM(V29)</f>
        <v>1858090 ** -317, -778, 4399, 321, 1314, 3172, 4741, 4495</v>
      </c>
      <c r="X29">
        <f>SEARCH("~*",W29)</f>
        <v>9</v>
      </c>
      <c r="Y29" t="str">
        <f>LEFT(W29,X29-1)</f>
        <v xml:space="preserve">1858090 </v>
      </c>
      <c r="AA29" t="str">
        <f>CONCATENATE(A29,",",D29,",",E29,",",F29,",",G29,",",H29,",",I29,",",J29,",",K29)</f>
        <v>1858090,-317,-778,4399,321,1314,3172,4741,4495</v>
      </c>
    </row>
    <row r="30" spans="1:27">
      <c r="A30" s="1">
        <f>IF(ISBLANK(T30),"",VALUE(Y30))</f>
        <v>1837063</v>
      </c>
      <c r="B30" s="1">
        <f>A30*4/10 -18</f>
        <v>734807.2</v>
      </c>
      <c r="C30" s="3">
        <f>B30/7000000</f>
        <v>0.10497245714285713</v>
      </c>
      <c r="D30" s="6">
        <f>VALUE(MID(W30,$X30+2,L30-(X30+2)))</f>
        <v>-319</v>
      </c>
      <c r="E30" s="6">
        <f>VALUE(MID($W30,L30+1,M30-(L30+1)))</f>
        <v>-781</v>
      </c>
      <c r="F30" s="6">
        <f>VALUE(MID($W30,M30+1,N30-(M30+1)))</f>
        <v>4407</v>
      </c>
      <c r="G30" s="6">
        <f>VALUE(MID($W30,N30+1,O30-(N30+1)))</f>
        <v>323</v>
      </c>
      <c r="H30" s="6">
        <f>VALUE(MID($W30,O30+1,P30-(O30+1)))</f>
        <v>1316</v>
      </c>
      <c r="I30" s="6">
        <f>VALUE(MID($W30,P30+1,Q30-(P30+1)))</f>
        <v>3174</v>
      </c>
      <c r="J30" s="6">
        <f>VALUE(MID($W30,Q30+1,R30-(Q30+1)))</f>
        <v>4746</v>
      </c>
      <c r="K30" s="4">
        <f>VALUE(MID(W30,R30+1,LEN(W30)-(R30)))</f>
        <v>4495</v>
      </c>
      <c r="L30" s="4">
        <f>SEARCH(",",W30,X30)</f>
        <v>16</v>
      </c>
      <c r="M30" s="4">
        <f>SEARCH(",",$W30,L30+1)</f>
        <v>22</v>
      </c>
      <c r="N30" s="4">
        <f>SEARCH(",",$W30,M30+1)</f>
        <v>28</v>
      </c>
      <c r="O30" s="4">
        <f>SEARCH(",",$W30,N30+1)</f>
        <v>33</v>
      </c>
      <c r="P30" s="4">
        <f>SEARCH(",",$W30,O30+1)</f>
        <v>39</v>
      </c>
      <c r="Q30" s="4">
        <f>SEARCH(",",$W30,P30+1)</f>
        <v>45</v>
      </c>
      <c r="R30" s="4">
        <f>SEARCH(",",$W30,Q30+1)</f>
        <v>51</v>
      </c>
      <c r="T30" t="s">
        <v>705</v>
      </c>
      <c r="U30">
        <f>SEARCH(":",T30)</f>
        <v>6</v>
      </c>
      <c r="V30" t="str">
        <f>MID(T30,U30+1,LEN(T30)-(U30))</f>
        <v xml:space="preserve"> 1837063 ** -319, -781, 4407, 323, 1316, 3174, 4746, 4495</v>
      </c>
      <c r="W30" t="str">
        <f>TRIM(V30)</f>
        <v>1837063 ** -319, -781, 4407, 323, 1316, 3174, 4746, 4495</v>
      </c>
      <c r="X30">
        <f>SEARCH("~*",W30)</f>
        <v>9</v>
      </c>
      <c r="Y30" t="str">
        <f>LEFT(W30,X30-1)</f>
        <v xml:space="preserve">1837063 </v>
      </c>
      <c r="AA30" t="str">
        <f>CONCATENATE(A30,",",D30,",",E30,",",F30,",",G30,",",H30,",",I30,",",J30,",",K30)</f>
        <v>1837063,-319,-781,4407,323,1316,3174,4746,4495</v>
      </c>
    </row>
    <row r="31" spans="1:27">
      <c r="A31" s="1">
        <f>IF(ISBLANK(T31),"",VALUE(Y31))</f>
        <v>1733261</v>
      </c>
      <c r="B31" s="1">
        <f>A31*4/10 -18</f>
        <v>693286.40000000002</v>
      </c>
      <c r="C31" s="3">
        <f>B31/7000000</f>
        <v>9.9040914285714293E-2</v>
      </c>
      <c r="D31" s="6">
        <f>VALUE(MID(W31,$X31+2,L31-(X31+2)))</f>
        <v>-317</v>
      </c>
      <c r="E31" s="6">
        <f>VALUE(MID($W31,L31+1,M31-(L31+1)))</f>
        <v>-773</v>
      </c>
      <c r="F31" s="6">
        <f>VALUE(MID($W31,M31+1,N31-(M31+1)))</f>
        <v>4401</v>
      </c>
      <c r="G31" s="6">
        <f>VALUE(MID($W31,N31+1,O31-(N31+1)))</f>
        <v>324</v>
      </c>
      <c r="H31" s="6">
        <f>VALUE(MID($W31,O31+1,P31-(O31+1)))</f>
        <v>1316</v>
      </c>
      <c r="I31" s="6">
        <f>VALUE(MID($W31,P31+1,Q31-(P31+1)))</f>
        <v>3168</v>
      </c>
      <c r="J31" s="6">
        <f>VALUE(MID($W31,Q31+1,R31-(Q31+1)))</f>
        <v>4743</v>
      </c>
      <c r="K31" s="4">
        <f>VALUE(MID(W31,R31+1,LEN(W31)-(R31)))</f>
        <v>4493</v>
      </c>
      <c r="L31" s="4">
        <f>SEARCH(",",W31,X31)</f>
        <v>16</v>
      </c>
      <c r="M31" s="4">
        <f>SEARCH(",",$W31,L31+1)</f>
        <v>22</v>
      </c>
      <c r="N31" s="4">
        <f>SEARCH(",",$W31,M31+1)</f>
        <v>28</v>
      </c>
      <c r="O31" s="4">
        <f>SEARCH(",",$W31,N31+1)</f>
        <v>33</v>
      </c>
      <c r="P31" s="4">
        <f>SEARCH(",",$W31,O31+1)</f>
        <v>39</v>
      </c>
      <c r="Q31" s="4">
        <f>SEARCH(",",$W31,P31+1)</f>
        <v>45</v>
      </c>
      <c r="R31" s="4">
        <f>SEARCH(",",$W31,Q31+1)</f>
        <v>51</v>
      </c>
      <c r="T31" t="s">
        <v>719</v>
      </c>
      <c r="U31">
        <f>SEARCH(":",T31)</f>
        <v>6</v>
      </c>
      <c r="V31" t="str">
        <f>MID(T31,U31+1,LEN(T31)-(U31))</f>
        <v xml:space="preserve"> 1733261 ** -317, -773, 4401, 324, 1316, 3168, 4743, 4493</v>
      </c>
      <c r="W31" t="str">
        <f>TRIM(V31)</f>
        <v>1733261 ** -317, -773, 4401, 324, 1316, 3168, 4743, 4493</v>
      </c>
      <c r="X31">
        <f>SEARCH("~*",W31)</f>
        <v>9</v>
      </c>
      <c r="Y31" t="str">
        <f>LEFT(W31,X31-1)</f>
        <v xml:space="preserve">1733261 </v>
      </c>
      <c r="AA31" t="str">
        <f>CONCATENATE(A31,",",D31,",",E31,",",F31,",",G31,",",H31,",",I31,",",J31,",",K31)</f>
        <v>1733261,-317,-773,4401,324,1316,3168,4743,4493</v>
      </c>
    </row>
    <row r="32" spans="1:27">
      <c r="A32" s="1">
        <f>IF(ISBLANK(T32),"",VALUE(Y32))</f>
        <v>1695597</v>
      </c>
      <c r="B32" s="1">
        <f>A32*4/10 -18</f>
        <v>678220.80000000005</v>
      </c>
      <c r="C32" s="3">
        <f>B32/7000000</f>
        <v>9.6888685714285716E-2</v>
      </c>
      <c r="D32" s="6">
        <f>VALUE(MID(W32,$X32+2,L32-(X32+2)))</f>
        <v>-320</v>
      </c>
      <c r="E32" s="6">
        <f>VALUE(MID($W32,L32+1,M32-(L32+1)))</f>
        <v>-777</v>
      </c>
      <c r="F32" s="6">
        <f>VALUE(MID($W32,M32+1,N32-(M32+1)))</f>
        <v>4402</v>
      </c>
      <c r="G32" s="6">
        <f>VALUE(MID($W32,N32+1,O32-(N32+1)))</f>
        <v>321</v>
      </c>
      <c r="H32" s="6">
        <f>VALUE(MID($W32,O32+1,P32-(O32+1)))</f>
        <v>1313</v>
      </c>
      <c r="I32" s="6">
        <f>VALUE(MID($W32,P32+1,Q32-(P32+1)))</f>
        <v>3168</v>
      </c>
      <c r="J32" s="6">
        <f>VALUE(MID($W32,Q32+1,R32-(Q32+1)))</f>
        <v>4744</v>
      </c>
      <c r="K32" s="4">
        <f>VALUE(MID(W32,R32+1,LEN(W32)-(R32)))</f>
        <v>4493</v>
      </c>
      <c r="L32" s="4">
        <f>SEARCH(",",W32,X32)</f>
        <v>16</v>
      </c>
      <c r="M32" s="4">
        <f>SEARCH(",",$W32,L32+1)</f>
        <v>22</v>
      </c>
      <c r="N32" s="4">
        <f>SEARCH(",",$W32,M32+1)</f>
        <v>28</v>
      </c>
      <c r="O32" s="4">
        <f>SEARCH(",",$W32,N32+1)</f>
        <v>33</v>
      </c>
      <c r="P32" s="4">
        <f>SEARCH(",",$W32,O32+1)</f>
        <v>39</v>
      </c>
      <c r="Q32" s="4">
        <f>SEARCH(",",$W32,P32+1)</f>
        <v>45</v>
      </c>
      <c r="R32" s="4">
        <f>SEARCH(",",$W32,Q32+1)</f>
        <v>51</v>
      </c>
      <c r="T32" t="s">
        <v>608</v>
      </c>
      <c r="U32">
        <f>SEARCH(":",T32)</f>
        <v>6</v>
      </c>
      <c r="V32" t="str">
        <f>MID(T32,U32+1,LEN(T32)-(U32))</f>
        <v xml:space="preserve"> 1695597 ** -320, -777, 4402, 321, 1313, 3168, 4744, 4493</v>
      </c>
      <c r="W32" t="str">
        <f>TRIM(V32)</f>
        <v>1695597 ** -320, -777, 4402, 321, 1313, 3168, 4744, 4493</v>
      </c>
      <c r="X32">
        <f>SEARCH("~*",W32)</f>
        <v>9</v>
      </c>
      <c r="Y32" t="str">
        <f>LEFT(W32,X32-1)</f>
        <v xml:space="preserve">1695597 </v>
      </c>
      <c r="AA32" t="str">
        <f>CONCATENATE(A32,",",D32,",",E32,",",F32,",",G32,",",H32,",",I32,",",J32,",",K32)</f>
        <v>1695597,-320,-777,4402,321,1313,3168,4744,4493</v>
      </c>
    </row>
    <row r="33" spans="1:27">
      <c r="A33" s="1">
        <f>IF(ISBLANK(T33),"",VALUE(Y33))</f>
        <v>1627295</v>
      </c>
      <c r="B33" s="1">
        <f>A33*4/10 -18</f>
        <v>650900</v>
      </c>
      <c r="C33" s="3">
        <f>B33/7000000</f>
        <v>9.2985714285714283E-2</v>
      </c>
      <c r="D33" s="6">
        <f>VALUE(MID(W33,$X33+2,L33-(X33+2)))</f>
        <v>-321</v>
      </c>
      <c r="E33" s="6">
        <f>VALUE(MID($W33,L33+1,M33-(L33+1)))</f>
        <v>-780</v>
      </c>
      <c r="F33" s="6">
        <f>VALUE(MID($W33,M33+1,N33-(M33+1)))</f>
        <v>4403</v>
      </c>
      <c r="G33" s="6">
        <f>VALUE(MID($W33,N33+1,O33-(N33+1)))</f>
        <v>321</v>
      </c>
      <c r="H33" s="6">
        <f>VALUE(MID($W33,O33+1,P33-(O33+1)))</f>
        <v>1318</v>
      </c>
      <c r="I33" s="6">
        <f>VALUE(MID($W33,P33+1,Q33-(P33+1)))</f>
        <v>3167</v>
      </c>
      <c r="J33" s="6">
        <f>VALUE(MID($W33,Q33+1,R33-(Q33+1)))</f>
        <v>4741</v>
      </c>
      <c r="K33" s="4">
        <f>VALUE(MID(W33,R33+1,LEN(W33)-(R33)))</f>
        <v>4495</v>
      </c>
      <c r="L33" s="4">
        <f>SEARCH(",",W33,X33)</f>
        <v>16</v>
      </c>
      <c r="M33" s="4">
        <f>SEARCH(",",$W33,L33+1)</f>
        <v>22</v>
      </c>
      <c r="N33" s="4">
        <f>SEARCH(",",$W33,M33+1)</f>
        <v>28</v>
      </c>
      <c r="O33" s="4">
        <f>SEARCH(",",$W33,N33+1)</f>
        <v>33</v>
      </c>
      <c r="P33" s="4">
        <f>SEARCH(",",$W33,O33+1)</f>
        <v>39</v>
      </c>
      <c r="Q33" s="4">
        <f>SEARCH(",",$W33,P33+1)</f>
        <v>45</v>
      </c>
      <c r="R33" s="4">
        <f>SEARCH(",",$W33,Q33+1)</f>
        <v>51</v>
      </c>
      <c r="T33" t="s">
        <v>827</v>
      </c>
      <c r="U33">
        <f>SEARCH(":",T33)</f>
        <v>6</v>
      </c>
      <c r="V33" t="str">
        <f>MID(T33,U33+1,LEN(T33)-(U33))</f>
        <v xml:space="preserve"> 1627295 ** -321, -780, 4403, 321, 1318, 3167, 4741, 4495</v>
      </c>
      <c r="W33" t="str">
        <f>TRIM(V33)</f>
        <v>1627295 ** -321, -780, 4403, 321, 1318, 3167, 4741, 4495</v>
      </c>
      <c r="X33">
        <f>SEARCH("~*",W33)</f>
        <v>9</v>
      </c>
      <c r="Y33" t="str">
        <f>LEFT(W33,X33-1)</f>
        <v xml:space="preserve">1627295 </v>
      </c>
      <c r="AA33" t="str">
        <f>CONCATENATE(A33,",",D33,",",E33,",",F33,",",G33,",",H33,",",I33,",",J33,",",K33)</f>
        <v>1627295,-321,-780,4403,321,1318,3167,4741,4495</v>
      </c>
    </row>
    <row r="34" spans="1:27">
      <c r="A34" s="1">
        <f>IF(ISBLANK(T34),"",VALUE(Y34))</f>
        <v>1620693</v>
      </c>
      <c r="B34" s="1">
        <f>A34*4/10 -18</f>
        <v>648259.19999999995</v>
      </c>
      <c r="C34" s="3">
        <f>B34/7000000</f>
        <v>9.2608457142857134E-2</v>
      </c>
      <c r="D34" s="6">
        <f>VALUE(MID(W34,$X34+2,L34-(X34+2)))</f>
        <v>-315</v>
      </c>
      <c r="E34" s="6">
        <f>VALUE(MID($W34,L34+1,M34-(L34+1)))</f>
        <v>-780</v>
      </c>
      <c r="F34" s="6">
        <f>VALUE(MID($W34,M34+1,N34-(M34+1)))</f>
        <v>4404</v>
      </c>
      <c r="G34" s="6">
        <f>VALUE(MID($W34,N34+1,O34-(N34+1)))</f>
        <v>324</v>
      </c>
      <c r="H34" s="6">
        <f>VALUE(MID($W34,O34+1,P34-(O34+1)))</f>
        <v>1318</v>
      </c>
      <c r="I34" s="6">
        <f>VALUE(MID($W34,P34+1,Q34-(P34+1)))</f>
        <v>3169</v>
      </c>
      <c r="J34" s="6">
        <f>VALUE(MID($W34,Q34+1,R34-(Q34+1)))</f>
        <v>4745</v>
      </c>
      <c r="K34" s="4">
        <f>VALUE(MID(W34,R34+1,LEN(W34)-(R34)))</f>
        <v>4491</v>
      </c>
      <c r="L34" s="4">
        <f>SEARCH(",",W34,X34)</f>
        <v>16</v>
      </c>
      <c r="M34" s="4">
        <f>SEARCH(",",$W34,L34+1)</f>
        <v>22</v>
      </c>
      <c r="N34" s="4">
        <f>SEARCH(",",$W34,M34+1)</f>
        <v>28</v>
      </c>
      <c r="O34" s="4">
        <f>SEARCH(",",$W34,N34+1)</f>
        <v>33</v>
      </c>
      <c r="P34" s="4">
        <f>SEARCH(",",$W34,O34+1)</f>
        <v>39</v>
      </c>
      <c r="Q34" s="4">
        <f>SEARCH(",",$W34,P34+1)</f>
        <v>45</v>
      </c>
      <c r="R34" s="4">
        <f>SEARCH(",",$W34,Q34+1)</f>
        <v>51</v>
      </c>
      <c r="T34" t="s">
        <v>631</v>
      </c>
      <c r="U34">
        <f>SEARCH(":",T34)</f>
        <v>6</v>
      </c>
      <c r="V34" t="str">
        <f>MID(T34,U34+1,LEN(T34)-(U34))</f>
        <v xml:space="preserve"> 1620693 ** -315, -780, 4404, 324, 1318, 3169, 4745, 4491</v>
      </c>
      <c r="W34" t="str">
        <f>TRIM(V34)</f>
        <v>1620693 ** -315, -780, 4404, 324, 1318, 3169, 4745, 4491</v>
      </c>
      <c r="X34">
        <f>SEARCH("~*",W34)</f>
        <v>9</v>
      </c>
      <c r="Y34" t="str">
        <f>LEFT(W34,X34-1)</f>
        <v xml:space="preserve">1620693 </v>
      </c>
      <c r="AA34" t="str">
        <f>CONCATENATE(A34,",",D34,",",E34,",",F34,",",G34,",",H34,",",I34,",",J34,",",K34)</f>
        <v>1620693,-315,-780,4404,324,1318,3169,4745,4491</v>
      </c>
    </row>
    <row r="35" spans="1:27">
      <c r="A35" s="1">
        <f>IF(ISBLANK(T35),"",VALUE(Y35))</f>
        <v>1578465</v>
      </c>
      <c r="B35" s="1">
        <f>A35*4/10 -18</f>
        <v>631368</v>
      </c>
      <c r="C35" s="3">
        <f>B35/7000000</f>
        <v>9.0195428571428565E-2</v>
      </c>
      <c r="D35" s="6">
        <f>VALUE(MID(W35,$X35+2,L35-(X35+2)))</f>
        <v>-323</v>
      </c>
      <c r="E35" s="6">
        <f>VALUE(MID($W35,L35+1,M35-(L35+1)))</f>
        <v>-773</v>
      </c>
      <c r="F35" s="6">
        <f>VALUE(MID($W35,M35+1,N35-(M35+1)))</f>
        <v>4405</v>
      </c>
      <c r="G35" s="6">
        <f>VALUE(MID($W35,N35+1,O35-(N35+1)))</f>
        <v>327</v>
      </c>
      <c r="H35" s="6">
        <f>VALUE(MID($W35,O35+1,P35-(O35+1)))</f>
        <v>1315</v>
      </c>
      <c r="I35" s="6">
        <f>VALUE(MID($W35,P35+1,Q35-(P35+1)))</f>
        <v>3170</v>
      </c>
      <c r="J35" s="6">
        <f>VALUE(MID($W35,Q35+1,R35-(Q35+1)))</f>
        <v>4748</v>
      </c>
      <c r="K35" s="4">
        <f>VALUE(MID(W35,R35+1,LEN(W35)-(R35)))</f>
        <v>4499</v>
      </c>
      <c r="L35" s="4">
        <f>SEARCH(",",W35,X35)</f>
        <v>16</v>
      </c>
      <c r="M35" s="4">
        <f>SEARCH(",",$W35,L35+1)</f>
        <v>22</v>
      </c>
      <c r="N35" s="4">
        <f>SEARCH(",",$W35,M35+1)</f>
        <v>28</v>
      </c>
      <c r="O35" s="4">
        <f>SEARCH(",",$W35,N35+1)</f>
        <v>33</v>
      </c>
      <c r="P35" s="4">
        <f>SEARCH(",",$W35,O35+1)</f>
        <v>39</v>
      </c>
      <c r="Q35" s="4">
        <f>SEARCH(",",$W35,P35+1)</f>
        <v>45</v>
      </c>
      <c r="R35" s="4">
        <f>SEARCH(",",$W35,Q35+1)</f>
        <v>51</v>
      </c>
      <c r="T35" t="s">
        <v>812</v>
      </c>
      <c r="U35">
        <f>SEARCH(":",T35)</f>
        <v>6</v>
      </c>
      <c r="V35" t="str">
        <f>MID(T35,U35+1,LEN(T35)-(U35))</f>
        <v xml:space="preserve"> 1578465 ** -323, -773, 4405, 327, 1315, 3170, 4748, 4499</v>
      </c>
      <c r="W35" t="str">
        <f>TRIM(V35)</f>
        <v>1578465 ** -323, -773, 4405, 327, 1315, 3170, 4748, 4499</v>
      </c>
      <c r="X35">
        <f>SEARCH("~*",W35)</f>
        <v>9</v>
      </c>
      <c r="Y35" t="str">
        <f>LEFT(W35,X35-1)</f>
        <v xml:space="preserve">1578465 </v>
      </c>
      <c r="AA35" t="str">
        <f>CONCATENATE(A35,",",D35,",",E35,",",F35,",",G35,",",H35,",",I35,",",J35,",",K35)</f>
        <v>1578465,-323,-773,4405,327,1315,3170,4748,4499</v>
      </c>
    </row>
    <row r="36" spans="1:27">
      <c r="A36" s="1">
        <f>IF(ISBLANK(T36),"",VALUE(Y36))</f>
        <v>1532627</v>
      </c>
      <c r="B36" s="1">
        <f>A36*4/10 -18</f>
        <v>613032.80000000005</v>
      </c>
      <c r="C36" s="3">
        <f>B36/7000000</f>
        <v>8.7576114285714296E-2</v>
      </c>
      <c r="D36" s="6">
        <f>VALUE(MID(W36,$X36+2,L36-(X36+2)))</f>
        <v>-322</v>
      </c>
      <c r="E36" s="6">
        <f>VALUE(MID($W36,L36+1,M36-(L36+1)))</f>
        <v>-777</v>
      </c>
      <c r="F36" s="6">
        <f>VALUE(MID($W36,M36+1,N36-(M36+1)))</f>
        <v>4406</v>
      </c>
      <c r="G36" s="6">
        <f>VALUE(MID($W36,N36+1,O36-(N36+1)))</f>
        <v>326</v>
      </c>
      <c r="H36" s="6">
        <f>VALUE(MID($W36,O36+1,P36-(O36+1)))</f>
        <v>1318</v>
      </c>
      <c r="I36" s="6">
        <f>VALUE(MID($W36,P36+1,Q36-(P36+1)))</f>
        <v>3172</v>
      </c>
      <c r="J36" s="6">
        <f>VALUE(MID($W36,Q36+1,R36-(Q36+1)))</f>
        <v>4740</v>
      </c>
      <c r="K36" s="4">
        <f>VALUE(MID(W36,R36+1,LEN(W36)-(R36)))</f>
        <v>4499</v>
      </c>
      <c r="L36" s="4">
        <f>SEARCH(",",W36,X36)</f>
        <v>16</v>
      </c>
      <c r="M36" s="4">
        <f>SEARCH(",",$W36,L36+1)</f>
        <v>22</v>
      </c>
      <c r="N36" s="4">
        <f>SEARCH(",",$W36,M36+1)</f>
        <v>28</v>
      </c>
      <c r="O36" s="4">
        <f>SEARCH(",",$W36,N36+1)</f>
        <v>33</v>
      </c>
      <c r="P36" s="4">
        <f>SEARCH(",",$W36,O36+1)</f>
        <v>39</v>
      </c>
      <c r="Q36" s="4">
        <f>SEARCH(",",$W36,P36+1)</f>
        <v>45</v>
      </c>
      <c r="R36" s="4">
        <f>SEARCH(",",$W36,Q36+1)</f>
        <v>51</v>
      </c>
      <c r="T36" t="s">
        <v>752</v>
      </c>
      <c r="U36">
        <f>SEARCH(":",T36)</f>
        <v>6</v>
      </c>
      <c r="V36" t="str">
        <f>MID(T36,U36+1,LEN(T36)-(U36))</f>
        <v xml:space="preserve"> 1532627 ** -322, -777, 4406, 326, 1318, 3172, 4740, 4499</v>
      </c>
      <c r="W36" t="str">
        <f>TRIM(V36)</f>
        <v>1532627 ** -322, -777, 4406, 326, 1318, 3172, 4740, 4499</v>
      </c>
      <c r="X36">
        <f>SEARCH("~*",W36)</f>
        <v>9</v>
      </c>
      <c r="Y36" t="str">
        <f>LEFT(W36,X36-1)</f>
        <v xml:space="preserve">1532627 </v>
      </c>
      <c r="AA36" t="str">
        <f>CONCATENATE(A36,",",D36,",",E36,",",F36,",",G36,",",H36,",",I36,",",J36,",",K36)</f>
        <v>1532627,-322,-777,4406,326,1318,3172,4740,4499</v>
      </c>
    </row>
    <row r="37" spans="1:27">
      <c r="A37" s="1">
        <f>IF(ISBLANK(T37),"",VALUE(Y37))</f>
        <v>1532079</v>
      </c>
      <c r="B37" s="1">
        <f>A37*4/10 -18</f>
        <v>612813.6</v>
      </c>
      <c r="C37" s="3">
        <f>B37/7000000</f>
        <v>8.7544799999999992E-2</v>
      </c>
      <c r="D37" s="6">
        <f>VALUE(MID(W37,$X37+2,L37-(X37+2)))</f>
        <v>-324</v>
      </c>
      <c r="E37" s="6">
        <f>VALUE(MID($W37,L37+1,M37-(L37+1)))</f>
        <v>-779</v>
      </c>
      <c r="F37" s="6">
        <f>VALUE(MID($W37,M37+1,N37-(M37+1)))</f>
        <v>4406</v>
      </c>
      <c r="G37" s="6">
        <f>VALUE(MID($W37,N37+1,O37-(N37+1)))</f>
        <v>327</v>
      </c>
      <c r="H37" s="6">
        <f>VALUE(MID($W37,O37+1,P37-(O37+1)))</f>
        <v>1314</v>
      </c>
      <c r="I37" s="6">
        <f>VALUE(MID($W37,P37+1,Q37-(P37+1)))</f>
        <v>3175</v>
      </c>
      <c r="J37" s="6">
        <f>VALUE(MID($W37,Q37+1,R37-(Q37+1)))</f>
        <v>4739</v>
      </c>
      <c r="K37" s="4">
        <f>VALUE(MID(W37,R37+1,LEN(W37)-(R37)))</f>
        <v>4500</v>
      </c>
      <c r="L37" s="4">
        <f>SEARCH(",",W37,X37)</f>
        <v>16</v>
      </c>
      <c r="M37" s="4">
        <f>SEARCH(",",$W37,L37+1)</f>
        <v>22</v>
      </c>
      <c r="N37" s="4">
        <f>SEARCH(",",$W37,M37+1)</f>
        <v>28</v>
      </c>
      <c r="O37" s="4">
        <f>SEARCH(",",$W37,N37+1)</f>
        <v>33</v>
      </c>
      <c r="P37" s="4">
        <f>SEARCH(",",$W37,O37+1)</f>
        <v>39</v>
      </c>
      <c r="Q37" s="4">
        <f>SEARCH(",",$W37,P37+1)</f>
        <v>45</v>
      </c>
      <c r="R37" s="4">
        <f>SEARCH(",",$W37,Q37+1)</f>
        <v>51</v>
      </c>
      <c r="T37" t="s">
        <v>712</v>
      </c>
      <c r="U37">
        <f>SEARCH(":",T37)</f>
        <v>6</v>
      </c>
      <c r="V37" t="str">
        <f>MID(T37,U37+1,LEN(T37)-(U37))</f>
        <v xml:space="preserve"> 1532079 ** -324, -779, 4406, 327, 1314, 3175, 4739, 4500</v>
      </c>
      <c r="W37" t="str">
        <f>TRIM(V37)</f>
        <v>1532079 ** -324, -779, 4406, 327, 1314, 3175, 4739, 4500</v>
      </c>
      <c r="X37">
        <f>SEARCH("~*",W37)</f>
        <v>9</v>
      </c>
      <c r="Y37" t="str">
        <f>LEFT(W37,X37-1)</f>
        <v xml:space="preserve">1532079 </v>
      </c>
      <c r="AA37" t="str">
        <f>CONCATENATE(A37,",",D37,",",E37,",",F37,",",G37,",",H37,",",I37,",",J37,",",K37)</f>
        <v>1532079,-324,-779,4406,327,1314,3175,4739,4500</v>
      </c>
    </row>
    <row r="38" spans="1:27">
      <c r="A38" s="1">
        <f>IF(ISBLANK(T38),"",VALUE(Y38))</f>
        <v>1522709</v>
      </c>
      <c r="B38" s="1">
        <f>A38*4/10 -18</f>
        <v>609065.6</v>
      </c>
      <c r="C38" s="3">
        <f>B38/7000000</f>
        <v>8.700937142857143E-2</v>
      </c>
      <c r="D38" s="6">
        <f>VALUE(MID(W38,$X38+2,L38-(X38+2)))</f>
        <v>-318</v>
      </c>
      <c r="E38" s="6">
        <f>VALUE(MID($W38,L38+1,M38-(L38+1)))</f>
        <v>-779</v>
      </c>
      <c r="F38" s="6">
        <f>VALUE(MID($W38,M38+1,N38-(M38+1)))</f>
        <v>4405</v>
      </c>
      <c r="G38" s="6">
        <f>VALUE(MID($W38,N38+1,O38-(N38+1)))</f>
        <v>323</v>
      </c>
      <c r="H38" s="6">
        <f>VALUE(MID($W38,O38+1,P38-(O38+1)))</f>
        <v>1314</v>
      </c>
      <c r="I38" s="6">
        <f>VALUE(MID($W38,P38+1,Q38-(P38+1)))</f>
        <v>3166</v>
      </c>
      <c r="J38" s="6">
        <f>VALUE(MID($W38,Q38+1,R38-(Q38+1)))</f>
        <v>4740</v>
      </c>
      <c r="K38" s="4">
        <f>VALUE(MID(W38,R38+1,LEN(W38)-(R38)))</f>
        <v>4491</v>
      </c>
      <c r="L38" s="4">
        <f>SEARCH(",",W38,X38)</f>
        <v>16</v>
      </c>
      <c r="M38" s="4">
        <f>SEARCH(",",$W38,L38+1)</f>
        <v>22</v>
      </c>
      <c r="N38" s="4">
        <f>SEARCH(",",$W38,M38+1)</f>
        <v>28</v>
      </c>
      <c r="O38" s="4">
        <f>SEARCH(",",$W38,N38+1)</f>
        <v>33</v>
      </c>
      <c r="P38" s="4">
        <f>SEARCH(",",$W38,O38+1)</f>
        <v>39</v>
      </c>
      <c r="Q38" s="4">
        <f>SEARCH(",",$W38,P38+1)</f>
        <v>45</v>
      </c>
      <c r="R38" s="4">
        <f>SEARCH(",",$W38,Q38+1)</f>
        <v>51</v>
      </c>
      <c r="T38" t="s">
        <v>801</v>
      </c>
      <c r="U38">
        <f>SEARCH(":",T38)</f>
        <v>6</v>
      </c>
      <c r="V38" t="str">
        <f>MID(T38,U38+1,LEN(T38)-(U38))</f>
        <v xml:space="preserve"> 1522709 ** -318, -779, 4405, 323, 1314, 3166, 4740, 4491</v>
      </c>
      <c r="W38" t="str">
        <f>TRIM(V38)</f>
        <v>1522709 ** -318, -779, 4405, 323, 1314, 3166, 4740, 4491</v>
      </c>
      <c r="X38">
        <f>SEARCH("~*",W38)</f>
        <v>9</v>
      </c>
      <c r="Y38" t="str">
        <f>LEFT(W38,X38-1)</f>
        <v xml:space="preserve">1522709 </v>
      </c>
      <c r="AA38" t="str">
        <f>CONCATENATE(A38,",",D38,",",E38,",",F38,",",G38,",",H38,",",I38,",",J38,",",K38)</f>
        <v>1522709,-318,-779,4405,323,1314,3166,4740,4491</v>
      </c>
    </row>
    <row r="39" spans="1:27">
      <c r="A39" s="1">
        <f>IF(ISBLANK(T39),"",VALUE(Y39))</f>
        <v>1507458</v>
      </c>
      <c r="B39" s="1">
        <f>A39*4/10 -18</f>
        <v>602965.19999999995</v>
      </c>
      <c r="C39" s="3">
        <f>B39/7000000</f>
        <v>8.6137885714285711E-2</v>
      </c>
      <c r="D39" s="6">
        <f>VALUE(MID(W39,$X39+2,L39-(X39+2)))</f>
        <v>-322</v>
      </c>
      <c r="E39" s="6">
        <f>VALUE(MID($W39,L39+1,M39-(L39+1)))</f>
        <v>-778</v>
      </c>
      <c r="F39" s="6">
        <f>VALUE(MID($W39,M39+1,N39-(M39+1)))</f>
        <v>4399</v>
      </c>
      <c r="G39" s="6">
        <f>VALUE(MID($W39,N39+1,O39-(N39+1)))</f>
        <v>327</v>
      </c>
      <c r="H39" s="6">
        <f>VALUE(MID($W39,O39+1,P39-(O39+1)))</f>
        <v>1314</v>
      </c>
      <c r="I39" s="6">
        <f>VALUE(MID($W39,P39+1,Q39-(P39+1)))</f>
        <v>3174</v>
      </c>
      <c r="J39" s="6">
        <f>VALUE(MID($W39,Q39+1,R39-(Q39+1)))</f>
        <v>4748</v>
      </c>
      <c r="K39" s="4">
        <f>VALUE(MID(W39,R39+1,LEN(W39)-(R39)))</f>
        <v>4492</v>
      </c>
      <c r="L39" s="4">
        <f>SEARCH(",",W39,X39)</f>
        <v>16</v>
      </c>
      <c r="M39" s="4">
        <f>SEARCH(",",$W39,L39+1)</f>
        <v>22</v>
      </c>
      <c r="N39" s="4">
        <f>SEARCH(",",$W39,M39+1)</f>
        <v>28</v>
      </c>
      <c r="O39" s="4">
        <f>SEARCH(",",$W39,N39+1)</f>
        <v>33</v>
      </c>
      <c r="P39" s="4">
        <f>SEARCH(",",$W39,O39+1)</f>
        <v>39</v>
      </c>
      <c r="Q39" s="4">
        <f>SEARCH(",",$W39,P39+1)</f>
        <v>45</v>
      </c>
      <c r="R39" s="4">
        <f>SEARCH(",",$W39,Q39+1)</f>
        <v>51</v>
      </c>
      <c r="T39" t="s">
        <v>670</v>
      </c>
      <c r="U39">
        <f>SEARCH(":",T39)</f>
        <v>6</v>
      </c>
      <c r="V39" t="str">
        <f>MID(T39,U39+1,LEN(T39)-(U39))</f>
        <v xml:space="preserve"> 1507458 ** -322, -778, 4399, 327, 1314, 3174, 4748, 4492</v>
      </c>
      <c r="W39" t="str">
        <f>TRIM(V39)</f>
        <v>1507458 ** -322, -778, 4399, 327, 1314, 3174, 4748, 4492</v>
      </c>
      <c r="X39">
        <f>SEARCH("~*",W39)</f>
        <v>9</v>
      </c>
      <c r="Y39" t="str">
        <f>LEFT(W39,X39-1)</f>
        <v xml:space="preserve">1507458 </v>
      </c>
      <c r="AA39" t="str">
        <f>CONCATENATE(A39,",",D39,",",E39,",",F39,",",G39,",",H39,",",I39,",",J39,",",K39)</f>
        <v>1507458,-322,-778,4399,327,1314,3174,4748,4492</v>
      </c>
    </row>
    <row r="40" spans="1:27">
      <c r="A40" s="1">
        <f>IF(ISBLANK(T40),"",VALUE(Y40))</f>
        <v>1507028</v>
      </c>
      <c r="B40" s="1">
        <f>A40*4/10 -18</f>
        <v>602793.19999999995</v>
      </c>
      <c r="C40" s="3">
        <f>B40/7000000</f>
        <v>8.6113314285714282E-2</v>
      </c>
      <c r="D40" s="6">
        <f>VALUE(MID(W40,$X40+2,L40-(X40+2)))</f>
        <v>-315</v>
      </c>
      <c r="E40" s="6">
        <f>VALUE(MID($W40,L40+1,M40-(L40+1)))</f>
        <v>-773</v>
      </c>
      <c r="F40" s="6">
        <f>VALUE(MID($W40,M40+1,N40-(M40+1)))</f>
        <v>4401</v>
      </c>
      <c r="G40" s="6">
        <f>VALUE(MID($W40,N40+1,O40-(N40+1)))</f>
        <v>326</v>
      </c>
      <c r="H40" s="6">
        <f>VALUE(MID($W40,O40+1,P40-(O40+1)))</f>
        <v>1314</v>
      </c>
      <c r="I40" s="6">
        <f>VALUE(MID($W40,P40+1,Q40-(P40+1)))</f>
        <v>3175</v>
      </c>
      <c r="J40" s="6">
        <f>VALUE(MID($W40,Q40+1,R40-(Q40+1)))</f>
        <v>4746</v>
      </c>
      <c r="K40" s="4">
        <f>VALUE(MID(W40,R40+1,LEN(W40)-(R40)))</f>
        <v>4496</v>
      </c>
      <c r="L40" s="4">
        <f>SEARCH(",",W40,X40)</f>
        <v>16</v>
      </c>
      <c r="M40" s="4">
        <f>SEARCH(",",$W40,L40+1)</f>
        <v>22</v>
      </c>
      <c r="N40" s="4">
        <f>SEARCH(",",$W40,M40+1)</f>
        <v>28</v>
      </c>
      <c r="O40" s="4">
        <f>SEARCH(",",$W40,N40+1)</f>
        <v>33</v>
      </c>
      <c r="P40" s="4">
        <f>SEARCH(",",$W40,O40+1)</f>
        <v>39</v>
      </c>
      <c r="Q40" s="4">
        <f>SEARCH(",",$W40,P40+1)</f>
        <v>45</v>
      </c>
      <c r="R40" s="4">
        <f>SEARCH(",",$W40,Q40+1)</f>
        <v>51</v>
      </c>
      <c r="T40" t="s">
        <v>832</v>
      </c>
      <c r="U40">
        <f>SEARCH(":",T40)</f>
        <v>6</v>
      </c>
      <c r="V40" t="str">
        <f>MID(T40,U40+1,LEN(T40)-(U40))</f>
        <v xml:space="preserve"> 1507028 ** -315, -773, 4401, 326, 1314, 3175, 4746, 4496</v>
      </c>
      <c r="W40" t="str">
        <f>TRIM(V40)</f>
        <v>1507028 ** -315, -773, 4401, 326, 1314, 3175, 4746, 4496</v>
      </c>
      <c r="X40">
        <f>SEARCH("~*",W40)</f>
        <v>9</v>
      </c>
      <c r="Y40" t="str">
        <f>LEFT(W40,X40-1)</f>
        <v xml:space="preserve">1507028 </v>
      </c>
      <c r="AA40" t="str">
        <f>CONCATENATE(A40,",",D40,",",E40,",",F40,",",G40,",",H40,",",I40,",",J40,",",K40)</f>
        <v>1507028,-315,-773,4401,326,1314,3175,4746,4496</v>
      </c>
    </row>
    <row r="41" spans="1:27">
      <c r="A41" s="1">
        <f>IF(ISBLANK(T41),"",VALUE(Y41))</f>
        <v>1495113</v>
      </c>
      <c r="B41" s="1">
        <f>A41*4/10 -18</f>
        <v>598027.19999999995</v>
      </c>
      <c r="C41" s="3">
        <f>B41/7000000</f>
        <v>8.5432457142857132E-2</v>
      </c>
      <c r="D41" s="6">
        <f>VALUE(MID(W41,$X41+2,L41-(X41+2)))</f>
        <v>-318</v>
      </c>
      <c r="E41" s="6">
        <f>VALUE(MID($W41,L41+1,M41-(L41+1)))</f>
        <v>-773</v>
      </c>
      <c r="F41" s="6">
        <f>VALUE(MID($W41,M41+1,N41-(M41+1)))</f>
        <v>4406</v>
      </c>
      <c r="G41" s="6">
        <f>VALUE(MID($W41,N41+1,O41-(N41+1)))</f>
        <v>328</v>
      </c>
      <c r="H41" s="6">
        <f>VALUE(MID($W41,O41+1,P41-(O41+1)))</f>
        <v>1317</v>
      </c>
      <c r="I41" s="6">
        <f>VALUE(MID($W41,P41+1,Q41-(P41+1)))</f>
        <v>3167</v>
      </c>
      <c r="J41" s="6">
        <f>VALUE(MID($W41,Q41+1,R41-(Q41+1)))</f>
        <v>4742</v>
      </c>
      <c r="K41" s="4">
        <f>VALUE(MID(W41,R41+1,LEN(W41)-(R41)))</f>
        <v>4491</v>
      </c>
      <c r="L41" s="4">
        <f>SEARCH(",",W41,X41)</f>
        <v>16</v>
      </c>
      <c r="M41" s="4">
        <f>SEARCH(",",$W41,L41+1)</f>
        <v>22</v>
      </c>
      <c r="N41" s="4">
        <f>SEARCH(",",$W41,M41+1)</f>
        <v>28</v>
      </c>
      <c r="O41" s="4">
        <f>SEARCH(",",$W41,N41+1)</f>
        <v>33</v>
      </c>
      <c r="P41" s="4">
        <f>SEARCH(",",$W41,O41+1)</f>
        <v>39</v>
      </c>
      <c r="Q41" s="4">
        <f>SEARCH(",",$W41,P41+1)</f>
        <v>45</v>
      </c>
      <c r="R41" s="4">
        <f>SEARCH(",",$W41,Q41+1)</f>
        <v>51</v>
      </c>
      <c r="T41" t="s">
        <v>767</v>
      </c>
      <c r="U41">
        <f>SEARCH(":",T41)</f>
        <v>6</v>
      </c>
      <c r="V41" t="str">
        <f>MID(T41,U41+1,LEN(T41)-(U41))</f>
        <v xml:space="preserve"> 1495113 ** -318, -773, 4406, 328, 1317, 3167, 4742, 4491</v>
      </c>
      <c r="W41" t="str">
        <f>TRIM(V41)</f>
        <v>1495113 ** -318, -773, 4406, 328, 1317, 3167, 4742, 4491</v>
      </c>
      <c r="X41">
        <f>SEARCH("~*",W41)</f>
        <v>9</v>
      </c>
      <c r="Y41" t="str">
        <f>LEFT(W41,X41-1)</f>
        <v xml:space="preserve">1495113 </v>
      </c>
      <c r="AA41" t="str">
        <f>CONCATENATE(A41,",",D41,",",E41,",",F41,",",G41,",",H41,",",I41,",",J41,",",K41)</f>
        <v>1495113,-318,-773,4406,328,1317,3167,4742,4491</v>
      </c>
    </row>
    <row r="42" spans="1:27">
      <c r="A42" s="1">
        <f>IF(ISBLANK(T42),"",VALUE(Y42))</f>
        <v>1478295</v>
      </c>
      <c r="B42" s="1">
        <f>A42*4/10 -18</f>
        <v>591300</v>
      </c>
      <c r="C42" s="3">
        <f>B42/7000000</f>
        <v>8.4471428571428572E-2</v>
      </c>
      <c r="D42" s="6">
        <f>VALUE(MID(W42,$X42+2,L42-(X42+2)))</f>
        <v>-322</v>
      </c>
      <c r="E42" s="6">
        <f>VALUE(MID($W42,L42+1,M42-(L42+1)))</f>
        <v>-780</v>
      </c>
      <c r="F42" s="6">
        <f>VALUE(MID($W42,M42+1,N42-(M42+1)))</f>
        <v>4408</v>
      </c>
      <c r="G42" s="6">
        <f>VALUE(MID($W42,N42+1,O42-(N42+1)))</f>
        <v>324</v>
      </c>
      <c r="H42" s="6">
        <f>VALUE(MID($W42,O42+1,P42-(O42+1)))</f>
        <v>1319</v>
      </c>
      <c r="I42" s="6">
        <f>VALUE(MID($W42,P42+1,Q42-(P42+1)))</f>
        <v>3169</v>
      </c>
      <c r="J42" s="6">
        <f>VALUE(MID($W42,Q42+1,R42-(Q42+1)))</f>
        <v>4745</v>
      </c>
      <c r="K42" s="4">
        <f>VALUE(MID(W42,R42+1,LEN(W42)-(R42)))</f>
        <v>4492</v>
      </c>
      <c r="L42" s="4">
        <f>SEARCH(",",W42,X42)</f>
        <v>16</v>
      </c>
      <c r="M42" s="4">
        <f>SEARCH(",",$W42,L42+1)</f>
        <v>22</v>
      </c>
      <c r="N42" s="4">
        <f>SEARCH(",",$W42,M42+1)</f>
        <v>28</v>
      </c>
      <c r="O42" s="4">
        <f>SEARCH(",",$W42,N42+1)</f>
        <v>33</v>
      </c>
      <c r="P42" s="4">
        <f>SEARCH(",",$W42,O42+1)</f>
        <v>39</v>
      </c>
      <c r="Q42" s="4">
        <f>SEARCH(",",$W42,P42+1)</f>
        <v>45</v>
      </c>
      <c r="R42" s="4">
        <f>SEARCH(",",$W42,Q42+1)</f>
        <v>51</v>
      </c>
      <c r="T42" t="s">
        <v>725</v>
      </c>
      <c r="U42">
        <f>SEARCH(":",T42)</f>
        <v>6</v>
      </c>
      <c r="V42" t="str">
        <f>MID(T42,U42+1,LEN(T42)-(U42))</f>
        <v xml:space="preserve"> 1478295 ** -322, -780, 4408, 324, 1319, 3169, 4745, 4492</v>
      </c>
      <c r="W42" t="str">
        <f>TRIM(V42)</f>
        <v>1478295 ** -322, -780, 4408, 324, 1319, 3169, 4745, 4492</v>
      </c>
      <c r="X42">
        <f>SEARCH("~*",W42)</f>
        <v>9</v>
      </c>
      <c r="Y42" t="str">
        <f>LEFT(W42,X42-1)</f>
        <v xml:space="preserve">1478295 </v>
      </c>
      <c r="AA42" t="str">
        <f>CONCATENATE(A42,",",D42,",",E42,",",F42,",",G42,",",H42,",",I42,",",J42,",",K42)</f>
        <v>1478295,-322,-780,4408,324,1319,3169,4745,4492</v>
      </c>
    </row>
    <row r="43" spans="1:27">
      <c r="A43" s="1">
        <f>IF(ISBLANK(T43),"",VALUE(Y43))</f>
        <v>1458629</v>
      </c>
      <c r="B43" s="1">
        <f>A43*4/10 -18</f>
        <v>583433.6</v>
      </c>
      <c r="C43" s="3">
        <f>B43/7000000</f>
        <v>8.3347657142857134E-2</v>
      </c>
      <c r="D43" s="6">
        <f>VALUE(MID(W43,$X43+2,L43-(X43+2)))</f>
        <v>-321</v>
      </c>
      <c r="E43" s="6">
        <f>VALUE(MID($W43,L43+1,M43-(L43+1)))</f>
        <v>-778</v>
      </c>
      <c r="F43" s="6">
        <f>VALUE(MID($W43,M43+1,N43-(M43+1)))</f>
        <v>4403</v>
      </c>
      <c r="G43" s="6">
        <f>VALUE(MID($W43,N43+1,O43-(N43+1)))</f>
        <v>324</v>
      </c>
      <c r="H43" s="6">
        <f>VALUE(MID($W43,O43+1,P43-(O43+1)))</f>
        <v>1318</v>
      </c>
      <c r="I43" s="6">
        <f>VALUE(MID($W43,P43+1,Q43-(P43+1)))</f>
        <v>3174</v>
      </c>
      <c r="J43" s="6">
        <f>VALUE(MID($W43,Q43+1,R43-(Q43+1)))</f>
        <v>4739</v>
      </c>
      <c r="K43" s="4">
        <f>VALUE(MID(W43,R43+1,LEN(W43)-(R43)))</f>
        <v>4491</v>
      </c>
      <c r="L43" s="4">
        <f>SEARCH(",",W43,X43)</f>
        <v>16</v>
      </c>
      <c r="M43" s="4">
        <f>SEARCH(",",$W43,L43+1)</f>
        <v>22</v>
      </c>
      <c r="N43" s="4">
        <f>SEARCH(",",$W43,M43+1)</f>
        <v>28</v>
      </c>
      <c r="O43" s="4">
        <f>SEARCH(",",$W43,N43+1)</f>
        <v>33</v>
      </c>
      <c r="P43" s="4">
        <f>SEARCH(",",$W43,O43+1)</f>
        <v>39</v>
      </c>
      <c r="Q43" s="4">
        <f>SEARCH(",",$W43,P43+1)</f>
        <v>45</v>
      </c>
      <c r="R43" s="4">
        <f>SEARCH(",",$W43,Q43+1)</f>
        <v>51</v>
      </c>
      <c r="T43" t="s">
        <v>623</v>
      </c>
      <c r="U43">
        <f>SEARCH(":",T43)</f>
        <v>6</v>
      </c>
      <c r="V43" t="str">
        <f>MID(T43,U43+1,LEN(T43)-(U43))</f>
        <v xml:space="preserve"> 1458629 ** -321, -778, 4403, 324, 1318, 3174, 4739, 4491</v>
      </c>
      <c r="W43" t="str">
        <f>TRIM(V43)</f>
        <v>1458629 ** -321, -778, 4403, 324, 1318, 3174, 4739, 4491</v>
      </c>
      <c r="X43">
        <f>SEARCH("~*",W43)</f>
        <v>9</v>
      </c>
      <c r="Y43" t="str">
        <f>LEFT(W43,X43-1)</f>
        <v xml:space="preserve">1458629 </v>
      </c>
      <c r="AA43" t="str">
        <f>CONCATENATE(A43,",",D43,",",E43,",",F43,",",G43,",",H43,",",I43,",",J43,",",K43)</f>
        <v>1458629,-321,-778,4403,324,1318,3174,4739,4491</v>
      </c>
    </row>
    <row r="44" spans="1:27">
      <c r="A44" s="1">
        <f>IF(ISBLANK(T44),"",VALUE(Y44))</f>
        <v>1454266</v>
      </c>
      <c r="B44" s="1">
        <f>A44*4/10 -18</f>
        <v>581688.4</v>
      </c>
      <c r="C44" s="3">
        <f>B44/7000000</f>
        <v>8.3098342857142862E-2</v>
      </c>
      <c r="D44" s="6">
        <f>VALUE(MID(W44,$X44+2,L44-(X44+2)))</f>
        <v>-319</v>
      </c>
      <c r="E44" s="6">
        <f>VALUE(MID($W44,L44+1,M44-(L44+1)))</f>
        <v>-780</v>
      </c>
      <c r="F44" s="6">
        <f>VALUE(MID($W44,M44+1,N44-(M44+1)))</f>
        <v>4403</v>
      </c>
      <c r="G44" s="6">
        <f>VALUE(MID($W44,N44+1,O44-(N44+1)))</f>
        <v>324</v>
      </c>
      <c r="H44" s="6">
        <f>VALUE(MID($W44,O44+1,P44-(O44+1)))</f>
        <v>1318</v>
      </c>
      <c r="I44" s="6">
        <f>VALUE(MID($W44,P44+1,Q44-(P44+1)))</f>
        <v>3172</v>
      </c>
      <c r="J44" s="6">
        <f>VALUE(MID($W44,Q44+1,R44-(Q44+1)))</f>
        <v>4743</v>
      </c>
      <c r="K44" s="4">
        <f>VALUE(MID(W44,R44+1,LEN(W44)-(R44)))</f>
        <v>4493</v>
      </c>
      <c r="L44" s="4">
        <f>SEARCH(",",W44,X44)</f>
        <v>16</v>
      </c>
      <c r="M44" s="4">
        <f>SEARCH(",",$W44,L44+1)</f>
        <v>22</v>
      </c>
      <c r="N44" s="4">
        <f>SEARCH(",",$W44,M44+1)</f>
        <v>28</v>
      </c>
      <c r="O44" s="4">
        <f>SEARCH(",",$W44,N44+1)</f>
        <v>33</v>
      </c>
      <c r="P44" s="4">
        <f>SEARCH(",",$W44,O44+1)</f>
        <v>39</v>
      </c>
      <c r="Q44" s="4">
        <f>SEARCH(",",$W44,P44+1)</f>
        <v>45</v>
      </c>
      <c r="R44" s="4">
        <f>SEARCH(",",$W44,Q44+1)</f>
        <v>51</v>
      </c>
      <c r="T44" t="s">
        <v>776</v>
      </c>
      <c r="U44">
        <f>SEARCH(":",T44)</f>
        <v>6</v>
      </c>
      <c r="V44" t="str">
        <f>MID(T44,U44+1,LEN(T44)-(U44))</f>
        <v xml:space="preserve"> 1454266 ** -319, -780, 4403, 324, 1318, 3172, 4743, 4493</v>
      </c>
      <c r="W44" t="str">
        <f>TRIM(V44)</f>
        <v>1454266 ** -319, -780, 4403, 324, 1318, 3172, 4743, 4493</v>
      </c>
      <c r="X44">
        <f>SEARCH("~*",W44)</f>
        <v>9</v>
      </c>
      <c r="Y44" t="str">
        <f>LEFT(W44,X44-1)</f>
        <v xml:space="preserve">1454266 </v>
      </c>
      <c r="AA44" t="str">
        <f>CONCATENATE(A44,",",D44,",",E44,",",F44,",",G44,",",H44,",",I44,",",J44,",",K44)</f>
        <v>1454266,-319,-780,4403,324,1318,3172,4743,4493</v>
      </c>
    </row>
    <row r="45" spans="1:27">
      <c r="A45" s="1">
        <f>IF(ISBLANK(T45),"",VALUE(Y45))</f>
        <v>1418773</v>
      </c>
      <c r="B45" s="1">
        <f>A45*4/10 -18</f>
        <v>567491.19999999995</v>
      </c>
      <c r="C45" s="3">
        <f>B45/7000000</f>
        <v>8.1070171428571425E-2</v>
      </c>
      <c r="D45" s="6">
        <f>VALUE(MID(W45,$X45+2,L45-(X45+2)))</f>
        <v>-315</v>
      </c>
      <c r="E45" s="6">
        <f>VALUE(MID($W45,L45+1,M45-(L45+1)))</f>
        <v>-778</v>
      </c>
      <c r="F45" s="6">
        <f>VALUE(MID($W45,M45+1,N45-(M45+1)))</f>
        <v>4406</v>
      </c>
      <c r="G45" s="6">
        <f>VALUE(MID($W45,N45+1,O45-(N45+1)))</f>
        <v>327</v>
      </c>
      <c r="H45" s="6">
        <f>VALUE(MID($W45,O45+1,P45-(O45+1)))</f>
        <v>1320</v>
      </c>
      <c r="I45" s="6">
        <f>VALUE(MID($W45,P45+1,Q45-(P45+1)))</f>
        <v>3175</v>
      </c>
      <c r="J45" s="6">
        <f>VALUE(MID($W45,Q45+1,R45-(Q45+1)))</f>
        <v>4740</v>
      </c>
      <c r="K45" s="4">
        <f>VALUE(MID(W45,R45+1,LEN(W45)-(R45)))</f>
        <v>4495</v>
      </c>
      <c r="L45" s="4">
        <f>SEARCH(",",W45,X45)</f>
        <v>16</v>
      </c>
      <c r="M45" s="4">
        <f>SEARCH(",",$W45,L45+1)</f>
        <v>22</v>
      </c>
      <c r="N45" s="4">
        <f>SEARCH(",",$W45,M45+1)</f>
        <v>28</v>
      </c>
      <c r="O45" s="4">
        <f>SEARCH(",",$W45,N45+1)</f>
        <v>33</v>
      </c>
      <c r="P45" s="4">
        <f>SEARCH(",",$W45,O45+1)</f>
        <v>39</v>
      </c>
      <c r="Q45" s="4">
        <f>SEARCH(",",$W45,P45+1)</f>
        <v>45</v>
      </c>
      <c r="R45" s="4">
        <f>SEARCH(",",$W45,Q45+1)</f>
        <v>51</v>
      </c>
      <c r="T45" t="s">
        <v>749</v>
      </c>
      <c r="U45">
        <f>SEARCH(":",T45)</f>
        <v>6</v>
      </c>
      <c r="V45" t="str">
        <f>MID(T45,U45+1,LEN(T45)-(U45))</f>
        <v xml:space="preserve"> 1418773 ** -315, -778, 4406, 327, 1320, 3175, 4740, 4495</v>
      </c>
      <c r="W45" t="str">
        <f>TRIM(V45)</f>
        <v>1418773 ** -315, -778, 4406, 327, 1320, 3175, 4740, 4495</v>
      </c>
      <c r="X45">
        <f>SEARCH("~*",W45)</f>
        <v>9</v>
      </c>
      <c r="Y45" t="str">
        <f>LEFT(W45,X45-1)</f>
        <v xml:space="preserve">1418773 </v>
      </c>
      <c r="AA45" t="str">
        <f>CONCATENATE(A45,",",D45,",",E45,",",F45,",",G45,",",H45,",",I45,",",J45,",",K45)</f>
        <v>1418773,-315,-778,4406,327,1320,3175,4740,4495</v>
      </c>
    </row>
    <row r="46" spans="1:27">
      <c r="A46" s="1">
        <f>IF(ISBLANK(T46),"",VALUE(Y46))</f>
        <v>1417714</v>
      </c>
      <c r="B46" s="1">
        <f>A46*4/10 -18</f>
        <v>567067.6</v>
      </c>
      <c r="C46" s="3">
        <f>B46/7000000</f>
        <v>8.1009657142857142E-2</v>
      </c>
      <c r="D46" s="6">
        <f>VALUE(MID(W46,$X46+2,L46-(X46+2)))</f>
        <v>-323</v>
      </c>
      <c r="E46" s="6">
        <f>VALUE(MID($W46,L46+1,M46-(L46+1)))</f>
        <v>-778</v>
      </c>
      <c r="F46" s="6">
        <f>VALUE(MID($W46,M46+1,N46-(M46+1)))</f>
        <v>4406</v>
      </c>
      <c r="G46" s="6">
        <f>VALUE(MID($W46,N46+1,O46-(N46+1)))</f>
        <v>328</v>
      </c>
      <c r="H46" s="6">
        <f>VALUE(MID($W46,O46+1,P46-(O46+1)))</f>
        <v>1315</v>
      </c>
      <c r="I46" s="6">
        <f>VALUE(MID($W46,P46+1,Q46-(P46+1)))</f>
        <v>3171</v>
      </c>
      <c r="J46" s="6">
        <f>VALUE(MID($W46,Q46+1,R46-(Q46+1)))</f>
        <v>4745</v>
      </c>
      <c r="K46" s="4">
        <f>VALUE(MID(W46,R46+1,LEN(W46)-(R46)))</f>
        <v>4499</v>
      </c>
      <c r="L46" s="4">
        <f>SEARCH(",",W46,X46)</f>
        <v>16</v>
      </c>
      <c r="M46" s="4">
        <f>SEARCH(",",$W46,L46+1)</f>
        <v>22</v>
      </c>
      <c r="N46" s="4">
        <f>SEARCH(",",$W46,M46+1)</f>
        <v>28</v>
      </c>
      <c r="O46" s="4">
        <f>SEARCH(",",$W46,N46+1)</f>
        <v>33</v>
      </c>
      <c r="P46" s="4">
        <f>SEARCH(",",$W46,O46+1)</f>
        <v>39</v>
      </c>
      <c r="Q46" s="4">
        <f>SEARCH(",",$W46,P46+1)</f>
        <v>45</v>
      </c>
      <c r="R46" s="4">
        <f>SEARCH(",",$W46,Q46+1)</f>
        <v>51</v>
      </c>
      <c r="T46" t="s">
        <v>829</v>
      </c>
      <c r="U46">
        <f>SEARCH(":",T46)</f>
        <v>6</v>
      </c>
      <c r="V46" t="str">
        <f>MID(T46,U46+1,LEN(T46)-(U46))</f>
        <v xml:space="preserve"> 1417714 ** -323, -778, 4406, 328, 1315, 3171, 4745, 4499</v>
      </c>
      <c r="W46" t="str">
        <f>TRIM(V46)</f>
        <v>1417714 ** -323, -778, 4406, 328, 1315, 3171, 4745, 4499</v>
      </c>
      <c r="X46">
        <f>SEARCH("~*",W46)</f>
        <v>9</v>
      </c>
      <c r="Y46" t="str">
        <f>LEFT(W46,X46-1)</f>
        <v xml:space="preserve">1417714 </v>
      </c>
      <c r="AA46" t="str">
        <f>CONCATENATE(A46,",",D46,",",E46,",",F46,",",G46,",",H46,",",I46,",",J46,",",K46)</f>
        <v>1417714,-323,-778,4406,328,1315,3171,4745,4499</v>
      </c>
    </row>
    <row r="47" spans="1:27">
      <c r="A47" s="1">
        <f>IF(ISBLANK(T47),"",VALUE(Y47))</f>
        <v>1383228</v>
      </c>
      <c r="B47" s="1">
        <f>A47*4/10 -18</f>
        <v>553273.19999999995</v>
      </c>
      <c r="C47" s="3">
        <f>B47/7000000</f>
        <v>7.9039028571428568E-2</v>
      </c>
      <c r="D47" s="6">
        <f>VALUE(MID(W47,$X47+2,L47-(X47+2)))</f>
        <v>-324</v>
      </c>
      <c r="E47" s="6">
        <f>VALUE(MID($W47,L47+1,M47-(L47+1)))</f>
        <v>-781</v>
      </c>
      <c r="F47" s="6">
        <f>VALUE(MID($W47,M47+1,N47-(M47+1)))</f>
        <v>4401</v>
      </c>
      <c r="G47" s="6">
        <f>VALUE(MID($W47,N47+1,O47-(N47+1)))</f>
        <v>325</v>
      </c>
      <c r="H47" s="6">
        <f>VALUE(MID($W47,O47+1,P47-(O47+1)))</f>
        <v>1313</v>
      </c>
      <c r="I47" s="6">
        <f>VALUE(MID($W47,P47+1,Q47-(P47+1)))</f>
        <v>3166</v>
      </c>
      <c r="J47" s="6">
        <f>VALUE(MID($W47,Q47+1,R47-(Q47+1)))</f>
        <v>4739</v>
      </c>
      <c r="K47" s="4">
        <f>VALUE(MID(W47,R47+1,LEN(W47)-(R47)))</f>
        <v>4499</v>
      </c>
      <c r="L47" s="4">
        <f>SEARCH(",",W47,X47)</f>
        <v>16</v>
      </c>
      <c r="M47" s="4">
        <f>SEARCH(",",$W47,L47+1)</f>
        <v>22</v>
      </c>
      <c r="N47" s="4">
        <f>SEARCH(",",$W47,M47+1)</f>
        <v>28</v>
      </c>
      <c r="O47" s="4">
        <f>SEARCH(",",$W47,N47+1)</f>
        <v>33</v>
      </c>
      <c r="P47" s="4">
        <f>SEARCH(",",$W47,O47+1)</f>
        <v>39</v>
      </c>
      <c r="Q47" s="4">
        <f>SEARCH(",",$W47,P47+1)</f>
        <v>45</v>
      </c>
      <c r="R47" s="4">
        <f>SEARCH(",",$W47,Q47+1)</f>
        <v>51</v>
      </c>
      <c r="T47" t="s">
        <v>814</v>
      </c>
      <c r="U47">
        <f>SEARCH(":",T47)</f>
        <v>6</v>
      </c>
      <c r="V47" t="str">
        <f>MID(T47,U47+1,LEN(T47)-(U47))</f>
        <v xml:space="preserve"> 1383228 ** -324, -781, 4401, 325, 1313, 3166, 4739, 4499</v>
      </c>
      <c r="W47" t="str">
        <f>TRIM(V47)</f>
        <v>1383228 ** -324, -781, 4401, 325, 1313, 3166, 4739, 4499</v>
      </c>
      <c r="X47">
        <f>SEARCH("~*",W47)</f>
        <v>9</v>
      </c>
      <c r="Y47" t="str">
        <f>LEFT(W47,X47-1)</f>
        <v xml:space="preserve">1383228 </v>
      </c>
      <c r="AA47" t="str">
        <f>CONCATENATE(A47,",",D47,",",E47,",",F47,",",G47,",",H47,",",I47,",",J47,",",K47)</f>
        <v>1383228,-324,-781,4401,325,1313,3166,4739,4499</v>
      </c>
    </row>
    <row r="48" spans="1:27">
      <c r="A48" s="1">
        <f>IF(ISBLANK(T48),"",VALUE(Y48))</f>
        <v>1375067</v>
      </c>
      <c r="B48" s="1">
        <f>A48*4/10 -18</f>
        <v>550008.80000000005</v>
      </c>
      <c r="C48" s="3">
        <f>B48/7000000</f>
        <v>7.8572685714285717E-2</v>
      </c>
      <c r="D48" s="6">
        <f>VALUE(MID(W48,$X48+2,L48-(X48+2)))</f>
        <v>-316</v>
      </c>
      <c r="E48" s="6">
        <f>VALUE(MID($W48,L48+1,M48-(L48+1)))</f>
        <v>-782</v>
      </c>
      <c r="F48" s="6">
        <f>VALUE(MID($W48,M48+1,N48-(M48+1)))</f>
        <v>4403</v>
      </c>
      <c r="G48" s="6">
        <f>VALUE(MID($W48,N48+1,O48-(N48+1)))</f>
        <v>323</v>
      </c>
      <c r="H48" s="6">
        <f>VALUE(MID($W48,O48+1,P48-(O48+1)))</f>
        <v>1320</v>
      </c>
      <c r="I48" s="6">
        <f>VALUE(MID($W48,P48+1,Q48-(P48+1)))</f>
        <v>3173</v>
      </c>
      <c r="J48" s="6">
        <f>VALUE(MID($W48,Q48+1,R48-(Q48+1)))</f>
        <v>4742</v>
      </c>
      <c r="K48" s="4">
        <f>VALUE(MID(W48,R48+1,LEN(W48)-(R48)))</f>
        <v>4497</v>
      </c>
      <c r="L48" s="4">
        <f>SEARCH(",",W48,X48)</f>
        <v>16</v>
      </c>
      <c r="M48" s="4">
        <f>SEARCH(",",$W48,L48+1)</f>
        <v>22</v>
      </c>
      <c r="N48" s="4">
        <f>SEARCH(",",$W48,M48+1)</f>
        <v>28</v>
      </c>
      <c r="O48" s="4">
        <f>SEARCH(",",$W48,N48+1)</f>
        <v>33</v>
      </c>
      <c r="P48" s="4">
        <f>SEARCH(",",$W48,O48+1)</f>
        <v>39</v>
      </c>
      <c r="Q48" s="4">
        <f>SEARCH(",",$W48,P48+1)</f>
        <v>45</v>
      </c>
      <c r="R48" s="4">
        <f>SEARCH(",",$W48,Q48+1)</f>
        <v>51</v>
      </c>
      <c r="T48" t="s">
        <v>645</v>
      </c>
      <c r="U48">
        <f>SEARCH(":",T48)</f>
        <v>6</v>
      </c>
      <c r="V48" t="str">
        <f>MID(T48,U48+1,LEN(T48)-(U48))</f>
        <v xml:space="preserve"> 1375067 ** -316, -782, 4403, 323, 1320, 3173, 4742, 4497</v>
      </c>
      <c r="W48" t="str">
        <f>TRIM(V48)</f>
        <v>1375067 ** -316, -782, 4403, 323, 1320, 3173, 4742, 4497</v>
      </c>
      <c r="X48">
        <f>SEARCH("~*",W48)</f>
        <v>9</v>
      </c>
      <c r="Y48" t="str">
        <f>LEFT(W48,X48-1)</f>
        <v xml:space="preserve">1375067 </v>
      </c>
      <c r="AA48" t="str">
        <f>CONCATENATE(A48,",",D48,",",E48,",",F48,",",G48,",",H48,",",I48,",",J48,",",K48)</f>
        <v>1375067,-316,-782,4403,323,1320,3173,4742,4497</v>
      </c>
    </row>
    <row r="49" spans="1:27">
      <c r="A49" s="1">
        <f>IF(ISBLANK(T49),"",VALUE(Y49))</f>
        <v>1373355</v>
      </c>
      <c r="B49" s="1">
        <f>A49*4/10 -18</f>
        <v>549324</v>
      </c>
      <c r="C49" s="3">
        <f>B49/7000000</f>
        <v>7.8474857142857138E-2</v>
      </c>
      <c r="D49" s="6">
        <f>VALUE(MID(W49,$X49+2,L49-(X49+2)))</f>
        <v>-318</v>
      </c>
      <c r="E49" s="6">
        <f>VALUE(MID($W49,L49+1,M49-(L49+1)))</f>
        <v>-780</v>
      </c>
      <c r="F49" s="6">
        <f>VALUE(MID($W49,M49+1,N49-(M49+1)))</f>
        <v>4400</v>
      </c>
      <c r="G49" s="6">
        <f>VALUE(MID($W49,N49+1,O49-(N49+1)))</f>
        <v>326</v>
      </c>
      <c r="H49" s="6">
        <f>VALUE(MID($W49,O49+1,P49-(O49+1)))</f>
        <v>1316</v>
      </c>
      <c r="I49" s="6">
        <f>VALUE(MID($W49,P49+1,Q49-(P49+1)))</f>
        <v>3173</v>
      </c>
      <c r="J49" s="6">
        <f>VALUE(MID($W49,Q49+1,R49-(Q49+1)))</f>
        <v>4739</v>
      </c>
      <c r="K49" s="4">
        <f>VALUE(MID(W49,R49+1,LEN(W49)-(R49)))</f>
        <v>4497</v>
      </c>
      <c r="L49" s="4">
        <f>SEARCH(",",W49,X49)</f>
        <v>16</v>
      </c>
      <c r="M49" s="4">
        <f>SEARCH(",",$W49,L49+1)</f>
        <v>22</v>
      </c>
      <c r="N49" s="4">
        <f>SEARCH(",",$W49,M49+1)</f>
        <v>28</v>
      </c>
      <c r="O49" s="4">
        <f>SEARCH(",",$W49,N49+1)</f>
        <v>33</v>
      </c>
      <c r="P49" s="4">
        <f>SEARCH(",",$W49,O49+1)</f>
        <v>39</v>
      </c>
      <c r="Q49" s="4">
        <f>SEARCH(",",$W49,P49+1)</f>
        <v>45</v>
      </c>
      <c r="R49" s="4">
        <f>SEARCH(",",$W49,Q49+1)</f>
        <v>51</v>
      </c>
      <c r="T49" t="s">
        <v>789</v>
      </c>
      <c r="U49">
        <f>SEARCH(":",T49)</f>
        <v>6</v>
      </c>
      <c r="V49" t="str">
        <f>MID(T49,U49+1,LEN(T49)-(U49))</f>
        <v xml:space="preserve"> 1373355 ** -318, -780, 4400, 326, 1316, 3173, 4739, 4497</v>
      </c>
      <c r="W49" t="str">
        <f>TRIM(V49)</f>
        <v>1373355 ** -318, -780, 4400, 326, 1316, 3173, 4739, 4497</v>
      </c>
      <c r="X49">
        <f>SEARCH("~*",W49)</f>
        <v>9</v>
      </c>
      <c r="Y49" t="str">
        <f>LEFT(W49,X49-1)</f>
        <v xml:space="preserve">1373355 </v>
      </c>
      <c r="AA49" t="str">
        <f>CONCATENATE(A49,",",D49,",",E49,",",F49,",",G49,",",H49,",",I49,",",J49,",",K49)</f>
        <v>1373355,-318,-780,4400,326,1316,3173,4739,4497</v>
      </c>
    </row>
    <row r="50" spans="1:27">
      <c r="A50" s="1">
        <f>IF(ISBLANK(T50),"",VALUE(Y50))</f>
        <v>1342312</v>
      </c>
      <c r="B50" s="1">
        <f>A50*4/10 -18</f>
        <v>536906.80000000005</v>
      </c>
      <c r="C50" s="3">
        <f>B50/7000000</f>
        <v>7.6700971428571435E-2</v>
      </c>
      <c r="D50" s="6">
        <f>VALUE(MID(W50,$X50+2,L50-(X50+2)))</f>
        <v>-317</v>
      </c>
      <c r="E50" s="6">
        <f>VALUE(MID($W50,L50+1,M50-(L50+1)))</f>
        <v>-781</v>
      </c>
      <c r="F50" s="6">
        <f>VALUE(MID($W50,M50+1,N50-(M50+1)))</f>
        <v>4401</v>
      </c>
      <c r="G50" s="6">
        <f>VALUE(MID($W50,N50+1,O50-(N50+1)))</f>
        <v>329</v>
      </c>
      <c r="H50" s="6">
        <f>VALUE(MID($W50,O50+1,P50-(O50+1)))</f>
        <v>1314</v>
      </c>
      <c r="I50" s="6">
        <f>VALUE(MID($W50,P50+1,Q50-(P50+1)))</f>
        <v>3167</v>
      </c>
      <c r="J50" s="6">
        <f>VALUE(MID($W50,Q50+1,R50-(Q50+1)))</f>
        <v>4740</v>
      </c>
      <c r="K50" s="4">
        <f>VALUE(MID(W50,R50+1,LEN(W50)-(R50)))</f>
        <v>4498</v>
      </c>
      <c r="L50" s="4">
        <f>SEARCH(",",W50,X50)</f>
        <v>16</v>
      </c>
      <c r="M50" s="4">
        <f>SEARCH(",",$W50,L50+1)</f>
        <v>22</v>
      </c>
      <c r="N50" s="4">
        <f>SEARCH(",",$W50,M50+1)</f>
        <v>28</v>
      </c>
      <c r="O50" s="4">
        <f>SEARCH(",",$W50,N50+1)</f>
        <v>33</v>
      </c>
      <c r="P50" s="4">
        <f>SEARCH(",",$W50,O50+1)</f>
        <v>39</v>
      </c>
      <c r="Q50" s="4">
        <f>SEARCH(",",$W50,P50+1)</f>
        <v>45</v>
      </c>
      <c r="R50" s="4">
        <f>SEARCH(",",$W50,Q50+1)</f>
        <v>51</v>
      </c>
      <c r="T50" t="s">
        <v>660</v>
      </c>
      <c r="U50">
        <f>SEARCH(":",T50)</f>
        <v>6</v>
      </c>
      <c r="V50" t="str">
        <f>MID(T50,U50+1,LEN(T50)-(U50))</f>
        <v xml:space="preserve"> 1342312 ** -317, -781, 4401, 329, 1314, 3167, 4740, 4498</v>
      </c>
      <c r="W50" t="str">
        <f>TRIM(V50)</f>
        <v>1342312 ** -317, -781, 4401, 329, 1314, 3167, 4740, 4498</v>
      </c>
      <c r="X50">
        <f>SEARCH("~*",W50)</f>
        <v>9</v>
      </c>
      <c r="Y50" t="str">
        <f>LEFT(W50,X50-1)</f>
        <v xml:space="preserve">1342312 </v>
      </c>
      <c r="AA50" t="str">
        <f>CONCATENATE(A50,",",D50,",",E50,",",F50,",",G50,",",H50,",",I50,",",J50,",",K50)</f>
        <v>1342312,-317,-781,4401,329,1314,3167,4740,4498</v>
      </c>
    </row>
    <row r="51" spans="1:27">
      <c r="A51" s="1">
        <f>IF(ISBLANK(T51),"",VALUE(Y51))</f>
        <v>1299290</v>
      </c>
      <c r="B51" s="1">
        <f>A51*4/10 -18</f>
        <v>519698</v>
      </c>
      <c r="C51" s="3">
        <f>B51/7000000</f>
        <v>7.4242571428571422E-2</v>
      </c>
      <c r="D51" s="6">
        <f>VALUE(MID(W51,$X51+2,L51-(X51+2)))</f>
        <v>-319</v>
      </c>
      <c r="E51" s="6">
        <f>VALUE(MID($W51,L51+1,M51-(L51+1)))</f>
        <v>-773</v>
      </c>
      <c r="F51" s="6">
        <f>VALUE(MID($W51,M51+1,N51-(M51+1)))</f>
        <v>4400</v>
      </c>
      <c r="G51" s="6">
        <f>VALUE(MID($W51,N51+1,O51-(N51+1)))</f>
        <v>329</v>
      </c>
      <c r="H51" s="6">
        <f>VALUE(MID($W51,O51+1,P51-(O51+1)))</f>
        <v>1321</v>
      </c>
      <c r="I51" s="6">
        <f>VALUE(MID($W51,P51+1,Q51-(P51+1)))</f>
        <v>3172</v>
      </c>
      <c r="J51" s="6">
        <f>VALUE(MID($W51,Q51+1,R51-(Q51+1)))</f>
        <v>4742</v>
      </c>
      <c r="K51" s="4">
        <f>VALUE(MID(W51,R51+1,LEN(W51)-(R51)))</f>
        <v>4496</v>
      </c>
      <c r="L51" s="4">
        <f>SEARCH(",",W51,X51)</f>
        <v>16</v>
      </c>
      <c r="M51" s="4">
        <f>SEARCH(",",$W51,L51+1)</f>
        <v>22</v>
      </c>
      <c r="N51" s="4">
        <f>SEARCH(",",$W51,M51+1)</f>
        <v>28</v>
      </c>
      <c r="O51" s="4">
        <f>SEARCH(",",$W51,N51+1)</f>
        <v>33</v>
      </c>
      <c r="P51" s="4">
        <f>SEARCH(",",$W51,O51+1)</f>
        <v>39</v>
      </c>
      <c r="Q51" s="4">
        <f>SEARCH(",",$W51,P51+1)</f>
        <v>45</v>
      </c>
      <c r="R51" s="4">
        <f>SEARCH(",",$W51,Q51+1)</f>
        <v>51</v>
      </c>
      <c r="T51" t="s">
        <v>802</v>
      </c>
      <c r="U51">
        <f>SEARCH(":",T51)</f>
        <v>6</v>
      </c>
      <c r="V51" t="str">
        <f>MID(T51,U51+1,LEN(T51)-(U51))</f>
        <v xml:space="preserve"> 1299290 ** -319, -773, 4400, 329, 1321, 3172, 4742, 4496</v>
      </c>
      <c r="W51" t="str">
        <f>TRIM(V51)</f>
        <v>1299290 ** -319, -773, 4400, 329, 1321, 3172, 4742, 4496</v>
      </c>
      <c r="X51">
        <f>SEARCH("~*",W51)</f>
        <v>9</v>
      </c>
      <c r="Y51" t="str">
        <f>LEFT(W51,X51-1)</f>
        <v xml:space="preserve">1299290 </v>
      </c>
      <c r="AA51" t="str">
        <f>CONCATENATE(A51,",",D51,",",E51,",",F51,",",G51,",",H51,",",I51,",",J51,",",K51)</f>
        <v>1299290,-319,-773,4400,329,1321,3172,4742,4496</v>
      </c>
    </row>
    <row r="52" spans="1:27">
      <c r="A52" s="1">
        <f>IF(ISBLANK(T52),"",VALUE(Y52))</f>
        <v>1299277</v>
      </c>
      <c r="B52" s="1">
        <f>A52*4/10 -18</f>
        <v>519692.79999999999</v>
      </c>
      <c r="C52" s="3">
        <f>B52/7000000</f>
        <v>7.4241828571428567E-2</v>
      </c>
      <c r="D52" s="6">
        <f>VALUE(MID(W52,$X52+2,L52-(X52+2)))</f>
        <v>-317</v>
      </c>
      <c r="E52" s="6">
        <f>VALUE(MID($W52,L52+1,M52-(L52+1)))</f>
        <v>-774</v>
      </c>
      <c r="F52" s="6">
        <f>VALUE(MID($W52,M52+1,N52-(M52+1)))</f>
        <v>4402</v>
      </c>
      <c r="G52" s="6">
        <f>VALUE(MID($W52,N52+1,O52-(N52+1)))</f>
        <v>327</v>
      </c>
      <c r="H52" s="6">
        <f>VALUE(MID($W52,O52+1,P52-(O52+1)))</f>
        <v>1319</v>
      </c>
      <c r="I52" s="6">
        <f>VALUE(MID($W52,P52+1,Q52-(P52+1)))</f>
        <v>3170</v>
      </c>
      <c r="J52" s="6">
        <f>VALUE(MID($W52,Q52+1,R52-(Q52+1)))</f>
        <v>4747</v>
      </c>
      <c r="K52" s="4">
        <f>VALUE(MID(W52,R52+1,LEN(W52)-(R52)))</f>
        <v>4496</v>
      </c>
      <c r="L52" s="4">
        <f>SEARCH(",",W52,X52)</f>
        <v>16</v>
      </c>
      <c r="M52" s="4">
        <f>SEARCH(",",$W52,L52+1)</f>
        <v>22</v>
      </c>
      <c r="N52" s="4">
        <f>SEARCH(",",$W52,M52+1)</f>
        <v>28</v>
      </c>
      <c r="O52" s="4">
        <f>SEARCH(",",$W52,N52+1)</f>
        <v>33</v>
      </c>
      <c r="P52" s="4">
        <f>SEARCH(",",$W52,O52+1)</f>
        <v>39</v>
      </c>
      <c r="Q52" s="4">
        <f>SEARCH(",",$W52,P52+1)</f>
        <v>45</v>
      </c>
      <c r="R52" s="4">
        <f>SEARCH(",",$W52,Q52+1)</f>
        <v>51</v>
      </c>
      <c r="T52" t="s">
        <v>664</v>
      </c>
      <c r="U52">
        <f>SEARCH(":",T52)</f>
        <v>6</v>
      </c>
      <c r="V52" t="str">
        <f>MID(T52,U52+1,LEN(T52)-(U52))</f>
        <v xml:space="preserve"> 1299277 ** -317, -774, 4402, 327, 1319, 3170, 4747, 4496</v>
      </c>
      <c r="W52" t="str">
        <f>TRIM(V52)</f>
        <v>1299277 ** -317, -774, 4402, 327, 1319, 3170, 4747, 4496</v>
      </c>
      <c r="X52">
        <f>SEARCH("~*",W52)</f>
        <v>9</v>
      </c>
      <c r="Y52" t="str">
        <f>LEFT(W52,X52-1)</f>
        <v xml:space="preserve">1299277 </v>
      </c>
      <c r="AA52" t="str">
        <f>CONCATENATE(A52,",",D52,",",E52,",",F52,",",G52,",",H52,",",I52,",",J52,",",K52)</f>
        <v>1299277,-317,-774,4402,327,1319,3170,4747,4496</v>
      </c>
    </row>
    <row r="53" spans="1:27">
      <c r="A53" s="1">
        <f>IF(ISBLANK(T53),"",VALUE(Y53))</f>
        <v>1299175</v>
      </c>
      <c r="B53" s="1">
        <f>A53*4/10 -18</f>
        <v>519652</v>
      </c>
      <c r="C53" s="3">
        <f>B53/7000000</f>
        <v>7.4235999999999996E-2</v>
      </c>
      <c r="D53" s="6">
        <f>VALUE(MID(W53,$X53+2,L53-(X53+2)))</f>
        <v>-322</v>
      </c>
      <c r="E53" s="6">
        <f>VALUE(MID($W53,L53+1,M53-(L53+1)))</f>
        <v>-781</v>
      </c>
      <c r="F53" s="6">
        <f>VALUE(MID($W53,M53+1,N53-(M53+1)))</f>
        <v>4406</v>
      </c>
      <c r="G53" s="6">
        <f>VALUE(MID($W53,N53+1,O53-(N53+1)))</f>
        <v>327</v>
      </c>
      <c r="H53" s="6">
        <f>VALUE(MID($W53,O53+1,P53-(O53+1)))</f>
        <v>1318</v>
      </c>
      <c r="I53" s="6">
        <f>VALUE(MID($W53,P53+1,Q53-(P53+1)))</f>
        <v>3170</v>
      </c>
      <c r="J53" s="6">
        <f>VALUE(MID($W53,Q53+1,R53-(Q53+1)))</f>
        <v>4740</v>
      </c>
      <c r="K53" s="4">
        <f>VALUE(MID(W53,R53+1,LEN(W53)-(R53)))</f>
        <v>4496</v>
      </c>
      <c r="L53" s="4">
        <f>SEARCH(",",W53,X53)</f>
        <v>16</v>
      </c>
      <c r="M53" s="4">
        <f>SEARCH(",",$W53,L53+1)</f>
        <v>22</v>
      </c>
      <c r="N53" s="4">
        <f>SEARCH(",",$W53,M53+1)</f>
        <v>28</v>
      </c>
      <c r="O53" s="4">
        <f>SEARCH(",",$W53,N53+1)</f>
        <v>33</v>
      </c>
      <c r="P53" s="4">
        <f>SEARCH(",",$W53,O53+1)</f>
        <v>39</v>
      </c>
      <c r="Q53" s="4">
        <f>SEARCH(",",$W53,P53+1)</f>
        <v>45</v>
      </c>
      <c r="R53" s="4">
        <f>SEARCH(",",$W53,Q53+1)</f>
        <v>51</v>
      </c>
      <c r="T53" t="s">
        <v>617</v>
      </c>
      <c r="U53">
        <f>SEARCH(":",T53)</f>
        <v>6</v>
      </c>
      <c r="V53" t="str">
        <f>MID(T53,U53+1,LEN(T53)-(U53))</f>
        <v xml:space="preserve"> 1299175 ** -322, -781, 4406, 327, 1318, 3170, 4740, 4496</v>
      </c>
      <c r="W53" t="str">
        <f>TRIM(V53)</f>
        <v>1299175 ** -322, -781, 4406, 327, 1318, 3170, 4740, 4496</v>
      </c>
      <c r="X53">
        <f>SEARCH("~*",W53)</f>
        <v>9</v>
      </c>
      <c r="Y53" t="str">
        <f>LEFT(W53,X53-1)</f>
        <v xml:space="preserve">1299175 </v>
      </c>
      <c r="AA53" t="str">
        <f>CONCATENATE(A53,",",D53,",",E53,",",F53,",",G53,",",H53,",",I53,",",J53,",",K53)</f>
        <v>1299175,-322,-781,4406,327,1318,3170,4740,4496</v>
      </c>
    </row>
    <row r="54" spans="1:27">
      <c r="A54" s="1">
        <f>IF(ISBLANK(T54),"",VALUE(Y54))</f>
        <v>1275794</v>
      </c>
      <c r="B54" s="1">
        <f>A54*4/10 -18</f>
        <v>510299.6</v>
      </c>
      <c r="C54" s="3">
        <f>B54/7000000</f>
        <v>7.2899942857142852E-2</v>
      </c>
      <c r="D54" s="6">
        <f>VALUE(MID(W54,$X54+2,L54-(X54+2)))</f>
        <v>-317</v>
      </c>
      <c r="E54" s="6">
        <f>VALUE(MID($W54,L54+1,M54-(L54+1)))</f>
        <v>-782</v>
      </c>
      <c r="F54" s="6">
        <f>VALUE(MID($W54,M54+1,N54-(M54+1)))</f>
        <v>4406</v>
      </c>
      <c r="G54" s="6">
        <f>VALUE(MID($W54,N54+1,O54-(N54+1)))</f>
        <v>327</v>
      </c>
      <c r="H54" s="6">
        <f>VALUE(MID($W54,O54+1,P54-(O54+1)))</f>
        <v>1314</v>
      </c>
      <c r="I54" s="6">
        <f>VALUE(MID($W54,P54+1,Q54-(P54+1)))</f>
        <v>3170</v>
      </c>
      <c r="J54" s="6">
        <f>VALUE(MID($W54,Q54+1,R54-(Q54+1)))</f>
        <v>4745</v>
      </c>
      <c r="K54" s="4">
        <f>VALUE(MID(W54,R54+1,LEN(W54)-(R54)))</f>
        <v>4496</v>
      </c>
      <c r="L54" s="4">
        <f>SEARCH(",",W54,X54)</f>
        <v>16</v>
      </c>
      <c r="M54" s="4">
        <f>SEARCH(",",$W54,L54+1)</f>
        <v>22</v>
      </c>
      <c r="N54" s="4">
        <f>SEARCH(",",$W54,M54+1)</f>
        <v>28</v>
      </c>
      <c r="O54" s="4">
        <f>SEARCH(",",$W54,N54+1)</f>
        <v>33</v>
      </c>
      <c r="P54" s="4">
        <f>SEARCH(",",$W54,O54+1)</f>
        <v>39</v>
      </c>
      <c r="Q54" s="4">
        <f>SEARCH(",",$W54,P54+1)</f>
        <v>45</v>
      </c>
      <c r="R54" s="4">
        <f>SEARCH(",",$W54,Q54+1)</f>
        <v>51</v>
      </c>
      <c r="T54" t="s">
        <v>713</v>
      </c>
      <c r="U54">
        <f>SEARCH(":",T54)</f>
        <v>6</v>
      </c>
      <c r="V54" t="str">
        <f>MID(T54,U54+1,LEN(T54)-(U54))</f>
        <v xml:space="preserve"> 1275794 ** -317, -782, 4406, 327, 1314, 3170, 4745, 4496</v>
      </c>
      <c r="W54" t="str">
        <f>TRIM(V54)</f>
        <v>1275794 ** -317, -782, 4406, 327, 1314, 3170, 4745, 4496</v>
      </c>
      <c r="X54">
        <f>SEARCH("~*",W54)</f>
        <v>9</v>
      </c>
      <c r="Y54" t="str">
        <f>LEFT(W54,X54-1)</f>
        <v xml:space="preserve">1275794 </v>
      </c>
      <c r="AA54" t="str">
        <f>CONCATENATE(A54,",",D54,",",E54,",",F54,",",G54,",",H54,",",I54,",",J54,",",K54)</f>
        <v>1275794,-317,-782,4406,327,1314,3170,4745,4496</v>
      </c>
    </row>
    <row r="55" spans="1:27">
      <c r="A55" s="1">
        <f>IF(ISBLANK(T55),"",VALUE(Y55))</f>
        <v>1246898</v>
      </c>
      <c r="B55" s="1">
        <f>A55*4/10 -18</f>
        <v>498741.2</v>
      </c>
      <c r="C55" s="3">
        <f>B55/7000000</f>
        <v>7.124874285714286E-2</v>
      </c>
      <c r="D55" s="6">
        <f>VALUE(MID(W55,$X55+2,L55-(X55+2)))</f>
        <v>-320</v>
      </c>
      <c r="E55" s="6">
        <f>VALUE(MID($W55,L55+1,M55-(L55+1)))</f>
        <v>-782</v>
      </c>
      <c r="F55" s="6">
        <f>VALUE(MID($W55,M55+1,N55-(M55+1)))</f>
        <v>4402</v>
      </c>
      <c r="G55" s="6">
        <f>VALUE(MID($W55,N55+1,O55-(N55+1)))</f>
        <v>326</v>
      </c>
      <c r="H55" s="6">
        <f>VALUE(MID($W55,O55+1,P55-(O55+1)))</f>
        <v>1321</v>
      </c>
      <c r="I55" s="6">
        <f>VALUE(MID($W55,P55+1,Q55-(P55+1)))</f>
        <v>3173</v>
      </c>
      <c r="J55" s="6">
        <f>VALUE(MID($W55,Q55+1,R55-(Q55+1)))</f>
        <v>4741</v>
      </c>
      <c r="K55" s="4">
        <f>VALUE(MID(W55,R55+1,LEN(W55)-(R55)))</f>
        <v>4498</v>
      </c>
      <c r="L55" s="4">
        <f>SEARCH(",",W55,X55)</f>
        <v>16</v>
      </c>
      <c r="M55" s="4">
        <f>SEARCH(",",$W55,L55+1)</f>
        <v>22</v>
      </c>
      <c r="N55" s="4">
        <f>SEARCH(",",$W55,M55+1)</f>
        <v>28</v>
      </c>
      <c r="O55" s="4">
        <f>SEARCH(",",$W55,N55+1)</f>
        <v>33</v>
      </c>
      <c r="P55" s="4">
        <f>SEARCH(",",$W55,O55+1)</f>
        <v>39</v>
      </c>
      <c r="Q55" s="4">
        <f>SEARCH(",",$W55,P55+1)</f>
        <v>45</v>
      </c>
      <c r="R55" s="4">
        <f>SEARCH(",",$W55,Q55+1)</f>
        <v>51</v>
      </c>
      <c r="T55" t="s">
        <v>840</v>
      </c>
      <c r="U55">
        <f>SEARCH(":",T55)</f>
        <v>6</v>
      </c>
      <c r="V55" t="str">
        <f>MID(T55,U55+1,LEN(T55)-(U55))</f>
        <v xml:space="preserve"> 1246898 ** -320, -782, 4402, 326, 1321, 3173, 4741, 4498</v>
      </c>
      <c r="W55" t="str">
        <f>TRIM(V55)</f>
        <v>1246898 ** -320, -782, 4402, 326, 1321, 3173, 4741, 4498</v>
      </c>
      <c r="X55">
        <f>SEARCH("~*",W55)</f>
        <v>9</v>
      </c>
      <c r="Y55" t="str">
        <f>LEFT(W55,X55-1)</f>
        <v xml:space="preserve">1246898 </v>
      </c>
      <c r="AA55" t="str">
        <f>CONCATENATE(A55,",",D55,",",E55,",",F55,",",G55,",",H55,",",I55,",",J55,",",K55)</f>
        <v>1246898,-320,-782,4402,326,1321,3173,4741,4498</v>
      </c>
    </row>
    <row r="56" spans="1:27">
      <c r="A56" s="1">
        <f>IF(ISBLANK(T56),"",VALUE(Y56))</f>
        <v>1208436</v>
      </c>
      <c r="B56" s="1">
        <f>A56*4/10 -18</f>
        <v>483356.4</v>
      </c>
      <c r="C56" s="3">
        <f>B56/7000000</f>
        <v>6.905091428571429E-2</v>
      </c>
      <c r="D56" s="6">
        <f>VALUE(MID(W56,$X56+2,L56-(X56+2)))</f>
        <v>-317</v>
      </c>
      <c r="E56" s="6">
        <f>VALUE(MID($W56,L56+1,M56-(L56+1)))</f>
        <v>-777</v>
      </c>
      <c r="F56" s="6">
        <f>VALUE(MID($W56,M56+1,N56-(M56+1)))</f>
        <v>4403</v>
      </c>
      <c r="G56" s="6">
        <f>VALUE(MID($W56,N56+1,O56-(N56+1)))</f>
        <v>327</v>
      </c>
      <c r="H56" s="6">
        <f>VALUE(MID($W56,O56+1,P56-(O56+1)))</f>
        <v>1314</v>
      </c>
      <c r="I56" s="6">
        <f>VALUE(MID($W56,P56+1,Q56-(P56+1)))</f>
        <v>3168</v>
      </c>
      <c r="J56" s="6">
        <f>VALUE(MID($W56,Q56+1,R56-(Q56+1)))</f>
        <v>4740</v>
      </c>
      <c r="K56" s="4">
        <f>VALUE(MID(W56,R56+1,LEN(W56)-(R56)))</f>
        <v>4498</v>
      </c>
      <c r="L56" s="4">
        <f>SEARCH(",",W56,X56)</f>
        <v>16</v>
      </c>
      <c r="M56" s="4">
        <f>SEARCH(",",$W56,L56+1)</f>
        <v>22</v>
      </c>
      <c r="N56" s="4">
        <f>SEARCH(",",$W56,M56+1)</f>
        <v>28</v>
      </c>
      <c r="O56" s="4">
        <f>SEARCH(",",$W56,N56+1)</f>
        <v>33</v>
      </c>
      <c r="P56" s="4">
        <f>SEARCH(",",$W56,O56+1)</f>
        <v>39</v>
      </c>
      <c r="Q56" s="4">
        <f>SEARCH(",",$W56,P56+1)</f>
        <v>45</v>
      </c>
      <c r="R56" s="4">
        <f>SEARCH(",",$W56,Q56+1)</f>
        <v>51</v>
      </c>
      <c r="T56" t="s">
        <v>610</v>
      </c>
      <c r="U56">
        <f>SEARCH(":",T56)</f>
        <v>6</v>
      </c>
      <c r="V56" t="str">
        <f>MID(T56,U56+1,LEN(T56)-(U56))</f>
        <v xml:space="preserve"> 1208436 ** -317, -777, 4403, 327, 1314, 3168, 4740, 4498</v>
      </c>
      <c r="W56" t="str">
        <f>TRIM(V56)</f>
        <v>1208436 ** -317, -777, 4403, 327, 1314, 3168, 4740, 4498</v>
      </c>
      <c r="X56">
        <f>SEARCH("~*",W56)</f>
        <v>9</v>
      </c>
      <c r="Y56" t="str">
        <f>LEFT(W56,X56-1)</f>
        <v xml:space="preserve">1208436 </v>
      </c>
      <c r="AA56" t="str">
        <f>CONCATENATE(A56,",",D56,",",E56,",",F56,",",G56,",",H56,",",I56,",",J56,",",K56)</f>
        <v>1208436,-317,-777,4403,327,1314,3168,4740,4498</v>
      </c>
    </row>
    <row r="57" spans="1:27">
      <c r="A57" s="1">
        <f>IF(ISBLANK(T57),"",VALUE(Y57))</f>
        <v>1206304</v>
      </c>
      <c r="B57" s="1">
        <f>A57*4/10 -18</f>
        <v>482503.6</v>
      </c>
      <c r="C57" s="3">
        <f>B57/7000000</f>
        <v>6.8929085714285715E-2</v>
      </c>
      <c r="D57" s="6">
        <f>VALUE(MID(W57,$X57+2,L57-(X57+2)))</f>
        <v>-319</v>
      </c>
      <c r="E57" s="6">
        <f>VALUE(MID($W57,L57+1,M57-(L57+1)))</f>
        <v>-778</v>
      </c>
      <c r="F57" s="6">
        <f>VALUE(MID($W57,M57+1,N57-(M57+1)))</f>
        <v>4405</v>
      </c>
      <c r="G57" s="6">
        <f>VALUE(MID($W57,N57+1,O57-(N57+1)))</f>
        <v>325</v>
      </c>
      <c r="H57" s="6">
        <f>VALUE(MID($W57,O57+1,P57-(O57+1)))</f>
        <v>1316</v>
      </c>
      <c r="I57" s="6">
        <f>VALUE(MID($W57,P57+1,Q57-(P57+1)))</f>
        <v>3166</v>
      </c>
      <c r="J57" s="6">
        <f>VALUE(MID($W57,Q57+1,R57-(Q57+1)))</f>
        <v>4746</v>
      </c>
      <c r="K57" s="4">
        <f>VALUE(MID(W57,R57+1,LEN(W57)-(R57)))</f>
        <v>4496</v>
      </c>
      <c r="L57" s="4">
        <f>SEARCH(",",W57,X57)</f>
        <v>16</v>
      </c>
      <c r="M57" s="4">
        <f>SEARCH(",",$W57,L57+1)</f>
        <v>22</v>
      </c>
      <c r="N57" s="4">
        <f>SEARCH(",",$W57,M57+1)</f>
        <v>28</v>
      </c>
      <c r="O57" s="4">
        <f>SEARCH(",",$W57,N57+1)</f>
        <v>33</v>
      </c>
      <c r="P57" s="4">
        <f>SEARCH(",",$W57,O57+1)</f>
        <v>39</v>
      </c>
      <c r="Q57" s="4">
        <f>SEARCH(",",$W57,P57+1)</f>
        <v>45</v>
      </c>
      <c r="R57" s="4">
        <f>SEARCH(",",$W57,Q57+1)</f>
        <v>51</v>
      </c>
      <c r="T57" t="s">
        <v>756</v>
      </c>
      <c r="U57">
        <f>SEARCH(":",T57)</f>
        <v>6</v>
      </c>
      <c r="V57" t="str">
        <f>MID(T57,U57+1,LEN(T57)-(U57))</f>
        <v xml:space="preserve"> 1206304 ** -319, -778, 4405, 325, 1316, 3166, 4746, 4496</v>
      </c>
      <c r="W57" t="str">
        <f>TRIM(V57)</f>
        <v>1206304 ** -319, -778, 4405, 325, 1316, 3166, 4746, 4496</v>
      </c>
      <c r="X57">
        <f>SEARCH("~*",W57)</f>
        <v>9</v>
      </c>
      <c r="Y57" t="str">
        <f>LEFT(W57,X57-1)</f>
        <v xml:space="preserve">1206304 </v>
      </c>
      <c r="AA57" t="str">
        <f>CONCATENATE(A57,",",D57,",",E57,",",F57,",",G57,",",H57,",",I57,",",J57,",",K57)</f>
        <v>1206304,-319,-778,4405,325,1316,3166,4746,4496</v>
      </c>
    </row>
    <row r="58" spans="1:27">
      <c r="A58" s="1">
        <f>IF(ISBLANK(T58),"",VALUE(Y58))</f>
        <v>1200930</v>
      </c>
      <c r="B58" s="1">
        <f>A58*4/10 -18</f>
        <v>480354</v>
      </c>
      <c r="C58" s="3">
        <f>B58/7000000</f>
        <v>6.8622000000000002E-2</v>
      </c>
      <c r="D58" s="6">
        <f>VALUE(MID(W58,$X58+2,L58-(X58+2)))</f>
        <v>-316</v>
      </c>
      <c r="E58" s="6">
        <f>VALUE(MID($W58,L58+1,M58-(L58+1)))</f>
        <v>-782</v>
      </c>
      <c r="F58" s="6">
        <f>VALUE(MID($W58,M58+1,N58-(M58+1)))</f>
        <v>4404</v>
      </c>
      <c r="G58" s="6">
        <f>VALUE(MID($W58,N58+1,O58-(N58+1)))</f>
        <v>324</v>
      </c>
      <c r="H58" s="6">
        <f>VALUE(MID($W58,O58+1,P58-(O58+1)))</f>
        <v>1313</v>
      </c>
      <c r="I58" s="6">
        <f>VALUE(MID($W58,P58+1,Q58-(P58+1)))</f>
        <v>3171</v>
      </c>
      <c r="J58" s="6">
        <f>VALUE(MID($W58,Q58+1,R58-(Q58+1)))</f>
        <v>4740</v>
      </c>
      <c r="K58" s="4">
        <f>VALUE(MID(W58,R58+1,LEN(W58)-(R58)))</f>
        <v>4493</v>
      </c>
      <c r="L58" s="4">
        <f>SEARCH(",",W58,X58)</f>
        <v>16</v>
      </c>
      <c r="M58" s="4">
        <f>SEARCH(",",$W58,L58+1)</f>
        <v>22</v>
      </c>
      <c r="N58" s="4">
        <f>SEARCH(",",$W58,M58+1)</f>
        <v>28</v>
      </c>
      <c r="O58" s="4">
        <f>SEARCH(",",$W58,N58+1)</f>
        <v>33</v>
      </c>
      <c r="P58" s="4">
        <f>SEARCH(",",$W58,O58+1)</f>
        <v>39</v>
      </c>
      <c r="Q58" s="4">
        <f>SEARCH(",",$W58,P58+1)</f>
        <v>45</v>
      </c>
      <c r="R58" s="4">
        <f>SEARCH(",",$W58,Q58+1)</f>
        <v>51</v>
      </c>
      <c r="T58" t="s">
        <v>682</v>
      </c>
      <c r="U58">
        <f>SEARCH(":",T58)</f>
        <v>6</v>
      </c>
      <c r="V58" t="str">
        <f>MID(T58,U58+1,LEN(T58)-(U58))</f>
        <v xml:space="preserve"> 1200930 ** -316, -782, 4404, 324, 1313, 3171, 4740, 4493</v>
      </c>
      <c r="W58" t="str">
        <f>TRIM(V58)</f>
        <v>1200930 ** -316, -782, 4404, 324, 1313, 3171, 4740, 4493</v>
      </c>
      <c r="X58">
        <f>SEARCH("~*",W58)</f>
        <v>9</v>
      </c>
      <c r="Y58" t="str">
        <f>LEFT(W58,X58-1)</f>
        <v xml:space="preserve">1200930 </v>
      </c>
      <c r="AA58" t="str">
        <f>CONCATENATE(A58,",",D58,",",E58,",",F58,",",G58,",",H58,",",I58,",",J58,",",K58)</f>
        <v>1200930,-316,-782,4404,324,1313,3171,4740,4493</v>
      </c>
    </row>
    <row r="59" spans="1:27">
      <c r="A59" s="1">
        <f>IF(ISBLANK(T59),"",VALUE(Y59))</f>
        <v>1191466</v>
      </c>
      <c r="B59" s="1">
        <f>A59*4/10 -18</f>
        <v>476568.4</v>
      </c>
      <c r="C59" s="3">
        <f>B59/7000000</f>
        <v>6.8081200000000008E-2</v>
      </c>
      <c r="D59" s="6">
        <f>VALUE(MID(W59,$X59+2,L59-(X59+2)))</f>
        <v>-318</v>
      </c>
      <c r="E59" s="6">
        <f>VALUE(MID($W59,L59+1,M59-(L59+1)))</f>
        <v>-778</v>
      </c>
      <c r="F59" s="6">
        <f>VALUE(MID($W59,M59+1,N59-(M59+1)))</f>
        <v>4400</v>
      </c>
      <c r="G59" s="6">
        <f>VALUE(MID($W59,N59+1,O59-(N59+1)))</f>
        <v>323</v>
      </c>
      <c r="H59" s="6">
        <f>VALUE(MID($W59,O59+1,P59-(O59+1)))</f>
        <v>1313</v>
      </c>
      <c r="I59" s="6">
        <f>VALUE(MID($W59,P59+1,Q59-(P59+1)))</f>
        <v>3169</v>
      </c>
      <c r="J59" s="6">
        <f>VALUE(MID($W59,Q59+1,R59-(Q59+1)))</f>
        <v>4743</v>
      </c>
      <c r="K59" s="4">
        <f>VALUE(MID(W59,R59+1,LEN(W59)-(R59)))</f>
        <v>4500</v>
      </c>
      <c r="L59" s="4">
        <f>SEARCH(",",W59,X59)</f>
        <v>16</v>
      </c>
      <c r="M59" s="4">
        <f>SEARCH(",",$W59,L59+1)</f>
        <v>22</v>
      </c>
      <c r="N59" s="4">
        <f>SEARCH(",",$W59,M59+1)</f>
        <v>28</v>
      </c>
      <c r="O59" s="4">
        <f>SEARCH(",",$W59,N59+1)</f>
        <v>33</v>
      </c>
      <c r="P59" s="4">
        <f>SEARCH(",",$W59,O59+1)</f>
        <v>39</v>
      </c>
      <c r="Q59" s="4">
        <f>SEARCH(",",$W59,P59+1)</f>
        <v>45</v>
      </c>
      <c r="R59" s="4">
        <f>SEARCH(",",$W59,Q59+1)</f>
        <v>51</v>
      </c>
      <c r="T59" t="s">
        <v>813</v>
      </c>
      <c r="U59">
        <f>SEARCH(":",T59)</f>
        <v>6</v>
      </c>
      <c r="V59" t="str">
        <f>MID(T59,U59+1,LEN(T59)-(U59))</f>
        <v xml:space="preserve"> 1191466 ** -318, -778, 4400, 323, 1313, 3169, 4743, 4500</v>
      </c>
      <c r="W59" t="str">
        <f>TRIM(V59)</f>
        <v>1191466 ** -318, -778, 4400, 323, 1313, 3169, 4743, 4500</v>
      </c>
      <c r="X59">
        <f>SEARCH("~*",W59)</f>
        <v>9</v>
      </c>
      <c r="Y59" t="str">
        <f>LEFT(W59,X59-1)</f>
        <v xml:space="preserve">1191466 </v>
      </c>
      <c r="AA59" t="str">
        <f>CONCATENATE(A59,",",D59,",",E59,",",F59,",",G59,",",H59,",",I59,",",J59,",",K59)</f>
        <v>1191466,-318,-778,4400,323,1313,3169,4743,4500</v>
      </c>
    </row>
    <row r="60" spans="1:27">
      <c r="A60" s="1">
        <f>IF(ISBLANK(T60),"",VALUE(Y60))</f>
        <v>1175221</v>
      </c>
      <c r="B60" s="1">
        <f>A60*4/10 -18</f>
        <v>470070.4</v>
      </c>
      <c r="C60" s="3">
        <f>B60/7000000</f>
        <v>6.7152914285714294E-2</v>
      </c>
      <c r="D60" s="6">
        <f>VALUE(MID(W60,$X60+2,L60-(X60+2)))</f>
        <v>-318</v>
      </c>
      <c r="E60" s="6">
        <f>VALUE(MID($W60,L60+1,M60-(L60+1)))</f>
        <v>-779</v>
      </c>
      <c r="F60" s="6">
        <f>VALUE(MID($W60,M60+1,N60-(M60+1)))</f>
        <v>4403</v>
      </c>
      <c r="G60" s="6">
        <f>VALUE(MID($W60,N60+1,O60-(N60+1)))</f>
        <v>320</v>
      </c>
      <c r="H60" s="6">
        <f>VALUE(MID($W60,O60+1,P60-(O60+1)))</f>
        <v>1316</v>
      </c>
      <c r="I60" s="6">
        <f>VALUE(MID($W60,P60+1,Q60-(P60+1)))</f>
        <v>3169</v>
      </c>
      <c r="J60" s="6">
        <f>VALUE(MID($W60,Q60+1,R60-(Q60+1)))</f>
        <v>4745</v>
      </c>
      <c r="K60" s="4">
        <f>VALUE(MID(W60,R60+1,LEN(W60)-(R60)))</f>
        <v>4493</v>
      </c>
      <c r="L60" s="4">
        <f>SEARCH(",",W60,X60)</f>
        <v>16</v>
      </c>
      <c r="M60" s="4">
        <f>SEARCH(",",$W60,L60+1)</f>
        <v>22</v>
      </c>
      <c r="N60" s="4">
        <f>SEARCH(",",$W60,M60+1)</f>
        <v>28</v>
      </c>
      <c r="O60" s="4">
        <f>SEARCH(",",$W60,N60+1)</f>
        <v>33</v>
      </c>
      <c r="P60" s="4">
        <f>SEARCH(",",$W60,O60+1)</f>
        <v>39</v>
      </c>
      <c r="Q60" s="4">
        <f>SEARCH(",",$W60,P60+1)</f>
        <v>45</v>
      </c>
      <c r="R60" s="4">
        <f>SEARCH(",",$W60,Q60+1)</f>
        <v>51</v>
      </c>
      <c r="T60" t="s">
        <v>757</v>
      </c>
      <c r="U60">
        <f>SEARCH(":",T60)</f>
        <v>6</v>
      </c>
      <c r="V60" t="str">
        <f>MID(T60,U60+1,LEN(T60)-(U60))</f>
        <v xml:space="preserve"> 1175221 ** -318, -779, 4403, 320, 1316, 3169, 4745, 4493</v>
      </c>
      <c r="W60" t="str">
        <f>TRIM(V60)</f>
        <v>1175221 ** -318, -779, 4403, 320, 1316, 3169, 4745, 4493</v>
      </c>
      <c r="X60">
        <f>SEARCH("~*",W60)</f>
        <v>9</v>
      </c>
      <c r="Y60" t="str">
        <f>LEFT(W60,X60-1)</f>
        <v xml:space="preserve">1175221 </v>
      </c>
      <c r="AA60" t="str">
        <f>CONCATENATE(A60,",",D60,",",E60,",",F60,",",G60,",",H60,",",I60,",",J60,",",K60)</f>
        <v>1175221,-318,-779,4403,320,1316,3169,4745,4493</v>
      </c>
    </row>
    <row r="61" spans="1:27">
      <c r="A61" s="1">
        <f>IF(ISBLANK(T61),"",VALUE(Y61))</f>
        <v>1161620</v>
      </c>
      <c r="B61" s="1">
        <f>A61*4/10 -18</f>
        <v>464630</v>
      </c>
      <c r="C61" s="3">
        <f>B61/7000000</f>
        <v>6.6375714285714288E-2</v>
      </c>
      <c r="D61" s="6">
        <f>VALUE(MID(W61,$X61+2,L61-(X61+2)))</f>
        <v>-318</v>
      </c>
      <c r="E61" s="6">
        <f>VALUE(MID($W61,L61+1,M61-(L61+1)))</f>
        <v>-778</v>
      </c>
      <c r="F61" s="6">
        <f>VALUE(MID($W61,M61+1,N61-(M61+1)))</f>
        <v>4403</v>
      </c>
      <c r="G61" s="6">
        <f>VALUE(MID($W61,N61+1,O61-(N61+1)))</f>
        <v>329</v>
      </c>
      <c r="H61" s="6">
        <f>VALUE(MID($W61,O61+1,P61-(O61+1)))</f>
        <v>1321</v>
      </c>
      <c r="I61" s="6">
        <f>VALUE(MID($W61,P61+1,Q61-(P61+1)))</f>
        <v>3168</v>
      </c>
      <c r="J61" s="6">
        <f>VALUE(MID($W61,Q61+1,R61-(Q61+1)))</f>
        <v>4742</v>
      </c>
      <c r="K61" s="4">
        <f>VALUE(MID(W61,R61+1,LEN(W61)-(R61)))</f>
        <v>4491</v>
      </c>
      <c r="L61" s="4">
        <f>SEARCH(",",W61,X61)</f>
        <v>16</v>
      </c>
      <c r="M61" s="4">
        <f>SEARCH(",",$W61,L61+1)</f>
        <v>22</v>
      </c>
      <c r="N61" s="4">
        <f>SEARCH(",",$W61,M61+1)</f>
        <v>28</v>
      </c>
      <c r="O61" s="4">
        <f>SEARCH(",",$W61,N61+1)</f>
        <v>33</v>
      </c>
      <c r="P61" s="4">
        <f>SEARCH(",",$W61,O61+1)</f>
        <v>39</v>
      </c>
      <c r="Q61" s="4">
        <f>SEARCH(",",$W61,P61+1)</f>
        <v>45</v>
      </c>
      <c r="R61" s="4">
        <f>SEARCH(",",$W61,Q61+1)</f>
        <v>51</v>
      </c>
      <c r="T61" t="s">
        <v>820</v>
      </c>
      <c r="U61">
        <f>SEARCH(":",T61)</f>
        <v>6</v>
      </c>
      <c r="V61" t="str">
        <f>MID(T61,U61+1,LEN(T61)-(U61))</f>
        <v xml:space="preserve"> 1161620 ** -318, -778, 4403, 329, 1321, 3168, 4742, 4491</v>
      </c>
      <c r="W61" t="str">
        <f>TRIM(V61)</f>
        <v>1161620 ** -318, -778, 4403, 329, 1321, 3168, 4742, 4491</v>
      </c>
      <c r="X61">
        <f>SEARCH("~*",W61)</f>
        <v>9</v>
      </c>
      <c r="Y61" t="str">
        <f>LEFT(W61,X61-1)</f>
        <v xml:space="preserve">1161620 </v>
      </c>
      <c r="AA61" t="str">
        <f>CONCATENATE(A61,",",D61,",",E61,",",F61,",",G61,",",H61,",",I61,",",J61,",",K61)</f>
        <v>1161620,-318,-778,4403,329,1321,3168,4742,4491</v>
      </c>
    </row>
    <row r="62" spans="1:27">
      <c r="A62" s="1">
        <f>IF(ISBLANK(T62),"",VALUE(Y62))</f>
        <v>1158178</v>
      </c>
      <c r="B62" s="1">
        <f>A62*4/10 -18</f>
        <v>463253.2</v>
      </c>
      <c r="C62" s="3">
        <f>B62/7000000</f>
        <v>6.6179028571428572E-2</v>
      </c>
      <c r="D62" s="6">
        <f>VALUE(MID(W62,$X62+2,L62-(X62+2)))</f>
        <v>-320</v>
      </c>
      <c r="E62" s="6">
        <f>VALUE(MID($W62,L62+1,M62-(L62+1)))</f>
        <v>-774</v>
      </c>
      <c r="F62" s="6">
        <f>VALUE(MID($W62,M62+1,N62-(M62+1)))</f>
        <v>4403</v>
      </c>
      <c r="G62" s="6">
        <f>VALUE(MID($W62,N62+1,O62-(N62+1)))</f>
        <v>322</v>
      </c>
      <c r="H62" s="6">
        <f>VALUE(MID($W62,O62+1,P62-(O62+1)))</f>
        <v>1321</v>
      </c>
      <c r="I62" s="6">
        <f>VALUE(MID($W62,P62+1,Q62-(P62+1)))</f>
        <v>3175</v>
      </c>
      <c r="J62" s="6">
        <f>VALUE(MID($W62,Q62+1,R62-(Q62+1)))</f>
        <v>4743</v>
      </c>
      <c r="K62" s="4">
        <f>VALUE(MID(W62,R62+1,LEN(W62)-(R62)))</f>
        <v>4496</v>
      </c>
      <c r="L62" s="4">
        <f>SEARCH(",",W62,X62)</f>
        <v>16</v>
      </c>
      <c r="M62" s="4">
        <f>SEARCH(",",$W62,L62+1)</f>
        <v>22</v>
      </c>
      <c r="N62" s="4">
        <f>SEARCH(",",$W62,M62+1)</f>
        <v>28</v>
      </c>
      <c r="O62" s="4">
        <f>SEARCH(",",$W62,N62+1)</f>
        <v>33</v>
      </c>
      <c r="P62" s="4">
        <f>SEARCH(",",$W62,O62+1)</f>
        <v>39</v>
      </c>
      <c r="Q62" s="4">
        <f>SEARCH(",",$W62,P62+1)</f>
        <v>45</v>
      </c>
      <c r="R62" s="4">
        <f>SEARCH(",",$W62,Q62+1)</f>
        <v>51</v>
      </c>
      <c r="T62" t="s">
        <v>666</v>
      </c>
      <c r="U62">
        <f>SEARCH(":",T62)</f>
        <v>6</v>
      </c>
      <c r="V62" t="str">
        <f>MID(T62,U62+1,LEN(T62)-(U62))</f>
        <v xml:space="preserve"> 1158178 ** -320, -774, 4403, 322, 1321, 3175, 4743, 4496</v>
      </c>
      <c r="W62" t="str">
        <f>TRIM(V62)</f>
        <v>1158178 ** -320, -774, 4403, 322, 1321, 3175, 4743, 4496</v>
      </c>
      <c r="X62">
        <f>SEARCH("~*",W62)</f>
        <v>9</v>
      </c>
      <c r="Y62" t="str">
        <f>LEFT(W62,X62-1)</f>
        <v xml:space="preserve">1158178 </v>
      </c>
      <c r="AA62" t="str">
        <f>CONCATENATE(A62,",",D62,",",E62,",",F62,",",G62,",",H62,",",I62,",",J62,",",K62)</f>
        <v>1158178,-320,-774,4403,322,1321,3175,4743,4496</v>
      </c>
    </row>
    <row r="63" spans="1:27">
      <c r="A63" s="1">
        <f>IF(ISBLANK(T63),"",VALUE(Y63))</f>
        <v>1157168</v>
      </c>
      <c r="B63" s="1">
        <f>A63*4/10 -18</f>
        <v>462849.2</v>
      </c>
      <c r="C63" s="3">
        <f>B63/7000000</f>
        <v>6.6121314285714286E-2</v>
      </c>
      <c r="D63" s="6">
        <f>VALUE(MID(W63,$X63+2,L63-(X63+2)))</f>
        <v>-315</v>
      </c>
      <c r="E63" s="6">
        <f>VALUE(MID($W63,L63+1,M63-(L63+1)))</f>
        <v>-781</v>
      </c>
      <c r="F63" s="6">
        <f>VALUE(MID($W63,M63+1,N63-(M63+1)))</f>
        <v>4403</v>
      </c>
      <c r="G63" s="6">
        <f>VALUE(MID($W63,N63+1,O63-(N63+1)))</f>
        <v>329</v>
      </c>
      <c r="H63" s="6">
        <f>VALUE(MID($W63,O63+1,P63-(O63+1)))</f>
        <v>1317</v>
      </c>
      <c r="I63" s="6">
        <f>VALUE(MID($W63,P63+1,Q63-(P63+1)))</f>
        <v>3171</v>
      </c>
      <c r="J63" s="6">
        <f>VALUE(MID($W63,Q63+1,R63-(Q63+1)))</f>
        <v>4748</v>
      </c>
      <c r="K63" s="4">
        <f>VALUE(MID(W63,R63+1,LEN(W63)-(R63)))</f>
        <v>4492</v>
      </c>
      <c r="L63" s="4">
        <f>SEARCH(",",W63,X63)</f>
        <v>16</v>
      </c>
      <c r="M63" s="4">
        <f>SEARCH(",",$W63,L63+1)</f>
        <v>22</v>
      </c>
      <c r="N63" s="4">
        <f>SEARCH(",",$W63,M63+1)</f>
        <v>28</v>
      </c>
      <c r="O63" s="4">
        <f>SEARCH(",",$W63,N63+1)</f>
        <v>33</v>
      </c>
      <c r="P63" s="4">
        <f>SEARCH(",",$W63,O63+1)</f>
        <v>39</v>
      </c>
      <c r="Q63" s="4">
        <f>SEARCH(",",$W63,P63+1)</f>
        <v>45</v>
      </c>
      <c r="R63" s="4">
        <f>SEARCH(",",$W63,Q63+1)</f>
        <v>51</v>
      </c>
      <c r="T63" t="s">
        <v>817</v>
      </c>
      <c r="U63">
        <f>SEARCH(":",T63)</f>
        <v>6</v>
      </c>
      <c r="V63" t="str">
        <f>MID(T63,U63+1,LEN(T63)-(U63))</f>
        <v xml:space="preserve"> 1157168 ** -315, -781, 4403, 329, 1317, 3171, 4748, 4492</v>
      </c>
      <c r="W63" t="str">
        <f>TRIM(V63)</f>
        <v>1157168 ** -315, -781, 4403, 329, 1317, 3171, 4748, 4492</v>
      </c>
      <c r="X63">
        <f>SEARCH("~*",W63)</f>
        <v>9</v>
      </c>
      <c r="Y63" t="str">
        <f>LEFT(W63,X63-1)</f>
        <v xml:space="preserve">1157168 </v>
      </c>
      <c r="AA63" t="str">
        <f>CONCATENATE(A63,",",D63,",",E63,",",F63,",",G63,",",H63,",",I63,",",J63,",",K63)</f>
        <v>1157168,-315,-781,4403,329,1317,3171,4748,4492</v>
      </c>
    </row>
    <row r="64" spans="1:27">
      <c r="A64" s="1">
        <f>IF(ISBLANK(T64),"",VALUE(Y64))</f>
        <v>1136121</v>
      </c>
      <c r="B64" s="1">
        <f>A64*4/10 -18</f>
        <v>454430.4</v>
      </c>
      <c r="C64" s="3">
        <f>B64/7000000</f>
        <v>6.4918628571428577E-2</v>
      </c>
      <c r="D64" s="6">
        <f>VALUE(MID(W64,$X64+2,L64-(X64+2)))</f>
        <v>-321</v>
      </c>
      <c r="E64" s="6">
        <f>VALUE(MID($W64,L64+1,M64-(L64+1)))</f>
        <v>-781</v>
      </c>
      <c r="F64" s="6">
        <f>VALUE(MID($W64,M64+1,N64-(M64+1)))</f>
        <v>4401</v>
      </c>
      <c r="G64" s="6">
        <f>VALUE(MID($W64,N64+1,O64-(N64+1)))</f>
        <v>320</v>
      </c>
      <c r="H64" s="6">
        <f>VALUE(MID($W64,O64+1,P64-(O64+1)))</f>
        <v>1318</v>
      </c>
      <c r="I64" s="6">
        <f>VALUE(MID($W64,P64+1,Q64-(P64+1)))</f>
        <v>3171</v>
      </c>
      <c r="J64" s="6">
        <f>VALUE(MID($W64,Q64+1,R64-(Q64+1)))</f>
        <v>4739</v>
      </c>
      <c r="K64" s="4">
        <f>VALUE(MID(W64,R64+1,LEN(W64)-(R64)))</f>
        <v>4497</v>
      </c>
      <c r="L64" s="4">
        <f>SEARCH(",",W64,X64)</f>
        <v>16</v>
      </c>
      <c r="M64" s="4">
        <f>SEARCH(",",$W64,L64+1)</f>
        <v>22</v>
      </c>
      <c r="N64" s="4">
        <f>SEARCH(",",$W64,M64+1)</f>
        <v>28</v>
      </c>
      <c r="O64" s="4">
        <f>SEARCH(",",$W64,N64+1)</f>
        <v>33</v>
      </c>
      <c r="P64" s="4">
        <f>SEARCH(",",$W64,O64+1)</f>
        <v>39</v>
      </c>
      <c r="Q64" s="4">
        <f>SEARCH(",",$W64,P64+1)</f>
        <v>45</v>
      </c>
      <c r="R64" s="4">
        <f>SEARCH(",",$W64,Q64+1)</f>
        <v>51</v>
      </c>
      <c r="T64" t="s">
        <v>651</v>
      </c>
      <c r="U64">
        <f>SEARCH(":",T64)</f>
        <v>6</v>
      </c>
      <c r="V64" t="str">
        <f>MID(T64,U64+1,LEN(T64)-(U64))</f>
        <v xml:space="preserve"> 1136121 ** -321, -781, 4401, 320, 1318, 3171, 4739, 4497</v>
      </c>
      <c r="W64" t="str">
        <f>TRIM(V64)</f>
        <v>1136121 ** -321, -781, 4401, 320, 1318, 3171, 4739, 4497</v>
      </c>
      <c r="X64">
        <f>SEARCH("~*",W64)</f>
        <v>9</v>
      </c>
      <c r="Y64" t="str">
        <f>LEFT(W64,X64-1)</f>
        <v xml:space="preserve">1136121 </v>
      </c>
      <c r="AA64" t="str">
        <f>CONCATENATE(A64,",",D64,",",E64,",",F64,",",G64,",",H64,",",I64,",",J64,",",K64)</f>
        <v>1136121,-321,-781,4401,320,1318,3171,4739,4497</v>
      </c>
    </row>
    <row r="65" spans="1:27">
      <c r="A65" s="1">
        <f>IF(ISBLANK(T65),"",VALUE(Y65))</f>
        <v>1101875</v>
      </c>
      <c r="B65" s="1">
        <f>A65*4/10 -18</f>
        <v>440732</v>
      </c>
      <c r="C65" s="3">
        <f>B65/7000000</f>
        <v>6.2961714285714288E-2</v>
      </c>
      <c r="D65" s="6">
        <f>VALUE(MID(W65,$X65+2,L65-(X65+2)))</f>
        <v>-315</v>
      </c>
      <c r="E65" s="6">
        <f>VALUE(MID($W65,L65+1,M65-(L65+1)))</f>
        <v>-778</v>
      </c>
      <c r="F65" s="6">
        <f>VALUE(MID($W65,M65+1,N65-(M65+1)))</f>
        <v>4401</v>
      </c>
      <c r="G65" s="6">
        <f>VALUE(MID($W65,N65+1,O65-(N65+1)))</f>
        <v>322</v>
      </c>
      <c r="H65" s="6">
        <f>VALUE(MID($W65,O65+1,P65-(O65+1)))</f>
        <v>1320</v>
      </c>
      <c r="I65" s="6">
        <f>VALUE(MID($W65,P65+1,Q65-(P65+1)))</f>
        <v>3169</v>
      </c>
      <c r="J65" s="6">
        <f>VALUE(MID($W65,Q65+1,R65-(Q65+1)))</f>
        <v>4743</v>
      </c>
      <c r="K65" s="4">
        <f>VALUE(MID(W65,R65+1,LEN(W65)-(R65)))</f>
        <v>4495</v>
      </c>
      <c r="L65" s="4">
        <f>SEARCH(",",W65,X65)</f>
        <v>16</v>
      </c>
      <c r="M65" s="4">
        <f>SEARCH(",",$W65,L65+1)</f>
        <v>22</v>
      </c>
      <c r="N65" s="4">
        <f>SEARCH(",",$W65,M65+1)</f>
        <v>28</v>
      </c>
      <c r="O65" s="4">
        <f>SEARCH(",",$W65,N65+1)</f>
        <v>33</v>
      </c>
      <c r="P65" s="4">
        <f>SEARCH(",",$W65,O65+1)</f>
        <v>39</v>
      </c>
      <c r="Q65" s="4">
        <f>SEARCH(",",$W65,P65+1)</f>
        <v>45</v>
      </c>
      <c r="R65" s="4">
        <f>SEARCH(",",$W65,Q65+1)</f>
        <v>51</v>
      </c>
      <c r="T65" t="s">
        <v>685</v>
      </c>
      <c r="U65">
        <f>SEARCH(":",T65)</f>
        <v>6</v>
      </c>
      <c r="V65" t="str">
        <f>MID(T65,U65+1,LEN(T65)-(U65))</f>
        <v xml:space="preserve"> 1101875 ** -315, -778, 4401, 322, 1320, 3169, 4743, 4495</v>
      </c>
      <c r="W65" t="str">
        <f>TRIM(V65)</f>
        <v>1101875 ** -315, -778, 4401, 322, 1320, 3169, 4743, 4495</v>
      </c>
      <c r="X65">
        <f>SEARCH("~*",W65)</f>
        <v>9</v>
      </c>
      <c r="Y65" t="str">
        <f>LEFT(W65,X65-1)</f>
        <v xml:space="preserve">1101875 </v>
      </c>
      <c r="AA65" t="str">
        <f>CONCATENATE(A65,",",D65,",",E65,",",F65,",",G65,",",H65,",",I65,",",J65,",",K65)</f>
        <v>1101875,-315,-778,4401,322,1320,3169,4743,4495</v>
      </c>
    </row>
    <row r="66" spans="1:27">
      <c r="A66" s="1">
        <f>IF(ISBLANK(T66),"",VALUE(Y66))</f>
        <v>1097148</v>
      </c>
      <c r="B66" s="1">
        <f>A66*4/10 -18</f>
        <v>438841.2</v>
      </c>
      <c r="C66" s="3">
        <f>B66/7000000</f>
        <v>6.26916E-2</v>
      </c>
      <c r="D66" s="6">
        <f>VALUE(MID(W66,$X66+2,L66-(X66+2)))</f>
        <v>-317</v>
      </c>
      <c r="E66" s="6">
        <f>VALUE(MID($W66,L66+1,M66-(L66+1)))</f>
        <v>-776</v>
      </c>
      <c r="F66" s="6">
        <f>VALUE(MID($W66,M66+1,N66-(M66+1)))</f>
        <v>4403</v>
      </c>
      <c r="G66" s="6">
        <f>VALUE(MID($W66,N66+1,O66-(N66+1)))</f>
        <v>324</v>
      </c>
      <c r="H66" s="6">
        <f>VALUE(MID($W66,O66+1,P66-(O66+1)))</f>
        <v>1320</v>
      </c>
      <c r="I66" s="6">
        <f>VALUE(MID($W66,P66+1,Q66-(P66+1)))</f>
        <v>3170</v>
      </c>
      <c r="J66" s="6">
        <f>VALUE(MID($W66,Q66+1,R66-(Q66+1)))</f>
        <v>4747</v>
      </c>
      <c r="K66" s="4">
        <f>VALUE(MID(W66,R66+1,LEN(W66)-(R66)))</f>
        <v>4491</v>
      </c>
      <c r="L66" s="4">
        <f>SEARCH(",",W66,X66)</f>
        <v>16</v>
      </c>
      <c r="M66" s="4">
        <f>SEARCH(",",$W66,L66+1)</f>
        <v>22</v>
      </c>
      <c r="N66" s="4">
        <f>SEARCH(",",$W66,M66+1)</f>
        <v>28</v>
      </c>
      <c r="O66" s="4">
        <f>SEARCH(",",$W66,N66+1)</f>
        <v>33</v>
      </c>
      <c r="P66" s="4">
        <f>SEARCH(",",$W66,O66+1)</f>
        <v>39</v>
      </c>
      <c r="Q66" s="4">
        <f>SEARCH(",",$W66,P66+1)</f>
        <v>45</v>
      </c>
      <c r="R66" s="4">
        <f>SEARCH(",",$W66,Q66+1)</f>
        <v>51</v>
      </c>
      <c r="T66" t="s">
        <v>861</v>
      </c>
      <c r="U66">
        <f>SEARCH(":",T66)</f>
        <v>6</v>
      </c>
      <c r="V66" t="str">
        <f>MID(T66,U66+1,LEN(T66)-(U66))</f>
        <v xml:space="preserve"> 1097148 ** -317, -776, 4403, 324, 1320, 3170, 4747, 4491</v>
      </c>
      <c r="W66" t="str">
        <f>TRIM(V66)</f>
        <v>1097148 ** -317, -776, 4403, 324, 1320, 3170, 4747, 4491</v>
      </c>
      <c r="X66">
        <f>SEARCH("~*",W66)</f>
        <v>9</v>
      </c>
      <c r="Y66" t="str">
        <f>LEFT(W66,X66-1)</f>
        <v xml:space="preserve">1097148 </v>
      </c>
      <c r="AA66" t="str">
        <f>CONCATENATE(A66,",",D66,",",E66,",",F66,",",G66,",",H66,",",I66,",",J66,",",K66)</f>
        <v>1097148,-317,-776,4403,324,1320,3170,4747,4491</v>
      </c>
    </row>
    <row r="67" spans="1:27">
      <c r="A67" s="1">
        <f>IF(ISBLANK(T67),"",VALUE(Y67))</f>
        <v>1014366</v>
      </c>
      <c r="B67" s="1">
        <f>A67*4/10 -18</f>
        <v>405728.4</v>
      </c>
      <c r="C67" s="3">
        <f>B67/7000000</f>
        <v>5.7961200000000004E-2</v>
      </c>
      <c r="D67" s="6">
        <f>VALUE(MID(W67,$X67+2,L67-(X67+2)))</f>
        <v>-320</v>
      </c>
      <c r="E67" s="6">
        <f>VALUE(MID($W67,L67+1,M67-(L67+1)))</f>
        <v>-773</v>
      </c>
      <c r="F67" s="6">
        <f>VALUE(MID($W67,M67+1,N67-(M67+1)))</f>
        <v>4406</v>
      </c>
      <c r="G67" s="6">
        <f>VALUE(MID($W67,N67+1,O67-(N67+1)))</f>
        <v>327</v>
      </c>
      <c r="H67" s="6">
        <f>VALUE(MID($W67,O67+1,P67-(O67+1)))</f>
        <v>1319</v>
      </c>
      <c r="I67" s="6">
        <f>VALUE(MID($W67,P67+1,Q67-(P67+1)))</f>
        <v>3169</v>
      </c>
      <c r="J67" s="6">
        <f>VALUE(MID($W67,Q67+1,R67-(Q67+1)))</f>
        <v>4745</v>
      </c>
      <c r="K67" s="4">
        <f>VALUE(MID(W67,R67+1,LEN(W67)-(R67)))</f>
        <v>4497</v>
      </c>
      <c r="L67" s="4">
        <f>SEARCH(",",W67,X67)</f>
        <v>16</v>
      </c>
      <c r="M67" s="4">
        <f>SEARCH(",",$W67,L67+1)</f>
        <v>22</v>
      </c>
      <c r="N67" s="4">
        <f>SEARCH(",",$W67,M67+1)</f>
        <v>28</v>
      </c>
      <c r="O67" s="4">
        <f>SEARCH(",",$W67,N67+1)</f>
        <v>33</v>
      </c>
      <c r="P67" s="4">
        <f>SEARCH(",",$W67,O67+1)</f>
        <v>39</v>
      </c>
      <c r="Q67" s="4">
        <f>SEARCH(",",$W67,P67+1)</f>
        <v>45</v>
      </c>
      <c r="R67" s="4">
        <f>SEARCH(",",$W67,Q67+1)</f>
        <v>51</v>
      </c>
      <c r="T67" t="s">
        <v>680</v>
      </c>
      <c r="U67">
        <f>SEARCH(":",T67)</f>
        <v>6</v>
      </c>
      <c r="V67" t="str">
        <f>MID(T67,U67+1,LEN(T67)-(U67))</f>
        <v xml:space="preserve"> 1014366 ** -320, -773, 4406, 327, 1319, 3169, 4745, 4497</v>
      </c>
      <c r="W67" t="str">
        <f>TRIM(V67)</f>
        <v>1014366 ** -320, -773, 4406, 327, 1319, 3169, 4745, 4497</v>
      </c>
      <c r="X67">
        <f>SEARCH("~*",W67)</f>
        <v>9</v>
      </c>
      <c r="Y67" t="str">
        <f>LEFT(W67,X67-1)</f>
        <v xml:space="preserve">1014366 </v>
      </c>
      <c r="AA67" t="str">
        <f>CONCATENATE(A67,",",D67,",",E67,",",F67,",",G67,",",H67,",",I67,",",J67,",",K67)</f>
        <v>1014366,-320,-773,4406,327,1319,3169,4745,4497</v>
      </c>
    </row>
    <row r="68" spans="1:27">
      <c r="A68" s="1">
        <f>IF(ISBLANK(T68),"",VALUE(Y68))</f>
        <v>1012381</v>
      </c>
      <c r="B68" s="1">
        <f>A68*4/10 -18</f>
        <v>404934.40000000002</v>
      </c>
      <c r="C68" s="3">
        <f>B68/7000000</f>
        <v>5.7847771428571435E-2</v>
      </c>
      <c r="D68" s="6">
        <f>VALUE(MID(W68,$X68+2,L68-(X68+2)))</f>
        <v>-323</v>
      </c>
      <c r="E68" s="6">
        <f>VALUE(MID($W68,L68+1,M68-(L68+1)))</f>
        <v>-774</v>
      </c>
      <c r="F68" s="6">
        <f>VALUE(MID($W68,M68+1,N68-(M68+1)))</f>
        <v>4407</v>
      </c>
      <c r="G68" s="6">
        <f>VALUE(MID($W68,N68+1,O68-(N68+1)))</f>
        <v>324</v>
      </c>
      <c r="H68" s="6">
        <f>VALUE(MID($W68,O68+1,P68-(O68+1)))</f>
        <v>1321</v>
      </c>
      <c r="I68" s="6">
        <f>VALUE(MID($W68,P68+1,Q68-(P68+1)))</f>
        <v>3166</v>
      </c>
      <c r="J68" s="6">
        <f>VALUE(MID($W68,Q68+1,R68-(Q68+1)))</f>
        <v>4747</v>
      </c>
      <c r="K68" s="4">
        <f>VALUE(MID(W68,R68+1,LEN(W68)-(R68)))</f>
        <v>4498</v>
      </c>
      <c r="L68" s="4">
        <f>SEARCH(",",W68,X68)</f>
        <v>16</v>
      </c>
      <c r="M68" s="4">
        <f>SEARCH(",",$W68,L68+1)</f>
        <v>22</v>
      </c>
      <c r="N68" s="4">
        <f>SEARCH(",",$W68,M68+1)</f>
        <v>28</v>
      </c>
      <c r="O68" s="4">
        <f>SEARCH(",",$W68,N68+1)</f>
        <v>33</v>
      </c>
      <c r="P68" s="4">
        <f>SEARCH(",",$W68,O68+1)</f>
        <v>39</v>
      </c>
      <c r="Q68" s="4">
        <f>SEARCH(",",$W68,P68+1)</f>
        <v>45</v>
      </c>
      <c r="R68" s="4">
        <f>SEARCH(",",$W68,Q68+1)</f>
        <v>51</v>
      </c>
      <c r="T68" t="s">
        <v>819</v>
      </c>
      <c r="U68">
        <f>SEARCH(":",T68)</f>
        <v>6</v>
      </c>
      <c r="V68" t="str">
        <f>MID(T68,U68+1,LEN(T68)-(U68))</f>
        <v xml:space="preserve"> 1012381 ** -323, -774, 4407, 324, 1321, 3166, 4747, 4498</v>
      </c>
      <c r="W68" t="str">
        <f>TRIM(V68)</f>
        <v>1012381 ** -323, -774, 4407, 324, 1321, 3166, 4747, 4498</v>
      </c>
      <c r="X68">
        <f>SEARCH("~*",W68)</f>
        <v>9</v>
      </c>
      <c r="Y68" t="str">
        <f>LEFT(W68,X68-1)</f>
        <v xml:space="preserve">1012381 </v>
      </c>
      <c r="AA68" t="str">
        <f>CONCATENATE(A68,",",D68,",",E68,",",F68,",",G68,",",H68,",",I68,",",J68,",",K68)</f>
        <v>1012381,-323,-774,4407,324,1321,3166,4747,4498</v>
      </c>
    </row>
    <row r="69" spans="1:27">
      <c r="A69" s="1">
        <f>IF(ISBLANK(T69),"",VALUE(Y69))</f>
        <v>1009676</v>
      </c>
      <c r="B69" s="1">
        <f>A69*4/10 -18</f>
        <v>403852.4</v>
      </c>
      <c r="C69" s="3">
        <f>B69/7000000</f>
        <v>5.76932E-2</v>
      </c>
      <c r="D69" s="6">
        <f>VALUE(MID(W69,$X69+2,L69-(X69+2)))</f>
        <v>-318</v>
      </c>
      <c r="E69" s="6">
        <f>VALUE(MID($W69,L69+1,M69-(L69+1)))</f>
        <v>-777</v>
      </c>
      <c r="F69" s="6">
        <f>VALUE(MID($W69,M69+1,N69-(M69+1)))</f>
        <v>4405</v>
      </c>
      <c r="G69" s="6">
        <f>VALUE(MID($W69,N69+1,O69-(N69+1)))</f>
        <v>320</v>
      </c>
      <c r="H69" s="6">
        <f>VALUE(MID($W69,O69+1,P69-(O69+1)))</f>
        <v>1312</v>
      </c>
      <c r="I69" s="6">
        <f>VALUE(MID($W69,P69+1,Q69-(P69+1)))</f>
        <v>3168</v>
      </c>
      <c r="J69" s="6">
        <f>VALUE(MID($W69,Q69+1,R69-(Q69+1)))</f>
        <v>4743</v>
      </c>
      <c r="K69" s="4">
        <f>VALUE(MID(W69,R69+1,LEN(W69)-(R69)))</f>
        <v>4496</v>
      </c>
      <c r="L69" s="4">
        <f>SEARCH(",",W69,X69)</f>
        <v>16</v>
      </c>
      <c r="M69" s="4">
        <f>SEARCH(",",$W69,L69+1)</f>
        <v>22</v>
      </c>
      <c r="N69" s="4">
        <f>SEARCH(",",$W69,M69+1)</f>
        <v>28</v>
      </c>
      <c r="O69" s="4">
        <f>SEARCH(",",$W69,N69+1)</f>
        <v>33</v>
      </c>
      <c r="P69" s="4">
        <f>SEARCH(",",$W69,O69+1)</f>
        <v>39</v>
      </c>
      <c r="Q69" s="4">
        <f>SEARCH(",",$W69,P69+1)</f>
        <v>45</v>
      </c>
      <c r="R69" s="4">
        <f>SEARCH(",",$W69,Q69+1)</f>
        <v>51</v>
      </c>
      <c r="T69" t="s">
        <v>603</v>
      </c>
      <c r="U69">
        <f>SEARCH(":",T69)</f>
        <v>6</v>
      </c>
      <c r="V69" t="str">
        <f>MID(T69,U69+1,LEN(T69)-(U69))</f>
        <v xml:space="preserve"> 1009676 ** -318, -777, 4405, 320, 1312, 3168, 4743, 4496</v>
      </c>
      <c r="W69" t="str">
        <f>TRIM(V69)</f>
        <v>1009676 ** -318, -777, 4405, 320, 1312, 3168, 4743, 4496</v>
      </c>
      <c r="X69">
        <f>SEARCH("~*",W69)</f>
        <v>9</v>
      </c>
      <c r="Y69" t="str">
        <f>LEFT(W69,X69-1)</f>
        <v xml:space="preserve">1009676 </v>
      </c>
      <c r="AA69" t="str">
        <f>CONCATENATE(A69,",",D69,",",E69,",",F69,",",G69,",",H69,",",I69,",",J69,",",K69)</f>
        <v>1009676,-318,-777,4405,320,1312,3168,4743,4496</v>
      </c>
    </row>
    <row r="70" spans="1:27">
      <c r="A70" s="1">
        <f>IF(ISBLANK(T70),"",VALUE(Y70))</f>
        <v>1007602</v>
      </c>
      <c r="B70" s="1">
        <f>A70*4/10 -18</f>
        <v>403022.8</v>
      </c>
      <c r="C70" s="3">
        <f>B70/7000000</f>
        <v>5.7574685714285714E-2</v>
      </c>
      <c r="D70" s="6">
        <f>VALUE(MID(W70,$X70+2,L70-(X70+2)))</f>
        <v>-320</v>
      </c>
      <c r="E70" s="6">
        <f>VALUE(MID($W70,L70+1,M70-(L70+1)))</f>
        <v>-779</v>
      </c>
      <c r="F70" s="6">
        <f>VALUE(MID($W70,M70+1,N70-(M70+1)))</f>
        <v>4403</v>
      </c>
      <c r="G70" s="6">
        <f>VALUE(MID($W70,N70+1,O70-(N70+1)))</f>
        <v>325</v>
      </c>
      <c r="H70" s="6">
        <f>VALUE(MID($W70,O70+1,P70-(O70+1)))</f>
        <v>1315</v>
      </c>
      <c r="I70" s="6">
        <f>VALUE(MID($W70,P70+1,Q70-(P70+1)))</f>
        <v>3170</v>
      </c>
      <c r="J70" s="6">
        <f>VALUE(MID($W70,Q70+1,R70-(Q70+1)))</f>
        <v>4744</v>
      </c>
      <c r="K70" s="4">
        <f>VALUE(MID(W70,R70+1,LEN(W70)-(R70)))</f>
        <v>4495</v>
      </c>
      <c r="L70" s="4">
        <f>SEARCH(",",W70,X70)</f>
        <v>16</v>
      </c>
      <c r="M70" s="4">
        <f>SEARCH(",",$W70,L70+1)</f>
        <v>22</v>
      </c>
      <c r="N70" s="4">
        <f>SEARCH(",",$W70,M70+1)</f>
        <v>28</v>
      </c>
      <c r="O70" s="4">
        <f>SEARCH(",",$W70,N70+1)</f>
        <v>33</v>
      </c>
      <c r="P70" s="4">
        <f>SEARCH(",",$W70,O70+1)</f>
        <v>39</v>
      </c>
      <c r="Q70" s="4">
        <f>SEARCH(",",$W70,P70+1)</f>
        <v>45</v>
      </c>
      <c r="R70" s="4">
        <f>SEARCH(",",$W70,Q70+1)</f>
        <v>51</v>
      </c>
      <c r="T70" t="s">
        <v>733</v>
      </c>
      <c r="U70">
        <f>SEARCH(":",T70)</f>
        <v>6</v>
      </c>
      <c r="V70" t="str">
        <f>MID(T70,U70+1,LEN(T70)-(U70))</f>
        <v xml:space="preserve"> 1007602 ** -320, -779, 4403, 325, 1315, 3170, 4744, 4495</v>
      </c>
      <c r="W70" t="str">
        <f>TRIM(V70)</f>
        <v>1007602 ** -320, -779, 4403, 325, 1315, 3170, 4744, 4495</v>
      </c>
      <c r="X70">
        <f>SEARCH("~*",W70)</f>
        <v>9</v>
      </c>
      <c r="Y70" t="str">
        <f>LEFT(W70,X70-1)</f>
        <v xml:space="preserve">1007602 </v>
      </c>
      <c r="AA70" t="str">
        <f>CONCATENATE(A70,",",D70,",",E70,",",F70,",",G70,",",H70,",",I70,",",J70,",",K70)</f>
        <v>1007602,-320,-779,4403,325,1315,3170,4744,4495</v>
      </c>
    </row>
    <row r="71" spans="1:27">
      <c r="A71" s="1">
        <f>IF(ISBLANK(T71),"",VALUE(Y71))</f>
        <v>987721</v>
      </c>
      <c r="B71" s="1">
        <f>A71*4/10 -18</f>
        <v>395070.4</v>
      </c>
      <c r="C71" s="3">
        <f>B71/7000000</f>
        <v>5.6438628571428576E-2</v>
      </c>
      <c r="D71" s="6">
        <f>VALUE(MID(W71,$X71+2,L71-(X71+2)))</f>
        <v>-316</v>
      </c>
      <c r="E71" s="6">
        <f>VALUE(MID($W71,L71+1,M71-(L71+1)))</f>
        <v>-774</v>
      </c>
      <c r="F71" s="6">
        <f>VALUE(MID($W71,M71+1,N71-(M71+1)))</f>
        <v>4404</v>
      </c>
      <c r="G71" s="6">
        <f>VALUE(MID($W71,N71+1,O71-(N71+1)))</f>
        <v>327</v>
      </c>
      <c r="H71" s="6">
        <f>VALUE(MID($W71,O71+1,P71-(O71+1)))</f>
        <v>1316</v>
      </c>
      <c r="I71" s="6">
        <f>VALUE(MID($W71,P71+1,Q71-(P71+1)))</f>
        <v>3170</v>
      </c>
      <c r="J71" s="6">
        <f>VALUE(MID($W71,Q71+1,R71-(Q71+1)))</f>
        <v>4739</v>
      </c>
      <c r="K71" s="4">
        <f>VALUE(MID(W71,R71+1,LEN(W71)-(R71)))</f>
        <v>4497</v>
      </c>
      <c r="L71" s="4">
        <f>SEARCH(",",W71,X71)</f>
        <v>15</v>
      </c>
      <c r="M71" s="4">
        <f>SEARCH(",",$W71,L71+1)</f>
        <v>21</v>
      </c>
      <c r="N71" s="4">
        <f>SEARCH(",",$W71,M71+1)</f>
        <v>27</v>
      </c>
      <c r="O71" s="4">
        <f>SEARCH(",",$W71,N71+1)</f>
        <v>32</v>
      </c>
      <c r="P71" s="4">
        <f>SEARCH(",",$W71,O71+1)</f>
        <v>38</v>
      </c>
      <c r="Q71" s="4">
        <f>SEARCH(",",$W71,P71+1)</f>
        <v>44</v>
      </c>
      <c r="R71" s="4">
        <f>SEARCH(",",$W71,Q71+1)</f>
        <v>50</v>
      </c>
      <c r="T71" t="s">
        <v>785</v>
      </c>
      <c r="U71">
        <f>SEARCH(":",T71)</f>
        <v>6</v>
      </c>
      <c r="V71" t="str">
        <f>MID(T71,U71+1,LEN(T71)-(U71))</f>
        <v xml:space="preserve"> 987721 ** -316, -774, 4404, 327, 1316, 3170, 4739, 4497</v>
      </c>
      <c r="W71" t="str">
        <f>TRIM(V71)</f>
        <v>987721 ** -316, -774, 4404, 327, 1316, 3170, 4739, 4497</v>
      </c>
      <c r="X71">
        <f>SEARCH("~*",W71)</f>
        <v>8</v>
      </c>
      <c r="Y71" t="str">
        <f>LEFT(W71,X71-1)</f>
        <v xml:space="preserve">987721 </v>
      </c>
      <c r="AA71" t="str">
        <f>CONCATENATE(A71,",",D71,",",E71,",",F71,",",G71,",",H71,",",I71,",",J71,",",K71)</f>
        <v>987721,-316,-774,4404,327,1316,3170,4739,4497</v>
      </c>
    </row>
    <row r="72" spans="1:27">
      <c r="A72" s="1">
        <f>IF(ISBLANK(T72),"",VALUE(Y72))</f>
        <v>976755</v>
      </c>
      <c r="B72" s="1">
        <f>A72*4/10 -18</f>
        <v>390684</v>
      </c>
      <c r="C72" s="3">
        <f>B72/7000000</f>
        <v>5.5812E-2</v>
      </c>
      <c r="D72" s="6">
        <f>VALUE(MID(W72,$X72+2,L72-(X72+2)))</f>
        <v>-323</v>
      </c>
      <c r="E72" s="6">
        <f>VALUE(MID($W72,L72+1,M72-(L72+1)))</f>
        <v>-778</v>
      </c>
      <c r="F72" s="6">
        <f>VALUE(MID($W72,M72+1,N72-(M72+1)))</f>
        <v>4407</v>
      </c>
      <c r="G72" s="6">
        <f>VALUE(MID($W72,N72+1,O72-(N72+1)))</f>
        <v>327</v>
      </c>
      <c r="H72" s="6">
        <f>VALUE(MID($W72,O72+1,P72-(O72+1)))</f>
        <v>1316</v>
      </c>
      <c r="I72" s="6">
        <f>VALUE(MID($W72,P72+1,Q72-(P72+1)))</f>
        <v>3170</v>
      </c>
      <c r="J72" s="6">
        <f>VALUE(MID($W72,Q72+1,R72-(Q72+1)))</f>
        <v>4742</v>
      </c>
      <c r="K72" s="4">
        <f>VALUE(MID(W72,R72+1,LEN(W72)-(R72)))</f>
        <v>4496</v>
      </c>
      <c r="L72" s="4">
        <f>SEARCH(",",W72,X72)</f>
        <v>15</v>
      </c>
      <c r="M72" s="4">
        <f>SEARCH(",",$W72,L72+1)</f>
        <v>21</v>
      </c>
      <c r="N72" s="4">
        <f>SEARCH(",",$W72,M72+1)</f>
        <v>27</v>
      </c>
      <c r="O72" s="4">
        <f>SEARCH(",",$W72,N72+1)</f>
        <v>32</v>
      </c>
      <c r="P72" s="4">
        <f>SEARCH(",",$W72,O72+1)</f>
        <v>38</v>
      </c>
      <c r="Q72" s="4">
        <f>SEARCH(",",$W72,P72+1)</f>
        <v>44</v>
      </c>
      <c r="R72" s="4">
        <f>SEARCH(",",$W72,Q72+1)</f>
        <v>50</v>
      </c>
      <c r="T72" t="s">
        <v>701</v>
      </c>
      <c r="U72">
        <f>SEARCH(":",T72)</f>
        <v>6</v>
      </c>
      <c r="V72" t="str">
        <f>MID(T72,U72+1,LEN(T72)-(U72))</f>
        <v xml:space="preserve"> 976755 ** -323, -778, 4407, 327, 1316, 3170, 4742, 4496</v>
      </c>
      <c r="W72" t="str">
        <f>TRIM(V72)</f>
        <v>976755 ** -323, -778, 4407, 327, 1316, 3170, 4742, 4496</v>
      </c>
      <c r="X72">
        <f>SEARCH("~*",W72)</f>
        <v>8</v>
      </c>
      <c r="Y72" t="str">
        <f>LEFT(W72,X72-1)</f>
        <v xml:space="preserve">976755 </v>
      </c>
      <c r="AA72" t="str">
        <f>CONCATENATE(A72,",",D72,",",E72,",",F72,",",G72,",",H72,",",I72,",",J72,",",K72)</f>
        <v>976755,-323,-778,4407,327,1316,3170,4742,4496</v>
      </c>
    </row>
    <row r="73" spans="1:27">
      <c r="A73" s="1">
        <f>IF(ISBLANK(T73),"",VALUE(Y73))</f>
        <v>963189</v>
      </c>
      <c r="B73" s="1">
        <f>A73*4/10 -18</f>
        <v>385257.6</v>
      </c>
      <c r="C73" s="3">
        <f>B73/7000000</f>
        <v>5.5036799999999997E-2</v>
      </c>
      <c r="D73" s="6">
        <f>VALUE(MID(W73,$X73+2,L73-(X73+2)))</f>
        <v>-324</v>
      </c>
      <c r="E73" s="6">
        <f>VALUE(MID($W73,L73+1,M73-(L73+1)))</f>
        <v>-779</v>
      </c>
      <c r="F73" s="6">
        <f>VALUE(MID($W73,M73+1,N73-(M73+1)))</f>
        <v>4407</v>
      </c>
      <c r="G73" s="6">
        <f>VALUE(MID($W73,N73+1,O73-(N73+1)))</f>
        <v>329</v>
      </c>
      <c r="H73" s="6">
        <f>VALUE(MID($W73,O73+1,P73-(O73+1)))</f>
        <v>1318</v>
      </c>
      <c r="I73" s="6">
        <f>VALUE(MID($W73,P73+1,Q73-(P73+1)))</f>
        <v>3172</v>
      </c>
      <c r="J73" s="6">
        <f>VALUE(MID($W73,Q73+1,R73-(Q73+1)))</f>
        <v>4743</v>
      </c>
      <c r="K73" s="4">
        <f>VALUE(MID(W73,R73+1,LEN(W73)-(R73)))</f>
        <v>4492</v>
      </c>
      <c r="L73" s="4">
        <f>SEARCH(",",W73,X73)</f>
        <v>15</v>
      </c>
      <c r="M73" s="4">
        <f>SEARCH(",",$W73,L73+1)</f>
        <v>21</v>
      </c>
      <c r="N73" s="4">
        <f>SEARCH(",",$W73,M73+1)</f>
        <v>27</v>
      </c>
      <c r="O73" s="4">
        <f>SEARCH(",",$W73,N73+1)</f>
        <v>32</v>
      </c>
      <c r="P73" s="4">
        <f>SEARCH(",",$W73,O73+1)</f>
        <v>38</v>
      </c>
      <c r="Q73" s="4">
        <f>SEARCH(",",$W73,P73+1)</f>
        <v>44</v>
      </c>
      <c r="R73" s="4">
        <f>SEARCH(",",$W73,Q73+1)</f>
        <v>50</v>
      </c>
      <c r="T73" t="s">
        <v>683</v>
      </c>
      <c r="U73">
        <f>SEARCH(":",T73)</f>
        <v>6</v>
      </c>
      <c r="V73" t="str">
        <f>MID(T73,U73+1,LEN(T73)-(U73))</f>
        <v xml:space="preserve"> 963189 ** -324, -779, 4407, 329, 1318, 3172, 4743, 4492</v>
      </c>
      <c r="W73" t="str">
        <f>TRIM(V73)</f>
        <v>963189 ** -324, -779, 4407, 329, 1318, 3172, 4743, 4492</v>
      </c>
      <c r="X73">
        <f>SEARCH("~*",W73)</f>
        <v>8</v>
      </c>
      <c r="Y73" t="str">
        <f>LEFT(W73,X73-1)</f>
        <v xml:space="preserve">963189 </v>
      </c>
      <c r="AA73" t="str">
        <f>CONCATENATE(A73,",",D73,",",E73,",",F73,",",G73,",",H73,",",I73,",",J73,",",K73)</f>
        <v>963189,-324,-779,4407,329,1318,3172,4743,4492</v>
      </c>
    </row>
    <row r="74" spans="1:27">
      <c r="A74" s="1">
        <f>IF(ISBLANK(T74),"",VALUE(Y74))</f>
        <v>940635</v>
      </c>
      <c r="B74" s="1">
        <f>A74*4/10 -18</f>
        <v>376236</v>
      </c>
      <c r="C74" s="3">
        <f>B74/7000000</f>
        <v>5.3747999999999997E-2</v>
      </c>
      <c r="D74" s="6">
        <f>VALUE(MID(W74,$X74+2,L74-(X74+2)))</f>
        <v>-315</v>
      </c>
      <c r="E74" s="6">
        <f>VALUE(MID($W74,L74+1,M74-(L74+1)))</f>
        <v>-774</v>
      </c>
      <c r="F74" s="6">
        <f>VALUE(MID($W74,M74+1,N74-(M74+1)))</f>
        <v>4403</v>
      </c>
      <c r="G74" s="6">
        <f>VALUE(MID($W74,N74+1,O74-(N74+1)))</f>
        <v>328</v>
      </c>
      <c r="H74" s="6">
        <f>VALUE(MID($W74,O74+1,P74-(O74+1)))</f>
        <v>1319</v>
      </c>
      <c r="I74" s="6">
        <f>VALUE(MID($W74,P74+1,Q74-(P74+1)))</f>
        <v>3170</v>
      </c>
      <c r="J74" s="6">
        <f>VALUE(MID($W74,Q74+1,R74-(Q74+1)))</f>
        <v>4746</v>
      </c>
      <c r="K74" s="4">
        <f>VALUE(MID(W74,R74+1,LEN(W74)-(R74)))</f>
        <v>4494</v>
      </c>
      <c r="L74" s="4">
        <f>SEARCH(",",W74,X74)</f>
        <v>15</v>
      </c>
      <c r="M74" s="4">
        <f>SEARCH(",",$W74,L74+1)</f>
        <v>21</v>
      </c>
      <c r="N74" s="4">
        <f>SEARCH(",",$W74,M74+1)</f>
        <v>27</v>
      </c>
      <c r="O74" s="4">
        <f>SEARCH(",",$W74,N74+1)</f>
        <v>32</v>
      </c>
      <c r="P74" s="4">
        <f>SEARCH(",",$W74,O74+1)</f>
        <v>38</v>
      </c>
      <c r="Q74" s="4">
        <f>SEARCH(",",$W74,P74+1)</f>
        <v>44</v>
      </c>
      <c r="R74" s="4">
        <f>SEARCH(",",$W74,Q74+1)</f>
        <v>50</v>
      </c>
      <c r="T74" t="s">
        <v>707</v>
      </c>
      <c r="U74">
        <f>SEARCH(":",T74)</f>
        <v>6</v>
      </c>
      <c r="V74" t="str">
        <f>MID(T74,U74+1,LEN(T74)-(U74))</f>
        <v xml:space="preserve"> 940635 ** -315, -774, 4403, 328, 1319, 3170, 4746, 4494</v>
      </c>
      <c r="W74" t="str">
        <f>TRIM(V74)</f>
        <v>940635 ** -315, -774, 4403, 328, 1319, 3170, 4746, 4494</v>
      </c>
      <c r="X74">
        <f>SEARCH("~*",W74)</f>
        <v>8</v>
      </c>
      <c r="Y74" t="str">
        <f>LEFT(W74,X74-1)</f>
        <v xml:space="preserve">940635 </v>
      </c>
      <c r="AA74" t="str">
        <f>CONCATENATE(A74,",",D74,",",E74,",",F74,",",G74,",",H74,",",I74,",",J74,",",K74)</f>
        <v>940635,-315,-774,4403,328,1319,3170,4746,4494</v>
      </c>
    </row>
    <row r="75" spans="1:27">
      <c r="A75" s="1">
        <f>IF(ISBLANK(T75),"",VALUE(Y75))</f>
        <v>940438</v>
      </c>
      <c r="B75" s="1">
        <f>A75*4/10 -18</f>
        <v>376157.2</v>
      </c>
      <c r="C75" s="3">
        <f>B75/7000000</f>
        <v>5.3736742857142861E-2</v>
      </c>
      <c r="D75" s="6">
        <f>VALUE(MID(W75,$X75+2,L75-(X75+2)))</f>
        <v>-321</v>
      </c>
      <c r="E75" s="6">
        <f>VALUE(MID($W75,L75+1,M75-(L75+1)))</f>
        <v>-782</v>
      </c>
      <c r="F75" s="6">
        <f>VALUE(MID($W75,M75+1,N75-(M75+1)))</f>
        <v>4401</v>
      </c>
      <c r="G75" s="6">
        <f>VALUE(MID($W75,N75+1,O75-(N75+1)))</f>
        <v>320</v>
      </c>
      <c r="H75" s="6">
        <f>VALUE(MID($W75,O75+1,P75-(O75+1)))</f>
        <v>1314</v>
      </c>
      <c r="I75" s="6">
        <f>VALUE(MID($W75,P75+1,Q75-(P75+1)))</f>
        <v>3170</v>
      </c>
      <c r="J75" s="6">
        <f>VALUE(MID($W75,Q75+1,R75-(Q75+1)))</f>
        <v>4741</v>
      </c>
      <c r="K75" s="4">
        <f>VALUE(MID(W75,R75+1,LEN(W75)-(R75)))</f>
        <v>4495</v>
      </c>
      <c r="L75" s="4">
        <f>SEARCH(",",W75,X75)</f>
        <v>15</v>
      </c>
      <c r="M75" s="4">
        <f>SEARCH(",",$W75,L75+1)</f>
        <v>21</v>
      </c>
      <c r="N75" s="4">
        <f>SEARCH(",",$W75,M75+1)</f>
        <v>27</v>
      </c>
      <c r="O75" s="4">
        <f>SEARCH(",",$W75,N75+1)</f>
        <v>32</v>
      </c>
      <c r="P75" s="4">
        <f>SEARCH(",",$W75,O75+1)</f>
        <v>38</v>
      </c>
      <c r="Q75" s="4">
        <f>SEARCH(",",$W75,P75+1)</f>
        <v>44</v>
      </c>
      <c r="R75" s="4">
        <f>SEARCH(",",$W75,Q75+1)</f>
        <v>50</v>
      </c>
      <c r="T75" t="s">
        <v>668</v>
      </c>
      <c r="U75">
        <f>SEARCH(":",T75)</f>
        <v>6</v>
      </c>
      <c r="V75" t="str">
        <f>MID(T75,U75+1,LEN(T75)-(U75))</f>
        <v xml:space="preserve"> 940438 ** -321, -782, 4401, 320, 1314, 3170, 4741, 4495</v>
      </c>
      <c r="W75" t="str">
        <f>TRIM(V75)</f>
        <v>940438 ** -321, -782, 4401, 320, 1314, 3170, 4741, 4495</v>
      </c>
      <c r="X75">
        <f>SEARCH("~*",W75)</f>
        <v>8</v>
      </c>
      <c r="Y75" t="str">
        <f>LEFT(W75,X75-1)</f>
        <v xml:space="preserve">940438 </v>
      </c>
      <c r="AA75" t="str">
        <f>CONCATENATE(A75,",",D75,",",E75,",",F75,",",G75,",",H75,",",I75,",",J75,",",K75)</f>
        <v>940438,-321,-782,4401,320,1314,3170,4741,4495</v>
      </c>
    </row>
    <row r="76" spans="1:27">
      <c r="A76" s="1">
        <f>IF(ISBLANK(T76),"",VALUE(Y76))</f>
        <v>940265</v>
      </c>
      <c r="B76" s="1">
        <f>A76*4/10 -18</f>
        <v>376088</v>
      </c>
      <c r="C76" s="3">
        <f>B76/7000000</f>
        <v>5.3726857142857146E-2</v>
      </c>
      <c r="D76" s="6">
        <f>VALUE(MID(W76,$X76+2,L76-(X76+2)))</f>
        <v>-319</v>
      </c>
      <c r="E76" s="6">
        <f>VALUE(MID($W76,L76+1,M76-(L76+1)))</f>
        <v>-779</v>
      </c>
      <c r="F76" s="6">
        <f>VALUE(MID($W76,M76+1,N76-(M76+1)))</f>
        <v>4401</v>
      </c>
      <c r="G76" s="6">
        <f>VALUE(MID($W76,N76+1,O76-(N76+1)))</f>
        <v>328</v>
      </c>
      <c r="H76" s="6">
        <f>VALUE(MID($W76,O76+1,P76-(O76+1)))</f>
        <v>1317</v>
      </c>
      <c r="I76" s="6">
        <f>VALUE(MID($W76,P76+1,Q76-(P76+1)))</f>
        <v>3169</v>
      </c>
      <c r="J76" s="6">
        <f>VALUE(MID($W76,Q76+1,R76-(Q76+1)))</f>
        <v>4748</v>
      </c>
      <c r="K76" s="4">
        <f>VALUE(MID(W76,R76+1,LEN(W76)-(R76)))</f>
        <v>4495</v>
      </c>
      <c r="L76" s="4">
        <f>SEARCH(",",W76,X76)</f>
        <v>15</v>
      </c>
      <c r="M76" s="4">
        <f>SEARCH(",",$W76,L76+1)</f>
        <v>21</v>
      </c>
      <c r="N76" s="4">
        <f>SEARCH(",",$W76,M76+1)</f>
        <v>27</v>
      </c>
      <c r="O76" s="4">
        <f>SEARCH(",",$W76,N76+1)</f>
        <v>32</v>
      </c>
      <c r="P76" s="4">
        <f>SEARCH(",",$W76,O76+1)</f>
        <v>38</v>
      </c>
      <c r="Q76" s="4">
        <f>SEARCH(",",$W76,P76+1)</f>
        <v>44</v>
      </c>
      <c r="R76" s="4">
        <f>SEARCH(",",$W76,Q76+1)</f>
        <v>50</v>
      </c>
      <c r="T76" t="s">
        <v>839</v>
      </c>
      <c r="U76">
        <f>SEARCH(":",T76)</f>
        <v>6</v>
      </c>
      <c r="V76" t="str">
        <f>MID(T76,U76+1,LEN(T76)-(U76))</f>
        <v xml:space="preserve"> 940265 ** -319, -779, 4401, 328, 1317, 3169, 4748, 4495</v>
      </c>
      <c r="W76" t="str">
        <f>TRIM(V76)</f>
        <v>940265 ** -319, -779, 4401, 328, 1317, 3169, 4748, 4495</v>
      </c>
      <c r="X76">
        <f>SEARCH("~*",W76)</f>
        <v>8</v>
      </c>
      <c r="Y76" t="str">
        <f>LEFT(W76,X76-1)</f>
        <v xml:space="preserve">940265 </v>
      </c>
      <c r="AA76" t="str">
        <f>CONCATENATE(A76,",",D76,",",E76,",",F76,",",G76,",",H76,",",I76,",",J76,",",K76)</f>
        <v>940265,-319,-779,4401,328,1317,3169,4748,4495</v>
      </c>
    </row>
    <row r="77" spans="1:27">
      <c r="A77" s="1">
        <f>IF(ISBLANK(T77),"",VALUE(Y77))</f>
        <v>939994</v>
      </c>
      <c r="B77" s="1">
        <f>A77*4/10 -18</f>
        <v>375979.6</v>
      </c>
      <c r="C77" s="3">
        <f>B77/7000000</f>
        <v>5.3711371428571422E-2</v>
      </c>
      <c r="D77" s="6">
        <f>VALUE(MID(W77,$X77+2,L77-(X77+2)))</f>
        <v>-316</v>
      </c>
      <c r="E77" s="6">
        <f>VALUE(MID($W77,L77+1,M77-(L77+1)))</f>
        <v>-779</v>
      </c>
      <c r="F77" s="6">
        <f>VALUE(MID($W77,M77+1,N77-(M77+1)))</f>
        <v>4403</v>
      </c>
      <c r="G77" s="6">
        <f>VALUE(MID($W77,N77+1,O77-(N77+1)))</f>
        <v>327</v>
      </c>
      <c r="H77" s="6">
        <f>VALUE(MID($W77,O77+1,P77-(O77+1)))</f>
        <v>1321</v>
      </c>
      <c r="I77" s="6">
        <f>VALUE(MID($W77,P77+1,Q77-(P77+1)))</f>
        <v>3173</v>
      </c>
      <c r="J77" s="6">
        <f>VALUE(MID($W77,Q77+1,R77-(Q77+1)))</f>
        <v>4744</v>
      </c>
      <c r="K77" s="4">
        <f>VALUE(MID(W77,R77+1,LEN(W77)-(R77)))</f>
        <v>4497</v>
      </c>
      <c r="L77" s="4">
        <f>SEARCH(",",W77,X77)</f>
        <v>15</v>
      </c>
      <c r="M77" s="4">
        <f>SEARCH(",",$W77,L77+1)</f>
        <v>21</v>
      </c>
      <c r="N77" s="4">
        <f>SEARCH(",",$W77,M77+1)</f>
        <v>27</v>
      </c>
      <c r="O77" s="4">
        <f>SEARCH(",",$W77,N77+1)</f>
        <v>32</v>
      </c>
      <c r="P77" s="4">
        <f>SEARCH(",",$W77,O77+1)</f>
        <v>38</v>
      </c>
      <c r="Q77" s="4">
        <f>SEARCH(",",$W77,P77+1)</f>
        <v>44</v>
      </c>
      <c r="R77" s="4">
        <f>SEARCH(",",$W77,Q77+1)</f>
        <v>50</v>
      </c>
      <c r="T77" t="s">
        <v>811</v>
      </c>
      <c r="U77">
        <f>SEARCH(":",T77)</f>
        <v>6</v>
      </c>
      <c r="V77" t="str">
        <f>MID(T77,U77+1,LEN(T77)-(U77))</f>
        <v xml:space="preserve"> 939994 ** -316, -779, 4403, 327, 1321, 3173, 4744, 4497</v>
      </c>
      <c r="W77" t="str">
        <f>TRIM(V77)</f>
        <v>939994 ** -316, -779, 4403, 327, 1321, 3173, 4744, 4497</v>
      </c>
      <c r="X77">
        <f>SEARCH("~*",W77)</f>
        <v>8</v>
      </c>
      <c r="Y77" t="str">
        <f>LEFT(W77,X77-1)</f>
        <v xml:space="preserve">939994 </v>
      </c>
      <c r="AA77" t="str">
        <f>CONCATENATE(A77,",",D77,",",E77,",",F77,",",G77,",",H77,",",I77,",",J77,",",K77)</f>
        <v>939994,-316,-779,4403,327,1321,3173,4744,4497</v>
      </c>
    </row>
    <row r="78" spans="1:27">
      <c r="A78" s="1">
        <f>IF(ISBLANK(T78),"",VALUE(Y78))</f>
        <v>934199</v>
      </c>
      <c r="B78" s="1">
        <f>A78*4/10 -18</f>
        <v>373661.6</v>
      </c>
      <c r="C78" s="3">
        <f>B78/7000000</f>
        <v>5.3380228571428566E-2</v>
      </c>
      <c r="D78" s="6">
        <f>VALUE(MID(W78,$X78+2,L78-(X78+2)))</f>
        <v>-324</v>
      </c>
      <c r="E78" s="6">
        <f>VALUE(MID($W78,L78+1,M78-(L78+1)))</f>
        <v>-780</v>
      </c>
      <c r="F78" s="6">
        <f>VALUE(MID($W78,M78+1,N78-(M78+1)))</f>
        <v>4403</v>
      </c>
      <c r="G78" s="6">
        <f>VALUE(MID($W78,N78+1,O78-(N78+1)))</f>
        <v>322</v>
      </c>
      <c r="H78" s="6">
        <f>VALUE(MID($W78,O78+1,P78-(O78+1)))</f>
        <v>1316</v>
      </c>
      <c r="I78" s="6">
        <f>VALUE(MID($W78,P78+1,Q78-(P78+1)))</f>
        <v>3167</v>
      </c>
      <c r="J78" s="6">
        <f>VALUE(MID($W78,Q78+1,R78-(Q78+1)))</f>
        <v>4743</v>
      </c>
      <c r="K78" s="4">
        <f>VALUE(MID(W78,R78+1,LEN(W78)-(R78)))</f>
        <v>4491</v>
      </c>
      <c r="L78" s="4">
        <f>SEARCH(",",W78,X78)</f>
        <v>15</v>
      </c>
      <c r="M78" s="4">
        <f>SEARCH(",",$W78,L78+1)</f>
        <v>21</v>
      </c>
      <c r="N78" s="4">
        <f>SEARCH(",",$W78,M78+1)</f>
        <v>27</v>
      </c>
      <c r="O78" s="4">
        <f>SEARCH(",",$W78,N78+1)</f>
        <v>32</v>
      </c>
      <c r="P78" s="4">
        <f>SEARCH(",",$W78,O78+1)</f>
        <v>38</v>
      </c>
      <c r="Q78" s="4">
        <f>SEARCH(",",$W78,P78+1)</f>
        <v>44</v>
      </c>
      <c r="R78" s="4">
        <f>SEARCH(",",$W78,Q78+1)</f>
        <v>50</v>
      </c>
      <c r="T78" t="s">
        <v>784</v>
      </c>
      <c r="U78">
        <f>SEARCH(":",T78)</f>
        <v>6</v>
      </c>
      <c r="V78" t="str">
        <f>MID(T78,U78+1,LEN(T78)-(U78))</f>
        <v xml:space="preserve"> 934199 ** -324, -780, 4403, 322, 1316, 3167, 4743, 4491</v>
      </c>
      <c r="W78" t="str">
        <f>TRIM(V78)</f>
        <v>934199 ** -324, -780, 4403, 322, 1316, 3167, 4743, 4491</v>
      </c>
      <c r="X78">
        <f>SEARCH("~*",W78)</f>
        <v>8</v>
      </c>
      <c r="Y78" t="str">
        <f>LEFT(W78,X78-1)</f>
        <v xml:space="preserve">934199 </v>
      </c>
      <c r="AA78" t="str">
        <f>CONCATENATE(A78,",",D78,",",E78,",",F78,",",G78,",",H78,",",I78,",",J78,",",K78)</f>
        <v>934199,-324,-780,4403,322,1316,3167,4743,4491</v>
      </c>
    </row>
    <row r="79" spans="1:27">
      <c r="A79" s="1">
        <f>IF(ISBLANK(T79),"",VALUE(Y79))</f>
        <v>925754</v>
      </c>
      <c r="B79" s="1">
        <f>A79*4/10 -18</f>
        <v>370283.6</v>
      </c>
      <c r="C79" s="3">
        <f>B79/7000000</f>
        <v>5.2897657142857137E-2</v>
      </c>
      <c r="D79" s="6">
        <f>VALUE(MID(W79,$X79+2,L79-(X79+2)))</f>
        <v>-321</v>
      </c>
      <c r="E79" s="6">
        <f>VALUE(MID($W79,L79+1,M79-(L79+1)))</f>
        <v>-778</v>
      </c>
      <c r="F79" s="6">
        <f>VALUE(MID($W79,M79+1,N79-(M79+1)))</f>
        <v>4399</v>
      </c>
      <c r="G79" s="6">
        <f>VALUE(MID($W79,N79+1,O79-(N79+1)))</f>
        <v>325</v>
      </c>
      <c r="H79" s="6">
        <f>VALUE(MID($W79,O79+1,P79-(O79+1)))</f>
        <v>1312</v>
      </c>
      <c r="I79" s="6">
        <f>VALUE(MID($W79,P79+1,Q79-(P79+1)))</f>
        <v>3174</v>
      </c>
      <c r="J79" s="6">
        <f>VALUE(MID($W79,Q79+1,R79-(Q79+1)))</f>
        <v>4744</v>
      </c>
      <c r="K79" s="4">
        <f>VALUE(MID(W79,R79+1,LEN(W79)-(R79)))</f>
        <v>4498</v>
      </c>
      <c r="L79" s="4">
        <f>SEARCH(",",W79,X79)</f>
        <v>15</v>
      </c>
      <c r="M79" s="4">
        <f>SEARCH(",",$W79,L79+1)</f>
        <v>21</v>
      </c>
      <c r="N79" s="4">
        <f>SEARCH(",",$W79,M79+1)</f>
        <v>27</v>
      </c>
      <c r="O79" s="4">
        <f>SEARCH(",",$W79,N79+1)</f>
        <v>32</v>
      </c>
      <c r="P79" s="4">
        <f>SEARCH(",",$W79,O79+1)</f>
        <v>38</v>
      </c>
      <c r="Q79" s="4">
        <f>SEARCH(",",$W79,P79+1)</f>
        <v>44</v>
      </c>
      <c r="R79" s="4">
        <f>SEARCH(",",$W79,Q79+1)</f>
        <v>50</v>
      </c>
      <c r="T79" t="s">
        <v>599</v>
      </c>
      <c r="U79">
        <f>SEARCH(":",T79)</f>
        <v>6</v>
      </c>
      <c r="V79" t="str">
        <f>MID(T79,U79+1,LEN(T79)-(U79))</f>
        <v xml:space="preserve"> 925754 ** -321, -778, 4399, 325, 1312, 3174, 4744, 4498</v>
      </c>
      <c r="W79" t="str">
        <f>TRIM(V79)</f>
        <v>925754 ** -321, -778, 4399, 325, 1312, 3174, 4744, 4498</v>
      </c>
      <c r="X79">
        <f>SEARCH("~*",W79)</f>
        <v>8</v>
      </c>
      <c r="Y79" t="str">
        <f>LEFT(W79,X79-1)</f>
        <v xml:space="preserve">925754 </v>
      </c>
      <c r="AA79" t="str">
        <f>CONCATENATE(A79,",",D79,",",E79,",",F79,",",G79,",",H79,",",I79,",",J79,",",K79)</f>
        <v>925754,-321,-778,4399,325,1312,3174,4744,4498</v>
      </c>
    </row>
    <row r="80" spans="1:27">
      <c r="A80" s="1">
        <f>IF(ISBLANK(T80),"",VALUE(Y80))</f>
        <v>917832</v>
      </c>
      <c r="B80" s="1">
        <f>A80*4/10 -18</f>
        <v>367114.8</v>
      </c>
      <c r="C80" s="3">
        <f>B80/7000000</f>
        <v>5.2444971428571428E-2</v>
      </c>
      <c r="D80" s="6">
        <f>VALUE(MID(W80,$X80+2,L80-(X80+2)))</f>
        <v>-317</v>
      </c>
      <c r="E80" s="6">
        <f>VALUE(MID($W80,L80+1,M80-(L80+1)))</f>
        <v>-778</v>
      </c>
      <c r="F80" s="6">
        <f>VALUE(MID($W80,M80+1,N80-(M80+1)))</f>
        <v>4408</v>
      </c>
      <c r="G80" s="6">
        <f>VALUE(MID($W80,N80+1,O80-(N80+1)))</f>
        <v>328</v>
      </c>
      <c r="H80" s="6">
        <f>VALUE(MID($W80,O80+1,P80-(O80+1)))</f>
        <v>1319</v>
      </c>
      <c r="I80" s="6">
        <f>VALUE(MID($W80,P80+1,Q80-(P80+1)))</f>
        <v>3172</v>
      </c>
      <c r="J80" s="6">
        <f>VALUE(MID($W80,Q80+1,R80-(Q80+1)))</f>
        <v>4748</v>
      </c>
      <c r="K80" s="4">
        <f>VALUE(MID(W80,R80+1,LEN(W80)-(R80)))</f>
        <v>4499</v>
      </c>
      <c r="L80" s="4">
        <f>SEARCH(",",W80,X80)</f>
        <v>15</v>
      </c>
      <c r="M80" s="4">
        <f>SEARCH(",",$W80,L80+1)</f>
        <v>21</v>
      </c>
      <c r="N80" s="4">
        <f>SEARCH(",",$W80,M80+1)</f>
        <v>27</v>
      </c>
      <c r="O80" s="4">
        <f>SEARCH(",",$W80,N80+1)</f>
        <v>32</v>
      </c>
      <c r="P80" s="4">
        <f>SEARCH(",",$W80,O80+1)</f>
        <v>38</v>
      </c>
      <c r="Q80" s="4">
        <f>SEARCH(",",$W80,P80+1)</f>
        <v>44</v>
      </c>
      <c r="R80" s="4">
        <f>SEARCH(",",$W80,Q80+1)</f>
        <v>50</v>
      </c>
      <c r="T80" t="s">
        <v>679</v>
      </c>
      <c r="U80">
        <f>SEARCH(":",T80)</f>
        <v>6</v>
      </c>
      <c r="V80" t="str">
        <f>MID(T80,U80+1,LEN(T80)-(U80))</f>
        <v xml:space="preserve"> 917832 ** -317, -778, 4408, 328, 1319, 3172, 4748, 4499</v>
      </c>
      <c r="W80" t="str">
        <f>TRIM(V80)</f>
        <v>917832 ** -317, -778, 4408, 328, 1319, 3172, 4748, 4499</v>
      </c>
      <c r="X80">
        <f>SEARCH("~*",W80)</f>
        <v>8</v>
      </c>
      <c r="Y80" t="str">
        <f>LEFT(W80,X80-1)</f>
        <v xml:space="preserve">917832 </v>
      </c>
      <c r="AA80" t="str">
        <f>CONCATENATE(A80,",",D80,",",E80,",",F80,",",G80,",",H80,",",I80,",",J80,",",K80)</f>
        <v>917832,-317,-778,4408,328,1319,3172,4748,4499</v>
      </c>
    </row>
    <row r="81" spans="1:27">
      <c r="A81" s="1">
        <f>IF(ISBLANK(T81),"",VALUE(Y81))</f>
        <v>914197</v>
      </c>
      <c r="B81" s="1">
        <f>A81*4/10 -18</f>
        <v>365660.8</v>
      </c>
      <c r="C81" s="3">
        <f>B81/7000000</f>
        <v>5.2237257142857138E-2</v>
      </c>
      <c r="D81" s="6">
        <f>VALUE(MID(W81,$X81+2,L81-(X81+2)))</f>
        <v>-322</v>
      </c>
      <c r="E81" s="6">
        <f>VALUE(MID($W81,L81+1,M81-(L81+1)))</f>
        <v>-778</v>
      </c>
      <c r="F81" s="6">
        <f>VALUE(MID($W81,M81+1,N81-(M81+1)))</f>
        <v>4403</v>
      </c>
      <c r="G81" s="6">
        <f>VALUE(MID($W81,N81+1,O81-(N81+1)))</f>
        <v>322</v>
      </c>
      <c r="H81" s="6">
        <f>VALUE(MID($W81,O81+1,P81-(O81+1)))</f>
        <v>1313</v>
      </c>
      <c r="I81" s="6">
        <f>VALUE(MID($W81,P81+1,Q81-(P81+1)))</f>
        <v>3166</v>
      </c>
      <c r="J81" s="6">
        <f>VALUE(MID($W81,Q81+1,R81-(Q81+1)))</f>
        <v>4747</v>
      </c>
      <c r="K81" s="4">
        <f>VALUE(MID(W81,R81+1,LEN(W81)-(R81)))</f>
        <v>4498</v>
      </c>
      <c r="L81" s="4">
        <f>SEARCH(",",W81,X81)</f>
        <v>15</v>
      </c>
      <c r="M81" s="4">
        <f>SEARCH(",",$W81,L81+1)</f>
        <v>21</v>
      </c>
      <c r="N81" s="4">
        <f>SEARCH(",",$W81,M81+1)</f>
        <v>27</v>
      </c>
      <c r="O81" s="4">
        <f>SEARCH(",",$W81,N81+1)</f>
        <v>32</v>
      </c>
      <c r="P81" s="4">
        <f>SEARCH(",",$W81,O81+1)</f>
        <v>38</v>
      </c>
      <c r="Q81" s="4">
        <f>SEARCH(",",$W81,P81+1)</f>
        <v>44</v>
      </c>
      <c r="R81" s="4">
        <f>SEARCH(",",$W81,Q81+1)</f>
        <v>50</v>
      </c>
      <c r="T81" t="s">
        <v>592</v>
      </c>
      <c r="U81">
        <f>SEARCH(":",T81)</f>
        <v>6</v>
      </c>
      <c r="V81" t="str">
        <f>MID(T81,U81+1,LEN(T81)-(U81))</f>
        <v xml:space="preserve"> 914197 ** -322, -778, 4403, 322, 1313, 3166, 4747, 4498</v>
      </c>
      <c r="W81" t="str">
        <f>TRIM(V81)</f>
        <v>914197 ** -322, -778, 4403, 322, 1313, 3166, 4747, 4498</v>
      </c>
      <c r="X81">
        <f>SEARCH("~*",W81)</f>
        <v>8</v>
      </c>
      <c r="Y81" t="str">
        <f>LEFT(W81,X81-1)</f>
        <v xml:space="preserve">914197 </v>
      </c>
      <c r="AA81" t="str">
        <f>CONCATENATE(A81,",",D81,",",E81,",",F81,",",G81,",",H81,",",I81,",",J81,",",K81)</f>
        <v>914197,-322,-778,4403,322,1313,3166,4747,4498</v>
      </c>
    </row>
    <row r="82" spans="1:27">
      <c r="A82" s="1">
        <f>IF(ISBLANK(T82),"",VALUE(Y82))</f>
        <v>909489</v>
      </c>
      <c r="B82" s="1">
        <f>A82*4/10 -18</f>
        <v>363777.6</v>
      </c>
      <c r="C82" s="3">
        <f>B82/7000000</f>
        <v>5.1968228571428569E-2</v>
      </c>
      <c r="D82" s="6">
        <f>VALUE(MID(W82,$X82+2,L82-(X82+2)))</f>
        <v>-324</v>
      </c>
      <c r="E82" s="6">
        <f>VALUE(MID($W82,L82+1,M82-(L82+1)))</f>
        <v>-777</v>
      </c>
      <c r="F82" s="6">
        <f>VALUE(MID($W82,M82+1,N82-(M82+1)))</f>
        <v>4402</v>
      </c>
      <c r="G82" s="6">
        <f>VALUE(MID($W82,N82+1,O82-(N82+1)))</f>
        <v>325</v>
      </c>
      <c r="H82" s="6">
        <f>VALUE(MID($W82,O82+1,P82-(O82+1)))</f>
        <v>1321</v>
      </c>
      <c r="I82" s="6">
        <f>VALUE(MID($W82,P82+1,Q82-(P82+1)))</f>
        <v>3172</v>
      </c>
      <c r="J82" s="6">
        <f>VALUE(MID($W82,Q82+1,R82-(Q82+1)))</f>
        <v>4743</v>
      </c>
      <c r="K82" s="4">
        <f>VALUE(MID(W82,R82+1,LEN(W82)-(R82)))</f>
        <v>4495</v>
      </c>
      <c r="L82" s="4">
        <f>SEARCH(",",W82,X82)</f>
        <v>15</v>
      </c>
      <c r="M82" s="4">
        <f>SEARCH(",",$W82,L82+1)</f>
        <v>21</v>
      </c>
      <c r="N82" s="4">
        <f>SEARCH(",",$W82,M82+1)</f>
        <v>27</v>
      </c>
      <c r="O82" s="4">
        <f>SEARCH(",",$W82,N82+1)</f>
        <v>32</v>
      </c>
      <c r="P82" s="4">
        <f>SEARCH(",",$W82,O82+1)</f>
        <v>38</v>
      </c>
      <c r="Q82" s="4">
        <f>SEARCH(",",$W82,P82+1)</f>
        <v>44</v>
      </c>
      <c r="R82" s="4">
        <f>SEARCH(",",$W82,Q82+1)</f>
        <v>50</v>
      </c>
      <c r="T82" t="s">
        <v>805</v>
      </c>
      <c r="U82">
        <f>SEARCH(":",T82)</f>
        <v>6</v>
      </c>
      <c r="V82" t="str">
        <f>MID(T82,U82+1,LEN(T82)-(U82))</f>
        <v xml:space="preserve"> 909489 ** -324, -777, 4402, 325, 1321, 3172, 4743, 4495</v>
      </c>
      <c r="W82" t="str">
        <f>TRIM(V82)</f>
        <v>909489 ** -324, -777, 4402, 325, 1321, 3172, 4743, 4495</v>
      </c>
      <c r="X82">
        <f>SEARCH("~*",W82)</f>
        <v>8</v>
      </c>
      <c r="Y82" t="str">
        <f>LEFT(W82,X82-1)</f>
        <v xml:space="preserve">909489 </v>
      </c>
      <c r="AA82" t="str">
        <f>CONCATENATE(A82,",",D82,",",E82,",",F82,",",G82,",",H82,",",I82,",",J82,",",K82)</f>
        <v>909489,-324,-777,4402,325,1321,3172,4743,4495</v>
      </c>
    </row>
    <row r="83" spans="1:27">
      <c r="A83" s="1">
        <f>IF(ISBLANK(T83),"",VALUE(Y83))</f>
        <v>909400</v>
      </c>
      <c r="B83" s="1">
        <f>A83*4/10 -18</f>
        <v>363742</v>
      </c>
      <c r="C83" s="3">
        <f>B83/7000000</f>
        <v>5.1963142857142861E-2</v>
      </c>
      <c r="D83" s="6">
        <f>VALUE(MID(W83,$X83+2,L83-(X83+2)))</f>
        <v>-320</v>
      </c>
      <c r="E83" s="6">
        <f>VALUE(MID($W83,L83+1,M83-(L83+1)))</f>
        <v>-775</v>
      </c>
      <c r="F83" s="6">
        <f>VALUE(MID($W83,M83+1,N83-(M83+1)))</f>
        <v>4406</v>
      </c>
      <c r="G83" s="6">
        <f>VALUE(MID($W83,N83+1,O83-(N83+1)))</f>
        <v>324</v>
      </c>
      <c r="H83" s="6">
        <f>VALUE(MID($W83,O83+1,P83-(O83+1)))</f>
        <v>1317</v>
      </c>
      <c r="I83" s="6">
        <f>VALUE(MID($W83,P83+1,Q83-(P83+1)))</f>
        <v>3171</v>
      </c>
      <c r="J83" s="6">
        <f>VALUE(MID($W83,Q83+1,R83-(Q83+1)))</f>
        <v>4741</v>
      </c>
      <c r="K83" s="4">
        <f>VALUE(MID(W83,R83+1,LEN(W83)-(R83)))</f>
        <v>4491</v>
      </c>
      <c r="L83" s="4">
        <f>SEARCH(",",W83,X83)</f>
        <v>15</v>
      </c>
      <c r="M83" s="4">
        <f>SEARCH(",",$W83,L83+1)</f>
        <v>21</v>
      </c>
      <c r="N83" s="4">
        <f>SEARCH(",",$W83,M83+1)</f>
        <v>27</v>
      </c>
      <c r="O83" s="4">
        <f>SEARCH(",",$W83,N83+1)</f>
        <v>32</v>
      </c>
      <c r="P83" s="4">
        <f>SEARCH(",",$W83,O83+1)</f>
        <v>38</v>
      </c>
      <c r="Q83" s="4">
        <f>SEARCH(",",$W83,P83+1)</f>
        <v>44</v>
      </c>
      <c r="R83" s="4">
        <f>SEARCH(",",$W83,Q83+1)</f>
        <v>50</v>
      </c>
      <c r="T83" t="s">
        <v>656</v>
      </c>
      <c r="U83">
        <f>SEARCH(":",T83)</f>
        <v>6</v>
      </c>
      <c r="V83" t="str">
        <f>MID(T83,U83+1,LEN(T83)-(U83))</f>
        <v xml:space="preserve"> 909400 ** -320, -775, 4406, 324, 1317, 3171, 4741, 4491</v>
      </c>
      <c r="W83" t="str">
        <f>TRIM(V83)</f>
        <v>909400 ** -320, -775, 4406, 324, 1317, 3171, 4741, 4491</v>
      </c>
      <c r="X83">
        <f>SEARCH("~*",W83)</f>
        <v>8</v>
      </c>
      <c r="Y83" t="str">
        <f>LEFT(W83,X83-1)</f>
        <v xml:space="preserve">909400 </v>
      </c>
      <c r="AA83" t="str">
        <f>CONCATENATE(A83,",",D83,",",E83,",",F83,",",G83,",",H83,",",I83,",",J83,",",K83)</f>
        <v>909400,-320,-775,4406,324,1317,3171,4741,4491</v>
      </c>
    </row>
    <row r="84" spans="1:27">
      <c r="A84" s="1">
        <f>IF(ISBLANK(T84),"",VALUE(Y84))</f>
        <v>899198</v>
      </c>
      <c r="B84" s="1">
        <f>A84*4/10 -18</f>
        <v>359661.2</v>
      </c>
      <c r="C84" s="3">
        <f>B84/7000000</f>
        <v>5.1380171428571431E-2</v>
      </c>
      <c r="D84" s="6">
        <f>VALUE(MID(W84,$X84+2,L84-(X84+2)))</f>
        <v>-323</v>
      </c>
      <c r="E84" s="6">
        <f>VALUE(MID($W84,L84+1,M84-(L84+1)))</f>
        <v>-778</v>
      </c>
      <c r="F84" s="6">
        <f>VALUE(MID($W84,M84+1,N84-(M84+1)))</f>
        <v>4402</v>
      </c>
      <c r="G84" s="6">
        <f>VALUE(MID($W84,N84+1,O84-(N84+1)))</f>
        <v>326</v>
      </c>
      <c r="H84" s="6">
        <f>VALUE(MID($W84,O84+1,P84-(O84+1)))</f>
        <v>1315</v>
      </c>
      <c r="I84" s="6">
        <f>VALUE(MID($W84,P84+1,Q84-(P84+1)))</f>
        <v>3169</v>
      </c>
      <c r="J84" s="6">
        <f>VALUE(MID($W84,Q84+1,R84-(Q84+1)))</f>
        <v>4748</v>
      </c>
      <c r="K84" s="4">
        <f>VALUE(MID(W84,R84+1,LEN(W84)-(R84)))</f>
        <v>4493</v>
      </c>
      <c r="L84" s="4">
        <f>SEARCH(",",W84,X84)</f>
        <v>15</v>
      </c>
      <c r="M84" s="4">
        <f>SEARCH(",",$W84,L84+1)</f>
        <v>21</v>
      </c>
      <c r="N84" s="4">
        <f>SEARCH(",",$W84,M84+1)</f>
        <v>27</v>
      </c>
      <c r="O84" s="4">
        <f>SEARCH(",",$W84,N84+1)</f>
        <v>32</v>
      </c>
      <c r="P84" s="4">
        <f>SEARCH(",",$W84,O84+1)</f>
        <v>38</v>
      </c>
      <c r="Q84" s="4">
        <f>SEARCH(",",$W84,P84+1)</f>
        <v>44</v>
      </c>
      <c r="R84" s="4">
        <f>SEARCH(",",$W84,Q84+1)</f>
        <v>50</v>
      </c>
      <c r="T84" t="s">
        <v>729</v>
      </c>
      <c r="U84">
        <f>SEARCH(":",T84)</f>
        <v>6</v>
      </c>
      <c r="V84" t="str">
        <f>MID(T84,U84+1,LEN(T84)-(U84))</f>
        <v xml:space="preserve"> 899198 ** -323, -778, 4402, 326, 1315, 3169, 4748, 4493</v>
      </c>
      <c r="W84" t="str">
        <f>TRIM(V84)</f>
        <v>899198 ** -323, -778, 4402, 326, 1315, 3169, 4748, 4493</v>
      </c>
      <c r="X84">
        <f>SEARCH("~*",W84)</f>
        <v>8</v>
      </c>
      <c r="Y84" t="str">
        <f>LEFT(W84,X84-1)</f>
        <v xml:space="preserve">899198 </v>
      </c>
      <c r="AA84" t="str">
        <f>CONCATENATE(A84,",",D84,",",E84,",",F84,",",G84,",",H84,",",I84,",",J84,",",K84)</f>
        <v>899198,-323,-778,4402,326,1315,3169,4748,4493</v>
      </c>
    </row>
    <row r="85" spans="1:27">
      <c r="A85" s="1">
        <f>IF(ISBLANK(T85),"",VALUE(Y85))</f>
        <v>893758</v>
      </c>
      <c r="B85" s="1">
        <f>A85*4/10 -18</f>
        <v>357485.2</v>
      </c>
      <c r="C85" s="3">
        <f>B85/7000000</f>
        <v>5.106931428571429E-2</v>
      </c>
      <c r="D85" s="6">
        <f>VALUE(MID(W85,$X85+2,L85-(X85+2)))</f>
        <v>-323</v>
      </c>
      <c r="E85" s="6">
        <f>VALUE(MID($W85,L85+1,M85-(L85+1)))</f>
        <v>-778</v>
      </c>
      <c r="F85" s="6">
        <f>VALUE(MID($W85,M85+1,N85-(M85+1)))</f>
        <v>4400</v>
      </c>
      <c r="G85" s="6">
        <f>VALUE(MID($W85,N85+1,O85-(N85+1)))</f>
        <v>323</v>
      </c>
      <c r="H85" s="6">
        <f>VALUE(MID($W85,O85+1,P85-(O85+1)))</f>
        <v>1317</v>
      </c>
      <c r="I85" s="6">
        <f>VALUE(MID($W85,P85+1,Q85-(P85+1)))</f>
        <v>3168</v>
      </c>
      <c r="J85" s="6">
        <f>VALUE(MID($W85,Q85+1,R85-(Q85+1)))</f>
        <v>4739</v>
      </c>
      <c r="K85" s="4">
        <f>VALUE(MID(W85,R85+1,LEN(W85)-(R85)))</f>
        <v>4496</v>
      </c>
      <c r="L85" s="4">
        <f>SEARCH(",",W85,X85)</f>
        <v>15</v>
      </c>
      <c r="M85" s="4">
        <f>SEARCH(",",$W85,L85+1)</f>
        <v>21</v>
      </c>
      <c r="N85" s="4">
        <f>SEARCH(",",$W85,M85+1)</f>
        <v>27</v>
      </c>
      <c r="O85" s="4">
        <f>SEARCH(",",$W85,N85+1)</f>
        <v>32</v>
      </c>
      <c r="P85" s="4">
        <f>SEARCH(",",$W85,O85+1)</f>
        <v>38</v>
      </c>
      <c r="Q85" s="4">
        <f>SEARCH(",",$W85,P85+1)</f>
        <v>44</v>
      </c>
      <c r="R85" s="4">
        <f>SEARCH(",",$W85,Q85+1)</f>
        <v>50</v>
      </c>
      <c r="T85" t="s">
        <v>815</v>
      </c>
      <c r="U85">
        <f>SEARCH(":",T85)</f>
        <v>6</v>
      </c>
      <c r="V85" t="str">
        <f>MID(T85,U85+1,LEN(T85)-(U85))</f>
        <v xml:space="preserve"> 893758 ** -323, -778, 4400, 323, 1317, 3168, 4739, 4496</v>
      </c>
      <c r="W85" t="str">
        <f>TRIM(V85)</f>
        <v>893758 ** -323, -778, 4400, 323, 1317, 3168, 4739, 4496</v>
      </c>
      <c r="X85">
        <f>SEARCH("~*",W85)</f>
        <v>8</v>
      </c>
      <c r="Y85" t="str">
        <f>LEFT(W85,X85-1)</f>
        <v xml:space="preserve">893758 </v>
      </c>
      <c r="AA85" t="str">
        <f>CONCATENATE(A85,",",D85,",",E85,",",F85,",",G85,",",H85,",",I85,",",J85,",",K85)</f>
        <v>893758,-323,-778,4400,323,1317,3168,4739,4496</v>
      </c>
    </row>
    <row r="86" spans="1:27">
      <c r="A86" s="1">
        <f>IF(ISBLANK(T86),"",VALUE(Y86))</f>
        <v>891064</v>
      </c>
      <c r="B86" s="1">
        <f>A86*4/10 -18</f>
        <v>356407.6</v>
      </c>
      <c r="C86" s="3">
        <f>B86/7000000</f>
        <v>5.0915371428571422E-2</v>
      </c>
      <c r="D86" s="6">
        <f>VALUE(MID(W86,$X86+2,L86-(X86+2)))</f>
        <v>-322</v>
      </c>
      <c r="E86" s="6">
        <f>VALUE(MID($W86,L86+1,M86-(L86+1)))</f>
        <v>-774</v>
      </c>
      <c r="F86" s="6">
        <f>VALUE(MID($W86,M86+1,N86-(M86+1)))</f>
        <v>4401</v>
      </c>
      <c r="G86" s="6">
        <f>VALUE(MID($W86,N86+1,O86-(N86+1)))</f>
        <v>325</v>
      </c>
      <c r="H86" s="6">
        <f>VALUE(MID($W86,O86+1,P86-(O86+1)))</f>
        <v>1312</v>
      </c>
      <c r="I86" s="6">
        <f>VALUE(MID($W86,P86+1,Q86-(P86+1)))</f>
        <v>3170</v>
      </c>
      <c r="J86" s="6">
        <f>VALUE(MID($W86,Q86+1,R86-(Q86+1)))</f>
        <v>4742</v>
      </c>
      <c r="K86" s="4">
        <f>VALUE(MID(W86,R86+1,LEN(W86)-(R86)))</f>
        <v>4496</v>
      </c>
      <c r="L86" s="4">
        <f>SEARCH(",",W86,X86)</f>
        <v>15</v>
      </c>
      <c r="M86" s="4">
        <f>SEARCH(",",$W86,L86+1)</f>
        <v>21</v>
      </c>
      <c r="N86" s="4">
        <f>SEARCH(",",$W86,M86+1)</f>
        <v>27</v>
      </c>
      <c r="O86" s="4">
        <f>SEARCH(",",$W86,N86+1)</f>
        <v>32</v>
      </c>
      <c r="P86" s="4">
        <f>SEARCH(",",$W86,O86+1)</f>
        <v>38</v>
      </c>
      <c r="Q86" s="4">
        <f>SEARCH(",",$W86,P86+1)</f>
        <v>44</v>
      </c>
      <c r="R86" s="4">
        <f>SEARCH(",",$W86,Q86+1)</f>
        <v>50</v>
      </c>
      <c r="T86" t="s">
        <v>637</v>
      </c>
      <c r="U86">
        <f>SEARCH(":",T86)</f>
        <v>6</v>
      </c>
      <c r="V86" t="str">
        <f>MID(T86,U86+1,LEN(T86)-(U86))</f>
        <v xml:space="preserve"> 891064 ** -322, -774, 4401, 325, 1312, 3170, 4742, 4496</v>
      </c>
      <c r="W86" t="str">
        <f>TRIM(V86)</f>
        <v>891064 ** -322, -774, 4401, 325, 1312, 3170, 4742, 4496</v>
      </c>
      <c r="X86">
        <f>SEARCH("~*",W86)</f>
        <v>8</v>
      </c>
      <c r="Y86" t="str">
        <f>LEFT(W86,X86-1)</f>
        <v xml:space="preserve">891064 </v>
      </c>
      <c r="AA86" t="str">
        <f>CONCATENATE(A86,",",D86,",",E86,",",F86,",",G86,",",H86,",",I86,",",J86,",",K86)</f>
        <v>891064,-322,-774,4401,325,1312,3170,4742,4496</v>
      </c>
    </row>
    <row r="87" spans="1:27">
      <c r="A87" s="1">
        <f>IF(ISBLANK(T87),"",VALUE(Y87))</f>
        <v>882603</v>
      </c>
      <c r="B87" s="1">
        <f>A87*4/10 -18</f>
        <v>353023.2</v>
      </c>
      <c r="C87" s="3">
        <f>B87/7000000</f>
        <v>5.0431885714285717E-2</v>
      </c>
      <c r="D87" s="6">
        <f>VALUE(MID(W87,$X87+2,L87-(X87+2)))</f>
        <v>-324</v>
      </c>
      <c r="E87" s="6">
        <f>VALUE(MID($W87,L87+1,M87-(L87+1)))</f>
        <v>-774</v>
      </c>
      <c r="F87" s="6">
        <f>VALUE(MID($W87,M87+1,N87-(M87+1)))</f>
        <v>4399</v>
      </c>
      <c r="G87" s="6">
        <f>VALUE(MID($W87,N87+1,O87-(N87+1)))</f>
        <v>326</v>
      </c>
      <c r="H87" s="6">
        <f>VALUE(MID($W87,O87+1,P87-(O87+1)))</f>
        <v>1313</v>
      </c>
      <c r="I87" s="6">
        <f>VALUE(MID($W87,P87+1,Q87-(P87+1)))</f>
        <v>3170</v>
      </c>
      <c r="J87" s="6">
        <f>VALUE(MID($W87,Q87+1,R87-(Q87+1)))</f>
        <v>4743</v>
      </c>
      <c r="K87" s="4">
        <f>VALUE(MID(W87,R87+1,LEN(W87)-(R87)))</f>
        <v>4493</v>
      </c>
      <c r="L87" s="4">
        <f>SEARCH(",",W87,X87)</f>
        <v>15</v>
      </c>
      <c r="M87" s="4">
        <f>SEARCH(",",$W87,L87+1)</f>
        <v>21</v>
      </c>
      <c r="N87" s="4">
        <f>SEARCH(",",$W87,M87+1)</f>
        <v>27</v>
      </c>
      <c r="O87" s="4">
        <f>SEARCH(",",$W87,N87+1)</f>
        <v>32</v>
      </c>
      <c r="P87" s="4">
        <f>SEARCH(",",$W87,O87+1)</f>
        <v>38</v>
      </c>
      <c r="Q87" s="4">
        <f>SEARCH(",",$W87,P87+1)</f>
        <v>44</v>
      </c>
      <c r="R87" s="4">
        <f>SEARCH(",",$W87,Q87+1)</f>
        <v>50</v>
      </c>
      <c r="T87" t="s">
        <v>768</v>
      </c>
      <c r="U87">
        <f>SEARCH(":",T87)</f>
        <v>6</v>
      </c>
      <c r="V87" t="str">
        <f>MID(T87,U87+1,LEN(T87)-(U87))</f>
        <v xml:space="preserve"> 882603 ** -324, -774, 4399, 326, 1313, 3170, 4743, 4493</v>
      </c>
      <c r="W87" t="str">
        <f>TRIM(V87)</f>
        <v>882603 ** -324, -774, 4399, 326, 1313, 3170, 4743, 4493</v>
      </c>
      <c r="X87">
        <f>SEARCH("~*",W87)</f>
        <v>8</v>
      </c>
      <c r="Y87" t="str">
        <f>LEFT(W87,X87-1)</f>
        <v xml:space="preserve">882603 </v>
      </c>
      <c r="AA87" t="str">
        <f>CONCATENATE(A87,",",D87,",",E87,",",F87,",",G87,",",H87,",",I87,",",J87,",",K87)</f>
        <v>882603,-324,-774,4399,326,1313,3170,4743,4493</v>
      </c>
    </row>
    <row r="88" spans="1:27">
      <c r="A88" s="1">
        <f>IF(ISBLANK(T88),"",VALUE(Y88))</f>
        <v>871702</v>
      </c>
      <c r="B88" s="1">
        <f>A88*4/10 -18</f>
        <v>348662.8</v>
      </c>
      <c r="C88" s="3">
        <f>B88/7000000</f>
        <v>4.9808971428571429E-2</v>
      </c>
      <c r="D88" s="6">
        <f>VALUE(MID(W88,$X88+2,L88-(X88+2)))</f>
        <v>-318</v>
      </c>
      <c r="E88" s="6">
        <f>VALUE(MID($W88,L88+1,M88-(L88+1)))</f>
        <v>-774</v>
      </c>
      <c r="F88" s="6">
        <f>VALUE(MID($W88,M88+1,N88-(M88+1)))</f>
        <v>4400</v>
      </c>
      <c r="G88" s="6">
        <f>VALUE(MID($W88,N88+1,O88-(N88+1)))</f>
        <v>327</v>
      </c>
      <c r="H88" s="6">
        <f>VALUE(MID($W88,O88+1,P88-(O88+1)))</f>
        <v>1313</v>
      </c>
      <c r="I88" s="6">
        <f>VALUE(MID($W88,P88+1,Q88-(P88+1)))</f>
        <v>3167</v>
      </c>
      <c r="J88" s="6">
        <f>VALUE(MID($W88,Q88+1,R88-(Q88+1)))</f>
        <v>4747</v>
      </c>
      <c r="K88" s="4">
        <f>VALUE(MID(W88,R88+1,LEN(W88)-(R88)))</f>
        <v>4495</v>
      </c>
      <c r="L88" s="4">
        <f>SEARCH(",",W88,X88)</f>
        <v>15</v>
      </c>
      <c r="M88" s="4">
        <f>SEARCH(",",$W88,L88+1)</f>
        <v>21</v>
      </c>
      <c r="N88" s="4">
        <f>SEARCH(",",$W88,M88+1)</f>
        <v>27</v>
      </c>
      <c r="O88" s="4">
        <f>SEARCH(",",$W88,N88+1)</f>
        <v>32</v>
      </c>
      <c r="P88" s="4">
        <f>SEARCH(",",$W88,O88+1)</f>
        <v>38</v>
      </c>
      <c r="Q88" s="4">
        <f>SEARCH(",",$W88,P88+1)</f>
        <v>44</v>
      </c>
      <c r="R88" s="4">
        <f>SEARCH(",",$W88,Q88+1)</f>
        <v>50</v>
      </c>
      <c r="T88" t="s">
        <v>704</v>
      </c>
      <c r="U88">
        <f>SEARCH(":",T88)</f>
        <v>6</v>
      </c>
      <c r="V88" t="str">
        <f>MID(T88,U88+1,LEN(T88)-(U88))</f>
        <v xml:space="preserve"> 871702 ** -318, -774, 4400, 327, 1313, 3167, 4747, 4495</v>
      </c>
      <c r="W88" t="str">
        <f>TRIM(V88)</f>
        <v>871702 ** -318, -774, 4400, 327, 1313, 3167, 4747, 4495</v>
      </c>
      <c r="X88">
        <f>SEARCH("~*",W88)</f>
        <v>8</v>
      </c>
      <c r="Y88" t="str">
        <f>LEFT(W88,X88-1)</f>
        <v xml:space="preserve">871702 </v>
      </c>
      <c r="AA88" t="str">
        <f>CONCATENATE(A88,",",D88,",",E88,",",F88,",",G88,",",H88,",",I88,",",J88,",",K88)</f>
        <v>871702,-318,-774,4400,327,1313,3167,4747,4495</v>
      </c>
    </row>
    <row r="89" spans="1:27">
      <c r="A89" s="1">
        <f>IF(ISBLANK(T89),"",VALUE(Y89))</f>
        <v>869374</v>
      </c>
      <c r="B89" s="1">
        <f>A89*4/10 -18</f>
        <v>347731.6</v>
      </c>
      <c r="C89" s="3">
        <f>B89/7000000</f>
        <v>4.967594285714285E-2</v>
      </c>
      <c r="D89" s="6">
        <f>VALUE(MID(W89,$X89+2,L89-(X89+2)))</f>
        <v>-315</v>
      </c>
      <c r="E89" s="6">
        <f>VALUE(MID($W89,L89+1,M89-(L89+1)))</f>
        <v>-776</v>
      </c>
      <c r="F89" s="6">
        <f>VALUE(MID($W89,M89+1,N89-(M89+1)))</f>
        <v>4401</v>
      </c>
      <c r="G89" s="6">
        <f>VALUE(MID($W89,N89+1,O89-(N89+1)))</f>
        <v>327</v>
      </c>
      <c r="H89" s="6">
        <f>VALUE(MID($W89,O89+1,P89-(O89+1)))</f>
        <v>1312</v>
      </c>
      <c r="I89" s="6">
        <f>VALUE(MID($W89,P89+1,Q89-(P89+1)))</f>
        <v>3166</v>
      </c>
      <c r="J89" s="6">
        <f>VALUE(MID($W89,Q89+1,R89-(Q89+1)))</f>
        <v>4743</v>
      </c>
      <c r="K89" s="4">
        <f>VALUE(MID(W89,R89+1,LEN(W89)-(R89)))</f>
        <v>4495</v>
      </c>
      <c r="L89" s="4">
        <f>SEARCH(",",W89,X89)</f>
        <v>15</v>
      </c>
      <c r="M89" s="4">
        <f>SEARCH(",",$W89,L89+1)</f>
        <v>21</v>
      </c>
      <c r="N89" s="4">
        <f>SEARCH(",",$W89,M89+1)</f>
        <v>27</v>
      </c>
      <c r="O89" s="4">
        <f>SEARCH(",",$W89,N89+1)</f>
        <v>32</v>
      </c>
      <c r="P89" s="4">
        <f>SEARCH(",",$W89,O89+1)</f>
        <v>38</v>
      </c>
      <c r="Q89" s="4">
        <f>SEARCH(",",$W89,P89+1)</f>
        <v>44</v>
      </c>
      <c r="R89" s="4">
        <f>SEARCH(",",$W89,Q89+1)</f>
        <v>50</v>
      </c>
      <c r="T89" t="s">
        <v>744</v>
      </c>
      <c r="U89">
        <f>SEARCH(":",T89)</f>
        <v>6</v>
      </c>
      <c r="V89" t="str">
        <f>MID(T89,U89+1,LEN(T89)-(U89))</f>
        <v xml:space="preserve"> 869374 ** -315, -776, 4401, 327, 1312, 3166, 4743, 4495</v>
      </c>
      <c r="W89" t="str">
        <f>TRIM(V89)</f>
        <v>869374 ** -315, -776, 4401, 327, 1312, 3166, 4743, 4495</v>
      </c>
      <c r="X89">
        <f>SEARCH("~*",W89)</f>
        <v>8</v>
      </c>
      <c r="Y89" t="str">
        <f>LEFT(W89,X89-1)</f>
        <v xml:space="preserve">869374 </v>
      </c>
      <c r="AA89" t="str">
        <f>CONCATENATE(A89,",",D89,",",E89,",",F89,",",G89,",",H89,",",I89,",",J89,",",K89)</f>
        <v>869374,-315,-776,4401,327,1312,3166,4743,4495</v>
      </c>
    </row>
    <row r="90" spans="1:27">
      <c r="A90" s="1">
        <f>IF(ISBLANK(T90),"",VALUE(Y90))</f>
        <v>847430</v>
      </c>
      <c r="B90" s="1">
        <f>A90*4/10 -18</f>
        <v>338954</v>
      </c>
      <c r="C90" s="3">
        <f>B90/7000000</f>
        <v>4.8422E-2</v>
      </c>
      <c r="D90" s="6">
        <f>VALUE(MID(W90,$X90+2,L90-(X90+2)))</f>
        <v>-318</v>
      </c>
      <c r="E90" s="6">
        <f>VALUE(MID($W90,L90+1,M90-(L90+1)))</f>
        <v>-776</v>
      </c>
      <c r="F90" s="6">
        <f>VALUE(MID($W90,M90+1,N90-(M90+1)))</f>
        <v>4405</v>
      </c>
      <c r="G90" s="6">
        <f>VALUE(MID($W90,N90+1,O90-(N90+1)))</f>
        <v>329</v>
      </c>
      <c r="H90" s="6">
        <f>VALUE(MID($W90,O90+1,P90-(O90+1)))</f>
        <v>1316</v>
      </c>
      <c r="I90" s="6">
        <f>VALUE(MID($W90,P90+1,Q90-(P90+1)))</f>
        <v>3175</v>
      </c>
      <c r="J90" s="6">
        <f>VALUE(MID($W90,Q90+1,R90-(Q90+1)))</f>
        <v>4742</v>
      </c>
      <c r="K90" s="4">
        <f>VALUE(MID(W90,R90+1,LEN(W90)-(R90)))</f>
        <v>4494</v>
      </c>
      <c r="L90" s="4">
        <f>SEARCH(",",W90,X90)</f>
        <v>15</v>
      </c>
      <c r="M90" s="4">
        <f>SEARCH(",",$W90,L90+1)</f>
        <v>21</v>
      </c>
      <c r="N90" s="4">
        <f>SEARCH(",",$W90,M90+1)</f>
        <v>27</v>
      </c>
      <c r="O90" s="4">
        <f>SEARCH(",",$W90,N90+1)</f>
        <v>32</v>
      </c>
      <c r="P90" s="4">
        <f>SEARCH(",",$W90,O90+1)</f>
        <v>38</v>
      </c>
      <c r="Q90" s="4">
        <f>SEARCH(",",$W90,P90+1)</f>
        <v>44</v>
      </c>
      <c r="R90" s="4">
        <f>SEARCH(",",$W90,Q90+1)</f>
        <v>50</v>
      </c>
      <c r="T90" t="s">
        <v>703</v>
      </c>
      <c r="U90">
        <f>SEARCH(":",T90)</f>
        <v>6</v>
      </c>
      <c r="V90" t="str">
        <f>MID(T90,U90+1,LEN(T90)-(U90))</f>
        <v xml:space="preserve"> 847430 ** -318, -776, 4405, 329, 1316, 3175, 4742, 4494</v>
      </c>
      <c r="W90" t="str">
        <f>TRIM(V90)</f>
        <v>847430 ** -318, -776, 4405, 329, 1316, 3175, 4742, 4494</v>
      </c>
      <c r="X90">
        <f>SEARCH("~*",W90)</f>
        <v>8</v>
      </c>
      <c r="Y90" t="str">
        <f>LEFT(W90,X90-1)</f>
        <v xml:space="preserve">847430 </v>
      </c>
      <c r="AA90" t="str">
        <f>CONCATENATE(A90,",",D90,",",E90,",",F90,",",G90,",",H90,",",I90,",",J90,",",K90)</f>
        <v>847430,-318,-776,4405,329,1316,3175,4742,4494</v>
      </c>
    </row>
    <row r="91" spans="1:27">
      <c r="A91" s="1">
        <f>IF(ISBLANK(T91),"",VALUE(Y91))</f>
        <v>846756</v>
      </c>
      <c r="B91" s="1">
        <f>A91*4/10 -18</f>
        <v>338684.4</v>
      </c>
      <c r="C91" s="3">
        <f>B91/7000000</f>
        <v>4.8383485714285718E-2</v>
      </c>
      <c r="D91" s="6">
        <f>VALUE(MID(W91,$X91+2,L91-(X91+2)))</f>
        <v>-317</v>
      </c>
      <c r="E91" s="6">
        <f>VALUE(MID($W91,L91+1,M91-(L91+1)))</f>
        <v>-778</v>
      </c>
      <c r="F91" s="6">
        <f>VALUE(MID($W91,M91+1,N91-(M91+1)))</f>
        <v>4401</v>
      </c>
      <c r="G91" s="6">
        <f>VALUE(MID($W91,N91+1,O91-(N91+1)))</f>
        <v>325</v>
      </c>
      <c r="H91" s="6">
        <f>VALUE(MID($W91,O91+1,P91-(O91+1)))</f>
        <v>1318</v>
      </c>
      <c r="I91" s="6">
        <f>VALUE(MID($W91,P91+1,Q91-(P91+1)))</f>
        <v>3170</v>
      </c>
      <c r="J91" s="6">
        <f>VALUE(MID($W91,Q91+1,R91-(Q91+1)))</f>
        <v>4748</v>
      </c>
      <c r="K91" s="4">
        <f>VALUE(MID(W91,R91+1,LEN(W91)-(R91)))</f>
        <v>4495</v>
      </c>
      <c r="L91" s="4">
        <f>SEARCH(",",W91,X91)</f>
        <v>15</v>
      </c>
      <c r="M91" s="4">
        <f>SEARCH(",",$W91,L91+1)</f>
        <v>21</v>
      </c>
      <c r="N91" s="4">
        <f>SEARCH(",",$W91,M91+1)</f>
        <v>27</v>
      </c>
      <c r="O91" s="4">
        <f>SEARCH(",",$W91,N91+1)</f>
        <v>32</v>
      </c>
      <c r="P91" s="4">
        <f>SEARCH(",",$W91,O91+1)</f>
        <v>38</v>
      </c>
      <c r="Q91" s="4">
        <f>SEARCH(",",$W91,P91+1)</f>
        <v>44</v>
      </c>
      <c r="R91" s="4">
        <f>SEARCH(",",$W91,Q91+1)</f>
        <v>50</v>
      </c>
      <c r="T91" t="s">
        <v>715</v>
      </c>
      <c r="U91">
        <f>SEARCH(":",T91)</f>
        <v>6</v>
      </c>
      <c r="V91" t="str">
        <f>MID(T91,U91+1,LEN(T91)-(U91))</f>
        <v xml:space="preserve"> 846756 ** -317, -778, 4401, 325, 1318, 3170, 4748, 4495</v>
      </c>
      <c r="W91" t="str">
        <f>TRIM(V91)</f>
        <v>846756 ** -317, -778, 4401, 325, 1318, 3170, 4748, 4495</v>
      </c>
      <c r="X91">
        <f>SEARCH("~*",W91)</f>
        <v>8</v>
      </c>
      <c r="Y91" t="str">
        <f>LEFT(W91,X91-1)</f>
        <v xml:space="preserve">846756 </v>
      </c>
      <c r="AA91" t="str">
        <f>CONCATENATE(A91,",",D91,",",E91,",",F91,",",G91,",",H91,",",I91,",",J91,",",K91)</f>
        <v>846756,-317,-778,4401,325,1318,3170,4748,4495</v>
      </c>
    </row>
    <row r="92" spans="1:27">
      <c r="A92" s="1">
        <f>IF(ISBLANK(T92),"",VALUE(Y92))</f>
        <v>837152</v>
      </c>
      <c r="B92" s="1">
        <f>A92*4/10 -18</f>
        <v>334842.8</v>
      </c>
      <c r="C92" s="3">
        <f>B92/7000000</f>
        <v>4.7834685714285716E-2</v>
      </c>
      <c r="D92" s="6">
        <f>VALUE(MID(W92,$X92+2,L92-(X92+2)))</f>
        <v>-319</v>
      </c>
      <c r="E92" s="6">
        <f>VALUE(MID($W92,L92+1,M92-(L92+1)))</f>
        <v>-775</v>
      </c>
      <c r="F92" s="6">
        <f>VALUE(MID($W92,M92+1,N92-(M92+1)))</f>
        <v>4403</v>
      </c>
      <c r="G92" s="6">
        <f>VALUE(MID($W92,N92+1,O92-(N92+1)))</f>
        <v>321</v>
      </c>
      <c r="H92" s="6">
        <f>VALUE(MID($W92,O92+1,P92-(O92+1)))</f>
        <v>1319</v>
      </c>
      <c r="I92" s="6">
        <f>VALUE(MID($W92,P92+1,Q92-(P92+1)))</f>
        <v>3167</v>
      </c>
      <c r="J92" s="6">
        <f>VALUE(MID($W92,Q92+1,R92-(Q92+1)))</f>
        <v>4746</v>
      </c>
      <c r="K92" s="4">
        <f>VALUE(MID(W92,R92+1,LEN(W92)-(R92)))</f>
        <v>4491</v>
      </c>
      <c r="L92" s="4">
        <f>SEARCH(",",W92,X92)</f>
        <v>15</v>
      </c>
      <c r="M92" s="4">
        <f>SEARCH(",",$W92,L92+1)</f>
        <v>21</v>
      </c>
      <c r="N92" s="4">
        <f>SEARCH(",",$W92,M92+1)</f>
        <v>27</v>
      </c>
      <c r="O92" s="4">
        <f>SEARCH(",",$W92,N92+1)</f>
        <v>32</v>
      </c>
      <c r="P92" s="4">
        <f>SEARCH(",",$W92,O92+1)</f>
        <v>38</v>
      </c>
      <c r="Q92" s="4">
        <f>SEARCH(",",$W92,P92+1)</f>
        <v>44</v>
      </c>
      <c r="R92" s="4">
        <f>SEARCH(",",$W92,Q92+1)</f>
        <v>50</v>
      </c>
      <c r="T92" t="s">
        <v>793</v>
      </c>
      <c r="U92">
        <f>SEARCH(":",T92)</f>
        <v>6</v>
      </c>
      <c r="V92" t="str">
        <f>MID(T92,U92+1,LEN(T92)-(U92))</f>
        <v xml:space="preserve"> 837152 ** -319, -775, 4403, 321, 1319, 3167, 4746, 4491</v>
      </c>
      <c r="W92" t="str">
        <f>TRIM(V92)</f>
        <v>837152 ** -319, -775, 4403, 321, 1319, 3167, 4746, 4491</v>
      </c>
      <c r="X92">
        <f>SEARCH("~*",W92)</f>
        <v>8</v>
      </c>
      <c r="Y92" t="str">
        <f>LEFT(W92,X92-1)</f>
        <v xml:space="preserve">837152 </v>
      </c>
      <c r="AA92" t="str">
        <f>CONCATENATE(A92,",",D92,",",E92,",",F92,",",G92,",",H92,",",I92,",",J92,",",K92)</f>
        <v>837152,-319,-775,4403,321,1319,3167,4746,4491</v>
      </c>
    </row>
    <row r="93" spans="1:27">
      <c r="A93" s="1">
        <f>IF(ISBLANK(T93),"",VALUE(Y93))</f>
        <v>833262</v>
      </c>
      <c r="B93" s="1">
        <f>A93*4/10 -18</f>
        <v>333286.8</v>
      </c>
      <c r="C93" s="3">
        <f>B93/7000000</f>
        <v>4.7612399999999999E-2</v>
      </c>
      <c r="D93" s="6">
        <f>VALUE(MID(W93,$X93+2,L93-(X93+2)))</f>
        <v>-320</v>
      </c>
      <c r="E93" s="6">
        <f>VALUE(MID($W93,L93+1,M93-(L93+1)))</f>
        <v>-780</v>
      </c>
      <c r="F93" s="6">
        <f>VALUE(MID($W93,M93+1,N93-(M93+1)))</f>
        <v>4403</v>
      </c>
      <c r="G93" s="6">
        <f>VALUE(MID($W93,N93+1,O93-(N93+1)))</f>
        <v>320</v>
      </c>
      <c r="H93" s="6">
        <f>VALUE(MID($W93,O93+1,P93-(O93+1)))</f>
        <v>1318</v>
      </c>
      <c r="I93" s="6">
        <f>VALUE(MID($W93,P93+1,Q93-(P93+1)))</f>
        <v>3175</v>
      </c>
      <c r="J93" s="6">
        <f>VALUE(MID($W93,Q93+1,R93-(Q93+1)))</f>
        <v>4743</v>
      </c>
      <c r="K93" s="4">
        <f>VALUE(MID(W93,R93+1,LEN(W93)-(R93)))</f>
        <v>4495</v>
      </c>
      <c r="L93" s="4">
        <f>SEARCH(",",W93,X93)</f>
        <v>15</v>
      </c>
      <c r="M93" s="4">
        <f>SEARCH(",",$W93,L93+1)</f>
        <v>21</v>
      </c>
      <c r="N93" s="4">
        <f>SEARCH(",",$W93,M93+1)</f>
        <v>27</v>
      </c>
      <c r="O93" s="4">
        <f>SEARCH(",",$W93,N93+1)</f>
        <v>32</v>
      </c>
      <c r="P93" s="4">
        <f>SEARCH(",",$W93,O93+1)</f>
        <v>38</v>
      </c>
      <c r="Q93" s="4">
        <f>SEARCH(",",$W93,P93+1)</f>
        <v>44</v>
      </c>
      <c r="R93" s="4">
        <f>SEARCH(",",$W93,Q93+1)</f>
        <v>50</v>
      </c>
      <c r="T93" t="s">
        <v>849</v>
      </c>
      <c r="U93">
        <f>SEARCH(":",T93)</f>
        <v>6</v>
      </c>
      <c r="V93" t="str">
        <f>MID(T93,U93+1,LEN(T93)-(U93))</f>
        <v xml:space="preserve"> 833262 ** -320, -780, 4403, 320, 1318, 3175, 4743, 4495</v>
      </c>
      <c r="W93" t="str">
        <f>TRIM(V93)</f>
        <v>833262 ** -320, -780, 4403, 320, 1318, 3175, 4743, 4495</v>
      </c>
      <c r="X93">
        <f>SEARCH("~*",W93)</f>
        <v>8</v>
      </c>
      <c r="Y93" t="str">
        <f>LEFT(W93,X93-1)</f>
        <v xml:space="preserve">833262 </v>
      </c>
      <c r="AA93" t="str">
        <f>CONCATENATE(A93,",",D93,",",E93,",",F93,",",G93,",",H93,",",I93,",",J93,",",K93)</f>
        <v>833262,-320,-780,4403,320,1318,3175,4743,4495</v>
      </c>
    </row>
    <row r="94" spans="1:27">
      <c r="A94" s="1">
        <f>IF(ISBLANK(T94),"",VALUE(Y94))</f>
        <v>830102</v>
      </c>
      <c r="B94" s="1">
        <f>A94*4/10 -18</f>
        <v>332022.8</v>
      </c>
      <c r="C94" s="3">
        <f>B94/7000000</f>
        <v>4.7431828571428566E-2</v>
      </c>
      <c r="D94" s="6">
        <f>VALUE(MID(W94,$X94+2,L94-(X94+2)))</f>
        <v>-320</v>
      </c>
      <c r="E94" s="6">
        <f>VALUE(MID($W94,L94+1,M94-(L94+1)))</f>
        <v>-781</v>
      </c>
      <c r="F94" s="6">
        <f>VALUE(MID($W94,M94+1,N94-(M94+1)))</f>
        <v>4405</v>
      </c>
      <c r="G94" s="6">
        <f>VALUE(MID($W94,N94+1,O94-(N94+1)))</f>
        <v>323</v>
      </c>
      <c r="H94" s="6">
        <f>VALUE(MID($W94,O94+1,P94-(O94+1)))</f>
        <v>1320</v>
      </c>
      <c r="I94" s="6">
        <f>VALUE(MID($W94,P94+1,Q94-(P94+1)))</f>
        <v>3170</v>
      </c>
      <c r="J94" s="6">
        <f>VALUE(MID($W94,Q94+1,R94-(Q94+1)))</f>
        <v>4746</v>
      </c>
      <c r="K94" s="4">
        <f>VALUE(MID(W94,R94+1,LEN(W94)-(R94)))</f>
        <v>4495</v>
      </c>
      <c r="L94" s="4">
        <f>SEARCH(",",W94,X94)</f>
        <v>15</v>
      </c>
      <c r="M94" s="4">
        <f>SEARCH(",",$W94,L94+1)</f>
        <v>21</v>
      </c>
      <c r="N94" s="4">
        <f>SEARCH(",",$W94,M94+1)</f>
        <v>27</v>
      </c>
      <c r="O94" s="4">
        <f>SEARCH(",",$W94,N94+1)</f>
        <v>32</v>
      </c>
      <c r="P94" s="4">
        <f>SEARCH(",",$W94,O94+1)</f>
        <v>38</v>
      </c>
      <c r="Q94" s="4">
        <f>SEARCH(",",$W94,P94+1)</f>
        <v>44</v>
      </c>
      <c r="R94" s="4">
        <f>SEARCH(",",$W94,Q94+1)</f>
        <v>50</v>
      </c>
      <c r="T94" t="s">
        <v>634</v>
      </c>
      <c r="U94">
        <f>SEARCH(":",T94)</f>
        <v>6</v>
      </c>
      <c r="V94" t="str">
        <f>MID(T94,U94+1,LEN(T94)-(U94))</f>
        <v xml:space="preserve"> 830102 ** -320, -781, 4405, 323, 1320, 3170, 4746, 4495</v>
      </c>
      <c r="W94" t="str">
        <f>TRIM(V94)</f>
        <v>830102 ** -320, -781, 4405, 323, 1320, 3170, 4746, 4495</v>
      </c>
      <c r="X94">
        <f>SEARCH("~*",W94)</f>
        <v>8</v>
      </c>
      <c r="Y94" t="str">
        <f>LEFT(W94,X94-1)</f>
        <v xml:space="preserve">830102 </v>
      </c>
      <c r="AA94" t="str">
        <f>CONCATENATE(A94,",",D94,",",E94,",",F94,",",G94,",",H94,",",I94,",",J94,",",K94)</f>
        <v>830102,-320,-781,4405,323,1320,3170,4746,4495</v>
      </c>
    </row>
    <row r="95" spans="1:27">
      <c r="A95" s="1">
        <f>IF(ISBLANK(T95),"",VALUE(Y95))</f>
        <v>827900</v>
      </c>
      <c r="B95" s="1">
        <f>A95*4/10 -18</f>
        <v>331142</v>
      </c>
      <c r="C95" s="3">
        <f>B95/7000000</f>
        <v>4.7306000000000001E-2</v>
      </c>
      <c r="D95" s="6">
        <f>VALUE(MID(W95,$X95+2,L95-(X95+2)))</f>
        <v>-324</v>
      </c>
      <c r="E95" s="6">
        <f>VALUE(MID($W95,L95+1,M95-(L95+1)))</f>
        <v>-780</v>
      </c>
      <c r="F95" s="6">
        <f>VALUE(MID($W95,M95+1,N95-(M95+1)))</f>
        <v>4405</v>
      </c>
      <c r="G95" s="6">
        <f>VALUE(MID($W95,N95+1,O95-(N95+1)))</f>
        <v>322</v>
      </c>
      <c r="H95" s="6">
        <f>VALUE(MID($W95,O95+1,P95-(O95+1)))</f>
        <v>1316</v>
      </c>
      <c r="I95" s="6">
        <f>VALUE(MID($W95,P95+1,Q95-(P95+1)))</f>
        <v>3175</v>
      </c>
      <c r="J95" s="6">
        <f>VALUE(MID($W95,Q95+1,R95-(Q95+1)))</f>
        <v>4740</v>
      </c>
      <c r="K95" s="4">
        <f>VALUE(MID(W95,R95+1,LEN(W95)-(R95)))</f>
        <v>4500</v>
      </c>
      <c r="L95" s="4">
        <f>SEARCH(",",W95,X95)</f>
        <v>15</v>
      </c>
      <c r="M95" s="4">
        <f>SEARCH(",",$W95,L95+1)</f>
        <v>21</v>
      </c>
      <c r="N95" s="4">
        <f>SEARCH(",",$W95,M95+1)</f>
        <v>27</v>
      </c>
      <c r="O95" s="4">
        <f>SEARCH(",",$W95,N95+1)</f>
        <v>32</v>
      </c>
      <c r="P95" s="4">
        <f>SEARCH(",",$W95,O95+1)</f>
        <v>38</v>
      </c>
      <c r="Q95" s="4">
        <f>SEARCH(",",$W95,P95+1)</f>
        <v>44</v>
      </c>
      <c r="R95" s="4">
        <f>SEARCH(",",$W95,Q95+1)</f>
        <v>50</v>
      </c>
      <c r="T95" t="s">
        <v>759</v>
      </c>
      <c r="U95">
        <f>SEARCH(":",T95)</f>
        <v>6</v>
      </c>
      <c r="V95" t="str">
        <f>MID(T95,U95+1,LEN(T95)-(U95))</f>
        <v xml:space="preserve"> 827900 ** -324, -780, 4405, 322, 1316, 3175, 4740, 4500</v>
      </c>
      <c r="W95" t="str">
        <f>TRIM(V95)</f>
        <v>827900 ** -324, -780, 4405, 322, 1316, 3175, 4740, 4500</v>
      </c>
      <c r="X95">
        <f>SEARCH("~*",W95)</f>
        <v>8</v>
      </c>
      <c r="Y95" t="str">
        <f>LEFT(W95,X95-1)</f>
        <v xml:space="preserve">827900 </v>
      </c>
      <c r="AA95" t="str">
        <f>CONCATENATE(A95,",",D95,",",E95,",",F95,",",G95,",",H95,",",I95,",",J95,",",K95)</f>
        <v>827900,-324,-780,4405,322,1316,3175,4740,4500</v>
      </c>
    </row>
    <row r="96" spans="1:27">
      <c r="A96" s="1">
        <f>IF(ISBLANK(T96),"",VALUE(Y96))</f>
        <v>819484</v>
      </c>
      <c r="B96" s="1">
        <f>A96*4/10 -18</f>
        <v>327775.59999999998</v>
      </c>
      <c r="C96" s="3">
        <f>B96/7000000</f>
        <v>4.6825085714285709E-2</v>
      </c>
      <c r="D96" s="6">
        <f>VALUE(MID(W96,$X96+2,L96-(X96+2)))</f>
        <v>-316</v>
      </c>
      <c r="E96" s="6">
        <f>VALUE(MID($W96,L96+1,M96-(L96+1)))</f>
        <v>-778</v>
      </c>
      <c r="F96" s="6">
        <f>VALUE(MID($W96,M96+1,N96-(M96+1)))</f>
        <v>4407</v>
      </c>
      <c r="G96" s="6">
        <f>VALUE(MID($W96,N96+1,O96-(N96+1)))</f>
        <v>326</v>
      </c>
      <c r="H96" s="6">
        <f>VALUE(MID($W96,O96+1,P96-(O96+1)))</f>
        <v>1316</v>
      </c>
      <c r="I96" s="6">
        <f>VALUE(MID($W96,P96+1,Q96-(P96+1)))</f>
        <v>3172</v>
      </c>
      <c r="J96" s="6">
        <f>VALUE(MID($W96,Q96+1,R96-(Q96+1)))</f>
        <v>4743</v>
      </c>
      <c r="K96" s="4">
        <f>VALUE(MID(W96,R96+1,LEN(W96)-(R96)))</f>
        <v>4493</v>
      </c>
      <c r="L96" s="4">
        <f>SEARCH(",",W96,X96)</f>
        <v>15</v>
      </c>
      <c r="M96" s="4">
        <f>SEARCH(",",$W96,L96+1)</f>
        <v>21</v>
      </c>
      <c r="N96" s="4">
        <f>SEARCH(",",$W96,M96+1)</f>
        <v>27</v>
      </c>
      <c r="O96" s="4">
        <f>SEARCH(",",$W96,N96+1)</f>
        <v>32</v>
      </c>
      <c r="P96" s="4">
        <f>SEARCH(",",$W96,O96+1)</f>
        <v>38</v>
      </c>
      <c r="Q96" s="4">
        <f>SEARCH(",",$W96,P96+1)</f>
        <v>44</v>
      </c>
      <c r="R96" s="4">
        <f>SEARCH(",",$W96,Q96+1)</f>
        <v>50</v>
      </c>
      <c r="T96" t="s">
        <v>650</v>
      </c>
      <c r="U96">
        <f>SEARCH(":",T96)</f>
        <v>6</v>
      </c>
      <c r="V96" t="str">
        <f>MID(T96,U96+1,LEN(T96)-(U96))</f>
        <v xml:space="preserve"> 819484 ** -316, -778, 4407, 326, 1316, 3172, 4743, 4493</v>
      </c>
      <c r="W96" t="str">
        <f>TRIM(V96)</f>
        <v>819484 ** -316, -778, 4407, 326, 1316, 3172, 4743, 4493</v>
      </c>
      <c r="X96">
        <f>SEARCH("~*",W96)</f>
        <v>8</v>
      </c>
      <c r="Y96" t="str">
        <f>LEFT(W96,X96-1)</f>
        <v xml:space="preserve">819484 </v>
      </c>
      <c r="AA96" t="str">
        <f>CONCATENATE(A96,",",D96,",",E96,",",F96,",",G96,",",H96,",",I96,",",J96,",",K96)</f>
        <v>819484,-316,-778,4407,326,1316,3172,4743,4493</v>
      </c>
    </row>
    <row r="97" spans="1:27">
      <c r="A97" s="1">
        <f>IF(ISBLANK(T97),"",VALUE(Y97))</f>
        <v>816723</v>
      </c>
      <c r="B97" s="1">
        <f>A97*4/10 -18</f>
        <v>326671.2</v>
      </c>
      <c r="C97" s="3">
        <f>B97/7000000</f>
        <v>4.6667314285714287E-2</v>
      </c>
      <c r="D97" s="6">
        <f>VALUE(MID(W97,$X97+2,L97-(X97+2)))</f>
        <v>-323</v>
      </c>
      <c r="E97" s="6">
        <f>VALUE(MID($W97,L97+1,M97-(L97+1)))</f>
        <v>-781</v>
      </c>
      <c r="F97" s="6">
        <f>VALUE(MID($W97,M97+1,N97-(M97+1)))</f>
        <v>4399</v>
      </c>
      <c r="G97" s="6">
        <f>VALUE(MID($W97,N97+1,O97-(N97+1)))</f>
        <v>328</v>
      </c>
      <c r="H97" s="6">
        <f>VALUE(MID($W97,O97+1,P97-(O97+1)))</f>
        <v>1321</v>
      </c>
      <c r="I97" s="6">
        <f>VALUE(MID($W97,P97+1,Q97-(P97+1)))</f>
        <v>3173</v>
      </c>
      <c r="J97" s="6">
        <f>VALUE(MID($W97,Q97+1,R97-(Q97+1)))</f>
        <v>4741</v>
      </c>
      <c r="K97" s="4">
        <f>VALUE(MID(W97,R97+1,LEN(W97)-(R97)))</f>
        <v>4497</v>
      </c>
      <c r="L97" s="4">
        <f>SEARCH(",",W97,X97)</f>
        <v>15</v>
      </c>
      <c r="M97" s="4">
        <f>SEARCH(",",$W97,L97+1)</f>
        <v>21</v>
      </c>
      <c r="N97" s="4">
        <f>SEARCH(",",$W97,M97+1)</f>
        <v>27</v>
      </c>
      <c r="O97" s="4">
        <f>SEARCH(",",$W97,N97+1)</f>
        <v>32</v>
      </c>
      <c r="P97" s="4">
        <f>SEARCH(",",$W97,O97+1)</f>
        <v>38</v>
      </c>
      <c r="Q97" s="4">
        <f>SEARCH(",",$W97,P97+1)</f>
        <v>44</v>
      </c>
      <c r="R97" s="4">
        <f>SEARCH(",",$W97,Q97+1)</f>
        <v>50</v>
      </c>
      <c r="T97" t="s">
        <v>641</v>
      </c>
      <c r="U97">
        <f>SEARCH(":",T97)</f>
        <v>6</v>
      </c>
      <c r="V97" t="str">
        <f>MID(T97,U97+1,LEN(T97)-(U97))</f>
        <v xml:space="preserve"> 816723 ** -323, -781, 4399, 328, 1321, 3173, 4741, 4497</v>
      </c>
      <c r="W97" t="str">
        <f>TRIM(V97)</f>
        <v>816723 ** -323, -781, 4399, 328, 1321, 3173, 4741, 4497</v>
      </c>
      <c r="X97">
        <f>SEARCH("~*",W97)</f>
        <v>8</v>
      </c>
      <c r="Y97" t="str">
        <f>LEFT(W97,X97-1)</f>
        <v xml:space="preserve">816723 </v>
      </c>
      <c r="AA97" t="str">
        <f>CONCATENATE(A97,",",D97,",",E97,",",F97,",",G97,",",H97,",",I97,",",J97,",",K97)</f>
        <v>816723,-323,-781,4399,328,1321,3173,4741,4497</v>
      </c>
    </row>
    <row r="98" spans="1:27">
      <c r="A98" s="1">
        <f>IF(ISBLANK(T98),"",VALUE(Y98))</f>
        <v>812581</v>
      </c>
      <c r="B98" s="1">
        <f>A98*4/10 -18</f>
        <v>325014.40000000002</v>
      </c>
      <c r="C98" s="3">
        <f>B98/7000000</f>
        <v>4.6430628571428573E-2</v>
      </c>
      <c r="D98" s="6">
        <f>VALUE(MID(W98,$X98+2,L98-(X98+2)))</f>
        <v>-324</v>
      </c>
      <c r="E98" s="6">
        <f>VALUE(MID($W98,L98+1,M98-(L98+1)))</f>
        <v>-779</v>
      </c>
      <c r="F98" s="6">
        <f>VALUE(MID($W98,M98+1,N98-(M98+1)))</f>
        <v>4402</v>
      </c>
      <c r="G98" s="6">
        <f>VALUE(MID($W98,N98+1,O98-(N98+1)))</f>
        <v>323</v>
      </c>
      <c r="H98" s="6">
        <f>VALUE(MID($W98,O98+1,P98-(O98+1)))</f>
        <v>1314</v>
      </c>
      <c r="I98" s="6">
        <f>VALUE(MID($W98,P98+1,Q98-(P98+1)))</f>
        <v>3166</v>
      </c>
      <c r="J98" s="6">
        <f>VALUE(MID($W98,Q98+1,R98-(Q98+1)))</f>
        <v>4743</v>
      </c>
      <c r="K98" s="4">
        <f>VALUE(MID(W98,R98+1,LEN(W98)-(R98)))</f>
        <v>4497</v>
      </c>
      <c r="L98" s="4">
        <f>SEARCH(",",W98,X98)</f>
        <v>15</v>
      </c>
      <c r="M98" s="4">
        <f>SEARCH(",",$W98,L98+1)</f>
        <v>21</v>
      </c>
      <c r="N98" s="4">
        <f>SEARCH(",",$W98,M98+1)</f>
        <v>27</v>
      </c>
      <c r="O98" s="4">
        <f>SEARCH(",",$W98,N98+1)</f>
        <v>32</v>
      </c>
      <c r="P98" s="4">
        <f>SEARCH(",",$W98,O98+1)</f>
        <v>38</v>
      </c>
      <c r="Q98" s="4">
        <f>SEARCH(",",$W98,P98+1)</f>
        <v>44</v>
      </c>
      <c r="R98" s="4">
        <f>SEARCH(",",$W98,Q98+1)</f>
        <v>50</v>
      </c>
      <c r="T98" t="s">
        <v>867</v>
      </c>
      <c r="U98">
        <f>SEARCH(":",T98)</f>
        <v>6</v>
      </c>
      <c r="V98" t="str">
        <f>MID(T98,U98+1,LEN(T98)-(U98))</f>
        <v xml:space="preserve"> 812581 ** -324, -779, 4402, 323, 1314, 3166, 4743, 4497</v>
      </c>
      <c r="W98" t="str">
        <f>TRIM(V98)</f>
        <v>812581 ** -324, -779, 4402, 323, 1314, 3166, 4743, 4497</v>
      </c>
      <c r="X98">
        <f>SEARCH("~*",W98)</f>
        <v>8</v>
      </c>
      <c r="Y98" t="str">
        <f>LEFT(W98,X98-1)</f>
        <v xml:space="preserve">812581 </v>
      </c>
      <c r="AA98" t="str">
        <f>CONCATENATE(A98,",",D98,",",E98,",",F98,",",G98,",",H98,",",I98,",",J98,",",K98)</f>
        <v>812581,-324,-779,4402,323,1314,3166,4743,4497</v>
      </c>
    </row>
    <row r="99" spans="1:27">
      <c r="A99" s="1">
        <f>IF(ISBLANK(T99),"",VALUE(Y99))</f>
        <v>810527</v>
      </c>
      <c r="B99" s="1">
        <f>A99*4/10 -18</f>
        <v>324192.8</v>
      </c>
      <c r="C99" s="3">
        <f>B99/7000000</f>
        <v>4.6313257142857139E-2</v>
      </c>
      <c r="D99" s="6">
        <f>VALUE(MID(W99,$X99+2,L99-(X99+2)))</f>
        <v>-315</v>
      </c>
      <c r="E99" s="6">
        <f>VALUE(MID($W99,L99+1,M99-(L99+1)))</f>
        <v>-780</v>
      </c>
      <c r="F99" s="6">
        <f>VALUE(MID($W99,M99+1,N99-(M99+1)))</f>
        <v>4400</v>
      </c>
      <c r="G99" s="6">
        <f>VALUE(MID($W99,N99+1,O99-(N99+1)))</f>
        <v>320</v>
      </c>
      <c r="H99" s="6">
        <f>VALUE(MID($W99,O99+1,P99-(O99+1)))</f>
        <v>1321</v>
      </c>
      <c r="I99" s="6">
        <f>VALUE(MID($W99,P99+1,Q99-(P99+1)))</f>
        <v>3169</v>
      </c>
      <c r="J99" s="6">
        <f>VALUE(MID($W99,Q99+1,R99-(Q99+1)))</f>
        <v>4748</v>
      </c>
      <c r="K99" s="4">
        <f>VALUE(MID(W99,R99+1,LEN(W99)-(R99)))</f>
        <v>4492</v>
      </c>
      <c r="L99" s="4">
        <f>SEARCH(",",W99,X99)</f>
        <v>15</v>
      </c>
      <c r="M99" s="4">
        <f>SEARCH(",",$W99,L99+1)</f>
        <v>21</v>
      </c>
      <c r="N99" s="4">
        <f>SEARCH(",",$W99,M99+1)</f>
        <v>27</v>
      </c>
      <c r="O99" s="4">
        <f>SEARCH(",",$W99,N99+1)</f>
        <v>32</v>
      </c>
      <c r="P99" s="4">
        <f>SEARCH(",",$W99,O99+1)</f>
        <v>38</v>
      </c>
      <c r="Q99" s="4">
        <f>SEARCH(",",$W99,P99+1)</f>
        <v>44</v>
      </c>
      <c r="R99" s="4">
        <f>SEARCH(",",$W99,Q99+1)</f>
        <v>50</v>
      </c>
      <c r="T99" t="s">
        <v>616</v>
      </c>
      <c r="U99">
        <f>SEARCH(":",T99)</f>
        <v>6</v>
      </c>
      <c r="V99" t="str">
        <f>MID(T99,U99+1,LEN(T99)-(U99))</f>
        <v xml:space="preserve"> 810527 ** -315, -780, 4400, 320, 1321, 3169, 4748, 4492</v>
      </c>
      <c r="W99" t="str">
        <f>TRIM(V99)</f>
        <v>810527 ** -315, -780, 4400, 320, 1321, 3169, 4748, 4492</v>
      </c>
      <c r="X99">
        <f>SEARCH("~*",W99)</f>
        <v>8</v>
      </c>
      <c r="Y99" t="str">
        <f>LEFT(W99,X99-1)</f>
        <v xml:space="preserve">810527 </v>
      </c>
      <c r="AA99" t="str">
        <f>CONCATENATE(A99,",",D99,",",E99,",",F99,",",G99,",",H99,",",I99,",",J99,",",K99)</f>
        <v>810527,-315,-780,4400,320,1321,3169,4748,4492</v>
      </c>
    </row>
    <row r="100" spans="1:27">
      <c r="A100" s="1">
        <f>IF(ISBLANK(T100),"",VALUE(Y100))</f>
        <v>801175</v>
      </c>
      <c r="B100" s="1">
        <f>A100*4/10 -18</f>
        <v>320452</v>
      </c>
      <c r="C100" s="3">
        <f>B100/7000000</f>
        <v>4.5778857142857142E-2</v>
      </c>
      <c r="D100" s="6">
        <f>VALUE(MID(W100,$X100+2,L100-(X100+2)))</f>
        <v>-318</v>
      </c>
      <c r="E100" s="6">
        <f>VALUE(MID($W100,L100+1,M100-(L100+1)))</f>
        <v>-782</v>
      </c>
      <c r="F100" s="6">
        <f>VALUE(MID($W100,M100+1,N100-(M100+1)))</f>
        <v>4406</v>
      </c>
      <c r="G100" s="6">
        <f>VALUE(MID($W100,N100+1,O100-(N100+1)))</f>
        <v>325</v>
      </c>
      <c r="H100" s="6">
        <f>VALUE(MID($W100,O100+1,P100-(O100+1)))</f>
        <v>1321</v>
      </c>
      <c r="I100" s="6">
        <f>VALUE(MID($W100,P100+1,Q100-(P100+1)))</f>
        <v>3168</v>
      </c>
      <c r="J100" s="6">
        <f>VALUE(MID($W100,Q100+1,R100-(Q100+1)))</f>
        <v>4742</v>
      </c>
      <c r="K100" s="4">
        <f>VALUE(MID(W100,R100+1,LEN(W100)-(R100)))</f>
        <v>4491</v>
      </c>
      <c r="L100" s="4">
        <f>SEARCH(",",W100,X100)</f>
        <v>15</v>
      </c>
      <c r="M100" s="4">
        <f>SEARCH(",",$W100,L100+1)</f>
        <v>21</v>
      </c>
      <c r="N100" s="4">
        <f>SEARCH(",",$W100,M100+1)</f>
        <v>27</v>
      </c>
      <c r="O100" s="4">
        <f>SEARCH(",",$W100,N100+1)</f>
        <v>32</v>
      </c>
      <c r="P100" s="4">
        <f>SEARCH(",",$W100,O100+1)</f>
        <v>38</v>
      </c>
      <c r="Q100" s="4">
        <f>SEARCH(",",$W100,P100+1)</f>
        <v>44</v>
      </c>
      <c r="R100" s="4">
        <f>SEARCH(",",$W100,Q100+1)</f>
        <v>50</v>
      </c>
      <c r="T100" t="s">
        <v>809</v>
      </c>
      <c r="U100">
        <f>SEARCH(":",T100)</f>
        <v>6</v>
      </c>
      <c r="V100" t="str">
        <f>MID(T100,U100+1,LEN(T100)-(U100))</f>
        <v xml:space="preserve"> 801175 ** -318, -782, 4406, 325, 1321, 3168, 4742, 4491</v>
      </c>
      <c r="W100" t="str">
        <f>TRIM(V100)</f>
        <v>801175 ** -318, -782, 4406, 325, 1321, 3168, 4742, 4491</v>
      </c>
      <c r="X100">
        <f>SEARCH("~*",W100)</f>
        <v>8</v>
      </c>
      <c r="Y100" t="str">
        <f>LEFT(W100,X100-1)</f>
        <v xml:space="preserve">801175 </v>
      </c>
      <c r="AA100" t="str">
        <f>CONCATENATE(A100,",",D100,",",E100,",",F100,",",G100,",",H100,",",I100,",",J100,",",K100)</f>
        <v>801175,-318,-782,4406,325,1321,3168,4742,4491</v>
      </c>
    </row>
    <row r="101" spans="1:27">
      <c r="A101" s="1">
        <f>IF(ISBLANK(T101),"",VALUE(Y101))</f>
        <v>800298</v>
      </c>
      <c r="B101" s="1">
        <f>A101*4/10 -18</f>
        <v>320101.2</v>
      </c>
      <c r="C101" s="3">
        <f>B101/7000000</f>
        <v>4.5728742857142859E-2</v>
      </c>
      <c r="D101" s="6">
        <f>VALUE(MID(W101,$X101+2,L101-(X101+2)))</f>
        <v>-324</v>
      </c>
      <c r="E101" s="6">
        <f>VALUE(MID($W101,L101+1,M101-(L101+1)))</f>
        <v>-777</v>
      </c>
      <c r="F101" s="6">
        <f>VALUE(MID($W101,M101+1,N101-(M101+1)))</f>
        <v>4403</v>
      </c>
      <c r="G101" s="6">
        <f>VALUE(MID($W101,N101+1,O101-(N101+1)))</f>
        <v>326</v>
      </c>
      <c r="H101" s="6">
        <f>VALUE(MID($W101,O101+1,P101-(O101+1)))</f>
        <v>1317</v>
      </c>
      <c r="I101" s="6">
        <f>VALUE(MID($W101,P101+1,Q101-(P101+1)))</f>
        <v>3168</v>
      </c>
      <c r="J101" s="6">
        <f>VALUE(MID($W101,Q101+1,R101-(Q101+1)))</f>
        <v>4745</v>
      </c>
      <c r="K101" s="4">
        <f>VALUE(MID(W101,R101+1,LEN(W101)-(R101)))</f>
        <v>4494</v>
      </c>
      <c r="L101" s="4">
        <f>SEARCH(",",W101,X101)</f>
        <v>15</v>
      </c>
      <c r="M101" s="4">
        <f>SEARCH(",",$W101,L101+1)</f>
        <v>21</v>
      </c>
      <c r="N101" s="4">
        <f>SEARCH(",",$W101,M101+1)</f>
        <v>27</v>
      </c>
      <c r="O101" s="4">
        <f>SEARCH(",",$W101,N101+1)</f>
        <v>32</v>
      </c>
      <c r="P101" s="4">
        <f>SEARCH(",",$W101,O101+1)</f>
        <v>38</v>
      </c>
      <c r="Q101" s="4">
        <f>SEARCH(",",$W101,P101+1)</f>
        <v>44</v>
      </c>
      <c r="R101" s="4">
        <f>SEARCH(",",$W101,Q101+1)</f>
        <v>50</v>
      </c>
      <c r="T101" t="s">
        <v>834</v>
      </c>
      <c r="U101">
        <f>SEARCH(":",T101)</f>
        <v>6</v>
      </c>
      <c r="V101" t="str">
        <f>MID(T101,U101+1,LEN(T101)-(U101))</f>
        <v xml:space="preserve"> 800298 ** -324, -777, 4403, 326, 1317, 3168, 4745, 4494</v>
      </c>
      <c r="W101" t="str">
        <f>TRIM(V101)</f>
        <v>800298 ** -324, -777, 4403, 326, 1317, 3168, 4745, 4494</v>
      </c>
      <c r="X101">
        <f>SEARCH("~*",W101)</f>
        <v>8</v>
      </c>
      <c r="Y101" t="str">
        <f>LEFT(W101,X101-1)</f>
        <v xml:space="preserve">800298 </v>
      </c>
      <c r="AA101" t="str">
        <f>CONCATENATE(A101,",",D101,",",E101,",",F101,",",G101,",",H101,",",I101,",",J101,",",K101)</f>
        <v>800298,-324,-777,4403,326,1317,3168,4745,4494</v>
      </c>
    </row>
    <row r="102" spans="1:27">
      <c r="A102" s="1">
        <f>IF(ISBLANK(T102),"",VALUE(Y102))</f>
        <v>791426</v>
      </c>
      <c r="B102" s="1">
        <f>A102*4/10 -18</f>
        <v>316552.40000000002</v>
      </c>
      <c r="C102" s="3">
        <f>B102/7000000</f>
        <v>4.5221771428571429E-2</v>
      </c>
      <c r="D102" s="6">
        <f>VALUE(MID(W102,$X102+2,L102-(X102+2)))</f>
        <v>-323</v>
      </c>
      <c r="E102" s="6">
        <f>VALUE(MID($W102,L102+1,M102-(L102+1)))</f>
        <v>-780</v>
      </c>
      <c r="F102" s="6">
        <f>VALUE(MID($W102,M102+1,N102-(M102+1)))</f>
        <v>4399</v>
      </c>
      <c r="G102" s="6">
        <f>VALUE(MID($W102,N102+1,O102-(N102+1)))</f>
        <v>325</v>
      </c>
      <c r="H102" s="6">
        <f>VALUE(MID($W102,O102+1,P102-(O102+1)))</f>
        <v>1318</v>
      </c>
      <c r="I102" s="6">
        <f>VALUE(MID($W102,P102+1,Q102-(P102+1)))</f>
        <v>3170</v>
      </c>
      <c r="J102" s="6">
        <f>VALUE(MID($W102,Q102+1,R102-(Q102+1)))</f>
        <v>4740</v>
      </c>
      <c r="K102" s="4">
        <f>VALUE(MID(W102,R102+1,LEN(W102)-(R102)))</f>
        <v>4495</v>
      </c>
      <c r="L102" s="4">
        <f>SEARCH(",",W102,X102)</f>
        <v>15</v>
      </c>
      <c r="M102" s="4">
        <f>SEARCH(",",$W102,L102+1)</f>
        <v>21</v>
      </c>
      <c r="N102" s="4">
        <f>SEARCH(",",$W102,M102+1)</f>
        <v>27</v>
      </c>
      <c r="O102" s="4">
        <f>SEARCH(",",$W102,N102+1)</f>
        <v>32</v>
      </c>
      <c r="P102" s="4">
        <f>SEARCH(",",$W102,O102+1)</f>
        <v>38</v>
      </c>
      <c r="Q102" s="4">
        <f>SEARCH(",",$W102,P102+1)</f>
        <v>44</v>
      </c>
      <c r="R102" s="4">
        <f>SEARCH(",",$W102,Q102+1)</f>
        <v>50</v>
      </c>
      <c r="T102" t="s">
        <v>800</v>
      </c>
      <c r="U102">
        <f>SEARCH(":",T102)</f>
        <v>6</v>
      </c>
      <c r="V102" t="str">
        <f>MID(T102,U102+1,LEN(T102)-(U102))</f>
        <v xml:space="preserve"> 791426 ** -323, -780, 4399, 325, 1318, 3170, 4740, 4495</v>
      </c>
      <c r="W102" t="str">
        <f>TRIM(V102)</f>
        <v>791426 ** -323, -780, 4399, 325, 1318, 3170, 4740, 4495</v>
      </c>
      <c r="X102">
        <f>SEARCH("~*",W102)</f>
        <v>8</v>
      </c>
      <c r="Y102" t="str">
        <f>LEFT(W102,X102-1)</f>
        <v xml:space="preserve">791426 </v>
      </c>
      <c r="AA102" t="str">
        <f>CONCATENATE(A102,",",D102,",",E102,",",F102,",",G102,",",H102,",",I102,",",J102,",",K102)</f>
        <v>791426,-323,-780,4399,325,1318,3170,4740,4495</v>
      </c>
    </row>
    <row r="103" spans="1:27">
      <c r="A103" s="1">
        <f>IF(ISBLANK(T103),"",VALUE(Y103))</f>
        <v>770147</v>
      </c>
      <c r="B103" s="1">
        <f>A103*4/10 -18</f>
        <v>308040.8</v>
      </c>
      <c r="C103" s="3">
        <f>B103/7000000</f>
        <v>4.4005828571428568E-2</v>
      </c>
      <c r="D103" s="6">
        <f>VALUE(MID(W103,$X103+2,L103-(X103+2)))</f>
        <v>-324</v>
      </c>
      <c r="E103" s="6">
        <f>VALUE(MID($W103,L103+1,M103-(L103+1)))</f>
        <v>-777</v>
      </c>
      <c r="F103" s="6">
        <f>VALUE(MID($W103,M103+1,N103-(M103+1)))</f>
        <v>4399</v>
      </c>
      <c r="G103" s="6">
        <f>VALUE(MID($W103,N103+1,O103-(N103+1)))</f>
        <v>329</v>
      </c>
      <c r="H103" s="6">
        <f>VALUE(MID($W103,O103+1,P103-(O103+1)))</f>
        <v>1313</v>
      </c>
      <c r="I103" s="6">
        <f>VALUE(MID($W103,P103+1,Q103-(P103+1)))</f>
        <v>3171</v>
      </c>
      <c r="J103" s="6">
        <f>VALUE(MID($W103,Q103+1,R103-(Q103+1)))</f>
        <v>4744</v>
      </c>
      <c r="K103" s="4">
        <f>VALUE(MID(W103,R103+1,LEN(W103)-(R103)))</f>
        <v>4492</v>
      </c>
      <c r="L103" s="4">
        <f>SEARCH(",",W103,X103)</f>
        <v>15</v>
      </c>
      <c r="M103" s="4">
        <f>SEARCH(",",$W103,L103+1)</f>
        <v>21</v>
      </c>
      <c r="N103" s="4">
        <f>SEARCH(",",$W103,M103+1)</f>
        <v>27</v>
      </c>
      <c r="O103" s="4">
        <f>SEARCH(",",$W103,N103+1)</f>
        <v>32</v>
      </c>
      <c r="P103" s="4">
        <f>SEARCH(",",$W103,O103+1)</f>
        <v>38</v>
      </c>
      <c r="Q103" s="4">
        <f>SEARCH(",",$W103,P103+1)</f>
        <v>44</v>
      </c>
      <c r="R103" s="4">
        <f>SEARCH(",",$W103,Q103+1)</f>
        <v>50</v>
      </c>
      <c r="T103" t="s">
        <v>828</v>
      </c>
      <c r="U103">
        <f>SEARCH(":",T103)</f>
        <v>6</v>
      </c>
      <c r="V103" t="str">
        <f>MID(T103,U103+1,LEN(T103)-(U103))</f>
        <v xml:space="preserve"> 770147 ** -324, -777, 4399, 329, 1313, 3171, 4744, 4492</v>
      </c>
      <c r="W103" t="str">
        <f>TRIM(V103)</f>
        <v>770147 ** -324, -777, 4399, 329, 1313, 3171, 4744, 4492</v>
      </c>
      <c r="X103">
        <f>SEARCH("~*",W103)</f>
        <v>8</v>
      </c>
      <c r="Y103" t="str">
        <f>LEFT(W103,X103-1)</f>
        <v xml:space="preserve">770147 </v>
      </c>
      <c r="AA103" t="str">
        <f>CONCATENATE(A103,",",D103,",",E103,",",F103,",",G103,",",H103,",",I103,",",J103,",",K103)</f>
        <v>770147,-324,-777,4399,329,1313,3171,4744,4492</v>
      </c>
    </row>
    <row r="104" spans="1:27">
      <c r="A104" s="1">
        <f>IF(ISBLANK(T104),"",VALUE(Y104))</f>
        <v>764958</v>
      </c>
      <c r="B104" s="1">
        <f>A104*4/10 -18</f>
        <v>305965.2</v>
      </c>
      <c r="C104" s="3">
        <f>B104/7000000</f>
        <v>4.3709314285714285E-2</v>
      </c>
      <c r="D104" s="6">
        <f>VALUE(MID(W104,$X104+2,L104-(X104+2)))</f>
        <v>-322</v>
      </c>
      <c r="E104" s="6">
        <f>VALUE(MID($W104,L104+1,M104-(L104+1)))</f>
        <v>-777</v>
      </c>
      <c r="F104" s="6">
        <f>VALUE(MID($W104,M104+1,N104-(M104+1)))</f>
        <v>4406</v>
      </c>
      <c r="G104" s="6">
        <f>VALUE(MID($W104,N104+1,O104-(N104+1)))</f>
        <v>329</v>
      </c>
      <c r="H104" s="6">
        <f>VALUE(MID($W104,O104+1,P104-(O104+1)))</f>
        <v>1316</v>
      </c>
      <c r="I104" s="6">
        <f>VALUE(MID($W104,P104+1,Q104-(P104+1)))</f>
        <v>3170</v>
      </c>
      <c r="J104" s="6">
        <f>VALUE(MID($W104,Q104+1,R104-(Q104+1)))</f>
        <v>4742</v>
      </c>
      <c r="K104" s="4">
        <f>VALUE(MID(W104,R104+1,LEN(W104)-(R104)))</f>
        <v>4495</v>
      </c>
      <c r="L104" s="4">
        <f>SEARCH(",",W104,X104)</f>
        <v>15</v>
      </c>
      <c r="M104" s="4">
        <f>SEARCH(",",$W104,L104+1)</f>
        <v>21</v>
      </c>
      <c r="N104" s="4">
        <f>SEARCH(",",$W104,M104+1)</f>
        <v>27</v>
      </c>
      <c r="O104" s="4">
        <f>SEARCH(",",$W104,N104+1)</f>
        <v>32</v>
      </c>
      <c r="P104" s="4">
        <f>SEARCH(",",$W104,O104+1)</f>
        <v>38</v>
      </c>
      <c r="Q104" s="4">
        <f>SEARCH(",",$W104,P104+1)</f>
        <v>44</v>
      </c>
      <c r="R104" s="4">
        <f>SEARCH(",",$W104,Q104+1)</f>
        <v>50</v>
      </c>
      <c r="T104" t="s">
        <v>654</v>
      </c>
      <c r="U104">
        <f>SEARCH(":",T104)</f>
        <v>6</v>
      </c>
      <c r="V104" t="str">
        <f>MID(T104,U104+1,LEN(T104)-(U104))</f>
        <v xml:space="preserve"> 764958 ** -322, -777, 4406, 329, 1316, 3170, 4742, 4495</v>
      </c>
      <c r="W104" t="str">
        <f>TRIM(V104)</f>
        <v>764958 ** -322, -777, 4406, 329, 1316, 3170, 4742, 4495</v>
      </c>
      <c r="X104">
        <f>SEARCH("~*",W104)</f>
        <v>8</v>
      </c>
      <c r="Y104" t="str">
        <f>LEFT(W104,X104-1)</f>
        <v xml:space="preserve">764958 </v>
      </c>
      <c r="AA104" t="str">
        <f>CONCATENATE(A104,",",D104,",",E104,",",F104,",",G104,",",H104,",",I104,",",J104,",",K104)</f>
        <v>764958,-322,-777,4406,329,1316,3170,4742,4495</v>
      </c>
    </row>
    <row r="105" spans="1:27">
      <c r="A105" s="1">
        <f>IF(ISBLANK(T105),"",VALUE(Y105))</f>
        <v>763429</v>
      </c>
      <c r="B105" s="1">
        <f>A105*4/10 -18</f>
        <v>305353.59999999998</v>
      </c>
      <c r="C105" s="3">
        <f>B105/7000000</f>
        <v>4.3621942857142854E-2</v>
      </c>
      <c r="D105" s="6">
        <f>VALUE(MID(W105,$X105+2,L105-(X105+2)))</f>
        <v>-324</v>
      </c>
      <c r="E105" s="6">
        <f>VALUE(MID($W105,L105+1,M105-(L105+1)))</f>
        <v>-778</v>
      </c>
      <c r="F105" s="6">
        <f>VALUE(MID($W105,M105+1,N105-(M105+1)))</f>
        <v>4401</v>
      </c>
      <c r="G105" s="6">
        <f>VALUE(MID($W105,N105+1,O105-(N105+1)))</f>
        <v>328</v>
      </c>
      <c r="H105" s="6">
        <f>VALUE(MID($W105,O105+1,P105-(O105+1)))</f>
        <v>1319</v>
      </c>
      <c r="I105" s="6">
        <f>VALUE(MID($W105,P105+1,Q105-(P105+1)))</f>
        <v>3175</v>
      </c>
      <c r="J105" s="6">
        <f>VALUE(MID($W105,Q105+1,R105-(Q105+1)))</f>
        <v>4743</v>
      </c>
      <c r="K105" s="4">
        <f>VALUE(MID(W105,R105+1,LEN(W105)-(R105)))</f>
        <v>4497</v>
      </c>
      <c r="L105" s="4">
        <f>SEARCH(",",W105,X105)</f>
        <v>15</v>
      </c>
      <c r="M105" s="4">
        <f>SEARCH(",",$W105,L105+1)</f>
        <v>21</v>
      </c>
      <c r="N105" s="4">
        <f>SEARCH(",",$W105,M105+1)</f>
        <v>27</v>
      </c>
      <c r="O105" s="4">
        <f>SEARCH(",",$W105,N105+1)</f>
        <v>32</v>
      </c>
      <c r="P105" s="4">
        <f>SEARCH(",",$W105,O105+1)</f>
        <v>38</v>
      </c>
      <c r="Q105" s="4">
        <f>SEARCH(",",$W105,P105+1)</f>
        <v>44</v>
      </c>
      <c r="R105" s="4">
        <f>SEARCH(",",$W105,Q105+1)</f>
        <v>50</v>
      </c>
      <c r="T105" t="s">
        <v>693</v>
      </c>
      <c r="U105">
        <f>SEARCH(":",T105)</f>
        <v>6</v>
      </c>
      <c r="V105" t="str">
        <f>MID(T105,U105+1,LEN(T105)-(U105))</f>
        <v xml:space="preserve"> 763429 ** -324, -778, 4401, 328, 1319, 3175, 4743, 4497</v>
      </c>
      <c r="W105" t="str">
        <f>TRIM(V105)</f>
        <v>763429 ** -324, -778, 4401, 328, 1319, 3175, 4743, 4497</v>
      </c>
      <c r="X105">
        <f>SEARCH("~*",W105)</f>
        <v>8</v>
      </c>
      <c r="Y105" t="str">
        <f>LEFT(W105,X105-1)</f>
        <v xml:space="preserve">763429 </v>
      </c>
      <c r="AA105" t="str">
        <f>CONCATENATE(A105,",",D105,",",E105,",",F105,",",G105,",",H105,",",I105,",",J105,",",K105)</f>
        <v>763429,-324,-778,4401,328,1319,3175,4743,4497</v>
      </c>
    </row>
    <row r="106" spans="1:27">
      <c r="A106" s="1">
        <f>IF(ISBLANK(T106),"",VALUE(Y106))</f>
        <v>758804</v>
      </c>
      <c r="B106" s="1">
        <f>A106*4/10 -18</f>
        <v>303503.59999999998</v>
      </c>
      <c r="C106" s="3">
        <f>B106/7000000</f>
        <v>4.3357657142857137E-2</v>
      </c>
      <c r="D106" s="6">
        <f>VALUE(MID(W106,$X106+2,L106-(X106+2)))</f>
        <v>-324</v>
      </c>
      <c r="E106" s="6">
        <f>VALUE(MID($W106,L106+1,M106-(L106+1)))</f>
        <v>-776</v>
      </c>
      <c r="F106" s="6">
        <f>VALUE(MID($W106,M106+1,N106-(M106+1)))</f>
        <v>4400</v>
      </c>
      <c r="G106" s="6">
        <f>VALUE(MID($W106,N106+1,O106-(N106+1)))</f>
        <v>324</v>
      </c>
      <c r="H106" s="6">
        <f>VALUE(MID($W106,O106+1,P106-(O106+1)))</f>
        <v>1314</v>
      </c>
      <c r="I106" s="6">
        <f>VALUE(MID($W106,P106+1,Q106-(P106+1)))</f>
        <v>3172</v>
      </c>
      <c r="J106" s="6">
        <f>VALUE(MID($W106,Q106+1,R106-(Q106+1)))</f>
        <v>4746</v>
      </c>
      <c r="K106" s="4">
        <f>VALUE(MID(W106,R106+1,LEN(W106)-(R106)))</f>
        <v>4497</v>
      </c>
      <c r="L106" s="4">
        <f>SEARCH(",",W106,X106)</f>
        <v>15</v>
      </c>
      <c r="M106" s="4">
        <f>SEARCH(",",$W106,L106+1)</f>
        <v>21</v>
      </c>
      <c r="N106" s="4">
        <f>SEARCH(",",$W106,M106+1)</f>
        <v>27</v>
      </c>
      <c r="O106" s="4">
        <f>SEARCH(",",$W106,N106+1)</f>
        <v>32</v>
      </c>
      <c r="P106" s="4">
        <f>SEARCH(",",$W106,O106+1)</f>
        <v>38</v>
      </c>
      <c r="Q106" s="4">
        <f>SEARCH(",",$W106,P106+1)</f>
        <v>44</v>
      </c>
      <c r="R106" s="4">
        <f>SEARCH(",",$W106,Q106+1)</f>
        <v>50</v>
      </c>
      <c r="T106" t="s">
        <v>674</v>
      </c>
      <c r="U106">
        <f>SEARCH(":",T106)</f>
        <v>6</v>
      </c>
      <c r="V106" t="str">
        <f>MID(T106,U106+1,LEN(T106)-(U106))</f>
        <v xml:space="preserve"> 758804 ** -324, -776, 4400, 324, 1314, 3172, 4746, 4497</v>
      </c>
      <c r="W106" t="str">
        <f>TRIM(V106)</f>
        <v>758804 ** -324, -776, 4400, 324, 1314, 3172, 4746, 4497</v>
      </c>
      <c r="X106">
        <f>SEARCH("~*",W106)</f>
        <v>8</v>
      </c>
      <c r="Y106" t="str">
        <f>LEFT(W106,X106-1)</f>
        <v xml:space="preserve">758804 </v>
      </c>
      <c r="AA106" t="str">
        <f>CONCATENATE(A106,",",D106,",",E106,",",F106,",",G106,",",H106,",",I106,",",J106,",",K106)</f>
        <v>758804,-324,-776,4400,324,1314,3172,4746,4497</v>
      </c>
    </row>
    <row r="107" spans="1:27">
      <c r="A107" s="1">
        <f>IF(ISBLANK(T107),"",VALUE(Y107))</f>
        <v>737014</v>
      </c>
      <c r="B107" s="1">
        <f>A107*4/10 -18</f>
        <v>294787.59999999998</v>
      </c>
      <c r="C107" s="3">
        <f>B107/7000000</f>
        <v>4.2112514285714282E-2</v>
      </c>
      <c r="D107" s="6">
        <f>VALUE(MID(W107,$X107+2,L107-(X107+2)))</f>
        <v>-318</v>
      </c>
      <c r="E107" s="6">
        <f>VALUE(MID($W107,L107+1,M107-(L107+1)))</f>
        <v>-775</v>
      </c>
      <c r="F107" s="6">
        <f>VALUE(MID($W107,M107+1,N107-(M107+1)))</f>
        <v>4406</v>
      </c>
      <c r="G107" s="6">
        <f>VALUE(MID($W107,N107+1,O107-(N107+1)))</f>
        <v>323</v>
      </c>
      <c r="H107" s="6">
        <f>VALUE(MID($W107,O107+1,P107-(O107+1)))</f>
        <v>1316</v>
      </c>
      <c r="I107" s="6">
        <f>VALUE(MID($W107,P107+1,Q107-(P107+1)))</f>
        <v>3170</v>
      </c>
      <c r="J107" s="6">
        <f>VALUE(MID($W107,Q107+1,R107-(Q107+1)))</f>
        <v>4746</v>
      </c>
      <c r="K107" s="4">
        <f>VALUE(MID(W107,R107+1,LEN(W107)-(R107)))</f>
        <v>4496</v>
      </c>
      <c r="L107" s="4">
        <f>SEARCH(",",W107,X107)</f>
        <v>15</v>
      </c>
      <c r="M107" s="4">
        <f>SEARCH(",",$W107,L107+1)</f>
        <v>21</v>
      </c>
      <c r="N107" s="4">
        <f>SEARCH(",",$W107,M107+1)</f>
        <v>27</v>
      </c>
      <c r="O107" s="4">
        <f>SEARCH(",",$W107,N107+1)</f>
        <v>32</v>
      </c>
      <c r="P107" s="4">
        <f>SEARCH(",",$W107,O107+1)</f>
        <v>38</v>
      </c>
      <c r="Q107" s="4">
        <f>SEARCH(",",$W107,P107+1)</f>
        <v>44</v>
      </c>
      <c r="R107" s="4">
        <f>SEARCH(",",$W107,Q107+1)</f>
        <v>50</v>
      </c>
      <c r="T107" t="s">
        <v>792</v>
      </c>
      <c r="U107">
        <f>SEARCH(":",T107)</f>
        <v>6</v>
      </c>
      <c r="V107" t="str">
        <f>MID(T107,U107+1,LEN(T107)-(U107))</f>
        <v xml:space="preserve"> 737014 ** -318, -775, 4406, 323, 1316, 3170, 4746, 4496</v>
      </c>
      <c r="W107" t="str">
        <f>TRIM(V107)</f>
        <v>737014 ** -318, -775, 4406, 323, 1316, 3170, 4746, 4496</v>
      </c>
      <c r="X107">
        <f>SEARCH("~*",W107)</f>
        <v>8</v>
      </c>
      <c r="Y107" t="str">
        <f>LEFT(W107,X107-1)</f>
        <v xml:space="preserve">737014 </v>
      </c>
      <c r="AA107" t="str">
        <f>CONCATENATE(A107,",",D107,",",E107,",",F107,",",G107,",",H107,",",I107,",",J107,",",K107)</f>
        <v>737014,-318,-775,4406,323,1316,3170,4746,4496</v>
      </c>
    </row>
    <row r="108" spans="1:27">
      <c r="A108" s="1">
        <f>IF(ISBLANK(T108),"",VALUE(Y108))</f>
        <v>727182</v>
      </c>
      <c r="B108" s="1">
        <f>A108*4/10 -18</f>
        <v>290854.8</v>
      </c>
      <c r="C108" s="3">
        <f>B108/7000000</f>
        <v>4.1550685714285711E-2</v>
      </c>
      <c r="D108" s="6">
        <f>VALUE(MID(W108,$X108+2,L108-(X108+2)))</f>
        <v>-321</v>
      </c>
      <c r="E108" s="6">
        <f>VALUE(MID($W108,L108+1,M108-(L108+1)))</f>
        <v>-778</v>
      </c>
      <c r="F108" s="6">
        <f>VALUE(MID($W108,M108+1,N108-(M108+1)))</f>
        <v>4400</v>
      </c>
      <c r="G108" s="6">
        <f>VALUE(MID($W108,N108+1,O108-(N108+1)))</f>
        <v>323</v>
      </c>
      <c r="H108" s="6">
        <f>VALUE(MID($W108,O108+1,P108-(O108+1)))</f>
        <v>1315</v>
      </c>
      <c r="I108" s="6">
        <f>VALUE(MID($W108,P108+1,Q108-(P108+1)))</f>
        <v>3169</v>
      </c>
      <c r="J108" s="6">
        <f>VALUE(MID($W108,Q108+1,R108-(Q108+1)))</f>
        <v>4743</v>
      </c>
      <c r="K108" s="4">
        <f>VALUE(MID(W108,R108+1,LEN(W108)-(R108)))</f>
        <v>4491</v>
      </c>
      <c r="L108" s="4">
        <f>SEARCH(",",W108,X108)</f>
        <v>15</v>
      </c>
      <c r="M108" s="4">
        <f>SEARCH(",",$W108,L108+1)</f>
        <v>21</v>
      </c>
      <c r="N108" s="4">
        <f>SEARCH(",",$W108,M108+1)</f>
        <v>27</v>
      </c>
      <c r="O108" s="4">
        <f>SEARCH(",",$W108,N108+1)</f>
        <v>32</v>
      </c>
      <c r="P108" s="4">
        <f>SEARCH(",",$W108,O108+1)</f>
        <v>38</v>
      </c>
      <c r="Q108" s="4">
        <f>SEARCH(",",$W108,P108+1)</f>
        <v>44</v>
      </c>
      <c r="R108" s="4">
        <f>SEARCH(",",$W108,Q108+1)</f>
        <v>50</v>
      </c>
      <c r="T108" t="s">
        <v>646</v>
      </c>
      <c r="U108">
        <f>SEARCH(":",T108)</f>
        <v>6</v>
      </c>
      <c r="V108" t="str">
        <f>MID(T108,U108+1,LEN(T108)-(U108))</f>
        <v xml:space="preserve"> 727182 ** -321, -778, 4400, 323, 1315, 3169, 4743, 4491</v>
      </c>
      <c r="W108" t="str">
        <f>TRIM(V108)</f>
        <v>727182 ** -321, -778, 4400, 323, 1315, 3169, 4743, 4491</v>
      </c>
      <c r="X108">
        <f>SEARCH("~*",W108)</f>
        <v>8</v>
      </c>
      <c r="Y108" t="str">
        <f>LEFT(W108,X108-1)</f>
        <v xml:space="preserve">727182 </v>
      </c>
      <c r="AA108" t="str">
        <f>CONCATENATE(A108,",",D108,",",E108,",",F108,",",G108,",",H108,",",I108,",",J108,",",K108)</f>
        <v>727182,-321,-778,4400,323,1315,3169,4743,4491</v>
      </c>
    </row>
    <row r="109" spans="1:27">
      <c r="A109" s="1">
        <f>IF(ISBLANK(T109),"",VALUE(Y109))</f>
        <v>723933</v>
      </c>
      <c r="B109" s="1">
        <f>A109*4/10 -18</f>
        <v>289555.20000000001</v>
      </c>
      <c r="C109" s="3">
        <f>B109/7000000</f>
        <v>4.1365028571428576E-2</v>
      </c>
      <c r="D109" s="6">
        <f>VALUE(MID(W109,$X109+2,L109-(X109+2)))</f>
        <v>-318</v>
      </c>
      <c r="E109" s="6">
        <f>VALUE(MID($W109,L109+1,M109-(L109+1)))</f>
        <v>-781</v>
      </c>
      <c r="F109" s="6">
        <f>VALUE(MID($W109,M109+1,N109-(M109+1)))</f>
        <v>4407</v>
      </c>
      <c r="G109" s="6">
        <f>VALUE(MID($W109,N109+1,O109-(N109+1)))</f>
        <v>325</v>
      </c>
      <c r="H109" s="6">
        <f>VALUE(MID($W109,O109+1,P109-(O109+1)))</f>
        <v>1315</v>
      </c>
      <c r="I109" s="6">
        <f>VALUE(MID($W109,P109+1,Q109-(P109+1)))</f>
        <v>3172</v>
      </c>
      <c r="J109" s="6">
        <f>VALUE(MID($W109,Q109+1,R109-(Q109+1)))</f>
        <v>4740</v>
      </c>
      <c r="K109" s="4">
        <f>VALUE(MID(W109,R109+1,LEN(W109)-(R109)))</f>
        <v>4493</v>
      </c>
      <c r="L109" s="4">
        <f>SEARCH(",",W109,X109)</f>
        <v>15</v>
      </c>
      <c r="M109" s="4">
        <f>SEARCH(",",$W109,L109+1)</f>
        <v>21</v>
      </c>
      <c r="N109" s="4">
        <f>SEARCH(",",$W109,M109+1)</f>
        <v>27</v>
      </c>
      <c r="O109" s="4">
        <f>SEARCH(",",$W109,N109+1)</f>
        <v>32</v>
      </c>
      <c r="P109" s="4">
        <f>SEARCH(",",$W109,O109+1)</f>
        <v>38</v>
      </c>
      <c r="Q109" s="4">
        <f>SEARCH(",",$W109,P109+1)</f>
        <v>44</v>
      </c>
      <c r="R109" s="4">
        <f>SEARCH(",",$W109,Q109+1)</f>
        <v>50</v>
      </c>
      <c r="T109" t="s">
        <v>604</v>
      </c>
      <c r="U109">
        <f>SEARCH(":",T109)</f>
        <v>6</v>
      </c>
      <c r="V109" t="str">
        <f>MID(T109,U109+1,LEN(T109)-(U109))</f>
        <v xml:space="preserve"> 723933 ** -318, -781, 4407, 325, 1315, 3172, 4740, 4493</v>
      </c>
      <c r="W109" t="str">
        <f>TRIM(V109)</f>
        <v>723933 ** -318, -781, 4407, 325, 1315, 3172, 4740, 4493</v>
      </c>
      <c r="X109">
        <f>SEARCH("~*",W109)</f>
        <v>8</v>
      </c>
      <c r="Y109" t="str">
        <f>LEFT(W109,X109-1)</f>
        <v xml:space="preserve">723933 </v>
      </c>
      <c r="AA109" t="str">
        <f>CONCATENATE(A109,",",D109,",",E109,",",F109,",",G109,",",H109,",",I109,",",J109,",",K109)</f>
        <v>723933,-318,-781,4407,325,1315,3172,4740,4493</v>
      </c>
    </row>
    <row r="110" spans="1:27">
      <c r="A110" s="1">
        <f>IF(ISBLANK(T110),"",VALUE(Y110))</f>
        <v>700246</v>
      </c>
      <c r="B110" s="1">
        <f>A110*4/10 -18</f>
        <v>280080.40000000002</v>
      </c>
      <c r="C110" s="3">
        <f>B110/7000000</f>
        <v>4.001148571428572E-2</v>
      </c>
      <c r="D110" s="6">
        <f>VALUE(MID(W110,$X110+2,L110-(X110+2)))</f>
        <v>-316</v>
      </c>
      <c r="E110" s="6">
        <f>VALUE(MID($W110,L110+1,M110-(L110+1)))</f>
        <v>-773</v>
      </c>
      <c r="F110" s="6">
        <f>VALUE(MID($W110,M110+1,N110-(M110+1)))</f>
        <v>4399</v>
      </c>
      <c r="G110" s="6">
        <f>VALUE(MID($W110,N110+1,O110-(N110+1)))</f>
        <v>327</v>
      </c>
      <c r="H110" s="6">
        <f>VALUE(MID($W110,O110+1,P110-(O110+1)))</f>
        <v>1315</v>
      </c>
      <c r="I110" s="6">
        <f>VALUE(MID($W110,P110+1,Q110-(P110+1)))</f>
        <v>3169</v>
      </c>
      <c r="J110" s="6">
        <f>VALUE(MID($W110,Q110+1,R110-(Q110+1)))</f>
        <v>4739</v>
      </c>
      <c r="K110" s="4">
        <f>VALUE(MID(W110,R110+1,LEN(W110)-(R110)))</f>
        <v>4492</v>
      </c>
      <c r="L110" s="4">
        <f>SEARCH(",",W110,X110)</f>
        <v>15</v>
      </c>
      <c r="M110" s="4">
        <f>SEARCH(",",$W110,L110+1)</f>
        <v>21</v>
      </c>
      <c r="N110" s="4">
        <f>SEARCH(",",$W110,M110+1)</f>
        <v>27</v>
      </c>
      <c r="O110" s="4">
        <f>SEARCH(",",$W110,N110+1)</f>
        <v>32</v>
      </c>
      <c r="P110" s="4">
        <f>SEARCH(",",$W110,O110+1)</f>
        <v>38</v>
      </c>
      <c r="Q110" s="4">
        <f>SEARCH(",",$W110,P110+1)</f>
        <v>44</v>
      </c>
      <c r="R110" s="4">
        <f>SEARCH(",",$W110,Q110+1)</f>
        <v>50</v>
      </c>
      <c r="T110" t="s">
        <v>612</v>
      </c>
      <c r="U110">
        <f>SEARCH(":",T110)</f>
        <v>6</v>
      </c>
      <c r="V110" t="str">
        <f>MID(T110,U110+1,LEN(T110)-(U110))</f>
        <v xml:space="preserve"> 700246 ** -316, -773, 4399, 327, 1315, 3169, 4739, 4492</v>
      </c>
      <c r="W110" t="str">
        <f>TRIM(V110)</f>
        <v>700246 ** -316, -773, 4399, 327, 1315, 3169, 4739, 4492</v>
      </c>
      <c r="X110">
        <f>SEARCH("~*",W110)</f>
        <v>8</v>
      </c>
      <c r="Y110" t="str">
        <f>LEFT(W110,X110-1)</f>
        <v xml:space="preserve">700246 </v>
      </c>
      <c r="AA110" t="str">
        <f>CONCATENATE(A110,",",D110,",",E110,",",F110,",",G110,",",H110,",",I110,",",J110,",",K110)</f>
        <v>700246,-316,-773,4399,327,1315,3169,4739,4492</v>
      </c>
    </row>
    <row r="111" spans="1:27">
      <c r="A111" s="1">
        <f>IF(ISBLANK(T111),"",VALUE(Y111))</f>
        <v>695624</v>
      </c>
      <c r="B111" s="1">
        <f>A111*4/10 -18</f>
        <v>278231.59999999998</v>
      </c>
      <c r="C111" s="3">
        <f>B111/7000000</f>
        <v>3.9747371428571425E-2</v>
      </c>
      <c r="D111" s="6">
        <f>VALUE(MID(W111,$X111+2,L111-(X111+2)))</f>
        <v>-324</v>
      </c>
      <c r="E111" s="6">
        <f>VALUE(MID($W111,L111+1,M111-(L111+1)))</f>
        <v>-780</v>
      </c>
      <c r="F111" s="6">
        <f>VALUE(MID($W111,M111+1,N111-(M111+1)))</f>
        <v>4403</v>
      </c>
      <c r="G111" s="6">
        <f>VALUE(MID($W111,N111+1,O111-(N111+1)))</f>
        <v>327</v>
      </c>
      <c r="H111" s="6">
        <f>VALUE(MID($W111,O111+1,P111-(O111+1)))</f>
        <v>1316</v>
      </c>
      <c r="I111" s="6">
        <f>VALUE(MID($W111,P111+1,Q111-(P111+1)))</f>
        <v>3172</v>
      </c>
      <c r="J111" s="6">
        <f>VALUE(MID($W111,Q111+1,R111-(Q111+1)))</f>
        <v>4740</v>
      </c>
      <c r="K111" s="4">
        <f>VALUE(MID(W111,R111+1,LEN(W111)-(R111)))</f>
        <v>4491</v>
      </c>
      <c r="L111" s="4">
        <f>SEARCH(",",W111,X111)</f>
        <v>15</v>
      </c>
      <c r="M111" s="4">
        <f>SEARCH(",",$W111,L111+1)</f>
        <v>21</v>
      </c>
      <c r="N111" s="4">
        <f>SEARCH(",",$W111,M111+1)</f>
        <v>27</v>
      </c>
      <c r="O111" s="4">
        <f>SEARCH(",",$W111,N111+1)</f>
        <v>32</v>
      </c>
      <c r="P111" s="4">
        <f>SEARCH(",",$W111,O111+1)</f>
        <v>38</v>
      </c>
      <c r="Q111" s="4">
        <f>SEARCH(",",$W111,P111+1)</f>
        <v>44</v>
      </c>
      <c r="R111" s="4">
        <f>SEARCH(",",$W111,Q111+1)</f>
        <v>50</v>
      </c>
      <c r="T111" t="s">
        <v>772</v>
      </c>
      <c r="U111">
        <f>SEARCH(":",T111)</f>
        <v>6</v>
      </c>
      <c r="V111" t="str">
        <f>MID(T111,U111+1,LEN(T111)-(U111))</f>
        <v xml:space="preserve"> 695624 ** -324, -780, 4403, 327, 1316, 3172, 4740, 4491</v>
      </c>
      <c r="W111" t="str">
        <f>TRIM(V111)</f>
        <v>695624 ** -324, -780, 4403, 327, 1316, 3172, 4740, 4491</v>
      </c>
      <c r="X111">
        <f>SEARCH("~*",W111)</f>
        <v>8</v>
      </c>
      <c r="Y111" t="str">
        <f>LEFT(W111,X111-1)</f>
        <v xml:space="preserve">695624 </v>
      </c>
      <c r="AA111" t="str">
        <f>CONCATENATE(A111,",",D111,",",E111,",",F111,",",G111,",",H111,",",I111,",",J111,",",K111)</f>
        <v>695624,-324,-780,4403,327,1316,3172,4740,4491</v>
      </c>
    </row>
    <row r="112" spans="1:27">
      <c r="A112" s="1">
        <f>IF(ISBLANK(T112),"",VALUE(Y112))</f>
        <v>690552</v>
      </c>
      <c r="B112" s="1">
        <f>A112*4/10 -18</f>
        <v>276202.8</v>
      </c>
      <c r="C112" s="3">
        <f>B112/7000000</f>
        <v>3.9457542857142855E-2</v>
      </c>
      <c r="D112" s="6">
        <f>VALUE(MID(W112,$X112+2,L112-(X112+2)))</f>
        <v>-320</v>
      </c>
      <c r="E112" s="6">
        <f>VALUE(MID($W112,L112+1,M112-(L112+1)))</f>
        <v>-775</v>
      </c>
      <c r="F112" s="6">
        <f>VALUE(MID($W112,M112+1,N112-(M112+1)))</f>
        <v>4401</v>
      </c>
      <c r="G112" s="6">
        <f>VALUE(MID($W112,N112+1,O112-(N112+1)))</f>
        <v>324</v>
      </c>
      <c r="H112" s="6">
        <f>VALUE(MID($W112,O112+1,P112-(O112+1)))</f>
        <v>1312</v>
      </c>
      <c r="I112" s="6">
        <f>VALUE(MID($W112,P112+1,Q112-(P112+1)))</f>
        <v>3166</v>
      </c>
      <c r="J112" s="6">
        <f>VALUE(MID($W112,Q112+1,R112-(Q112+1)))</f>
        <v>4743</v>
      </c>
      <c r="K112" s="4">
        <f>VALUE(MID(W112,R112+1,LEN(W112)-(R112)))</f>
        <v>4495</v>
      </c>
      <c r="L112" s="4">
        <f>SEARCH(",",W112,X112)</f>
        <v>15</v>
      </c>
      <c r="M112" s="4">
        <f>SEARCH(",",$W112,L112+1)</f>
        <v>21</v>
      </c>
      <c r="N112" s="4">
        <f>SEARCH(",",$W112,M112+1)</f>
        <v>27</v>
      </c>
      <c r="O112" s="4">
        <f>SEARCH(",",$W112,N112+1)</f>
        <v>32</v>
      </c>
      <c r="P112" s="4">
        <f>SEARCH(",",$W112,O112+1)</f>
        <v>38</v>
      </c>
      <c r="Q112" s="4">
        <f>SEARCH(",",$W112,P112+1)</f>
        <v>44</v>
      </c>
      <c r="R112" s="4">
        <f>SEARCH(",",$W112,Q112+1)</f>
        <v>50</v>
      </c>
      <c r="T112" t="s">
        <v>618</v>
      </c>
      <c r="U112">
        <f>SEARCH(":",T112)</f>
        <v>6</v>
      </c>
      <c r="V112" t="str">
        <f>MID(T112,U112+1,LEN(T112)-(U112))</f>
        <v xml:space="preserve"> 690552 ** -320, -775, 4401, 324, 1312, 3166, 4743, 4495</v>
      </c>
      <c r="W112" t="str">
        <f>TRIM(V112)</f>
        <v>690552 ** -320, -775, 4401, 324, 1312, 3166, 4743, 4495</v>
      </c>
      <c r="X112">
        <f>SEARCH("~*",W112)</f>
        <v>8</v>
      </c>
      <c r="Y112" t="str">
        <f>LEFT(W112,X112-1)</f>
        <v xml:space="preserve">690552 </v>
      </c>
      <c r="AA112" t="str">
        <f>CONCATENATE(A112,",",D112,",",E112,",",F112,",",G112,",",H112,",",I112,",",J112,",",K112)</f>
        <v>690552,-320,-775,4401,324,1312,3166,4743,4495</v>
      </c>
    </row>
    <row r="113" spans="1:27">
      <c r="A113" s="1">
        <f>IF(ISBLANK(T113),"",VALUE(Y113))</f>
        <v>687662</v>
      </c>
      <c r="B113" s="1">
        <f>A113*4/10 -18</f>
        <v>275046.8</v>
      </c>
      <c r="C113" s="3">
        <f>B113/7000000</f>
        <v>3.9292399999999998E-2</v>
      </c>
      <c r="D113" s="6">
        <f>VALUE(MID(W113,$X113+2,L113-(X113+2)))</f>
        <v>-323</v>
      </c>
      <c r="E113" s="6">
        <f>VALUE(MID($W113,L113+1,M113-(L113+1)))</f>
        <v>-778</v>
      </c>
      <c r="F113" s="6">
        <f>VALUE(MID($W113,M113+1,N113-(M113+1)))</f>
        <v>4400</v>
      </c>
      <c r="G113" s="6">
        <f>VALUE(MID($W113,N113+1,O113-(N113+1)))</f>
        <v>324</v>
      </c>
      <c r="H113" s="6">
        <f>VALUE(MID($W113,O113+1,P113-(O113+1)))</f>
        <v>1321</v>
      </c>
      <c r="I113" s="6">
        <f>VALUE(MID($W113,P113+1,Q113-(P113+1)))</f>
        <v>3174</v>
      </c>
      <c r="J113" s="6">
        <f>VALUE(MID($W113,Q113+1,R113-(Q113+1)))</f>
        <v>4744</v>
      </c>
      <c r="K113" s="4">
        <f>VALUE(MID(W113,R113+1,LEN(W113)-(R113)))</f>
        <v>4500</v>
      </c>
      <c r="L113" s="4">
        <f>SEARCH(",",W113,X113)</f>
        <v>15</v>
      </c>
      <c r="M113" s="4">
        <f>SEARCH(",",$W113,L113+1)</f>
        <v>21</v>
      </c>
      <c r="N113" s="4">
        <f>SEARCH(",",$W113,M113+1)</f>
        <v>27</v>
      </c>
      <c r="O113" s="4">
        <f>SEARCH(",",$W113,N113+1)</f>
        <v>32</v>
      </c>
      <c r="P113" s="4">
        <f>SEARCH(",",$W113,O113+1)</f>
        <v>38</v>
      </c>
      <c r="Q113" s="4">
        <f>SEARCH(",",$W113,P113+1)</f>
        <v>44</v>
      </c>
      <c r="R113" s="4">
        <f>SEARCH(",",$W113,Q113+1)</f>
        <v>50</v>
      </c>
      <c r="T113" t="s">
        <v>598</v>
      </c>
      <c r="U113">
        <f>SEARCH(":",T113)</f>
        <v>6</v>
      </c>
      <c r="V113" t="str">
        <f>MID(T113,U113+1,LEN(T113)-(U113))</f>
        <v xml:space="preserve"> 687662 ** -323, -778, 4400, 324, 1321, 3174, 4744, 4500</v>
      </c>
      <c r="W113" t="str">
        <f>TRIM(V113)</f>
        <v>687662 ** -323, -778, 4400, 324, 1321, 3174, 4744, 4500</v>
      </c>
      <c r="X113">
        <f>SEARCH("~*",W113)</f>
        <v>8</v>
      </c>
      <c r="Y113" t="str">
        <f>LEFT(W113,X113-1)</f>
        <v xml:space="preserve">687662 </v>
      </c>
      <c r="AA113" t="str">
        <f>CONCATENATE(A113,",",D113,",",E113,",",F113,",",G113,",",H113,",",I113,",",J113,",",K113)</f>
        <v>687662,-323,-778,4400,324,1321,3174,4744,4500</v>
      </c>
    </row>
    <row r="114" spans="1:27">
      <c r="A114" s="1">
        <f>IF(ISBLANK(T114),"",VALUE(Y114))</f>
        <v>682925</v>
      </c>
      <c r="B114" s="1">
        <f>A114*4/10 -18</f>
        <v>273152</v>
      </c>
      <c r="C114" s="3">
        <f>B114/7000000</f>
        <v>3.9021714285714285E-2</v>
      </c>
      <c r="D114" s="6">
        <f>VALUE(MID(W114,$X114+2,L114-(X114+2)))</f>
        <v>-320</v>
      </c>
      <c r="E114" s="6">
        <f>VALUE(MID($W114,L114+1,M114-(L114+1)))</f>
        <v>-775</v>
      </c>
      <c r="F114" s="6">
        <f>VALUE(MID($W114,M114+1,N114-(M114+1)))</f>
        <v>4405</v>
      </c>
      <c r="G114" s="6">
        <f>VALUE(MID($W114,N114+1,O114-(N114+1)))</f>
        <v>326</v>
      </c>
      <c r="H114" s="6">
        <f>VALUE(MID($W114,O114+1,P114-(O114+1)))</f>
        <v>1315</v>
      </c>
      <c r="I114" s="6">
        <f>VALUE(MID($W114,P114+1,Q114-(P114+1)))</f>
        <v>3167</v>
      </c>
      <c r="J114" s="6">
        <f>VALUE(MID($W114,Q114+1,R114-(Q114+1)))</f>
        <v>4743</v>
      </c>
      <c r="K114" s="4">
        <f>VALUE(MID(W114,R114+1,LEN(W114)-(R114)))</f>
        <v>4492</v>
      </c>
      <c r="L114" s="4">
        <f>SEARCH(",",W114,X114)</f>
        <v>15</v>
      </c>
      <c r="M114" s="4">
        <f>SEARCH(",",$W114,L114+1)</f>
        <v>21</v>
      </c>
      <c r="N114" s="4">
        <f>SEARCH(",",$W114,M114+1)</f>
        <v>27</v>
      </c>
      <c r="O114" s="4">
        <f>SEARCH(",",$W114,N114+1)</f>
        <v>32</v>
      </c>
      <c r="P114" s="4">
        <f>SEARCH(",",$W114,O114+1)</f>
        <v>38</v>
      </c>
      <c r="Q114" s="4">
        <f>SEARCH(",",$W114,P114+1)</f>
        <v>44</v>
      </c>
      <c r="R114" s="4">
        <f>SEARCH(",",$W114,Q114+1)</f>
        <v>50</v>
      </c>
      <c r="T114" t="s">
        <v>647</v>
      </c>
      <c r="U114">
        <f>SEARCH(":",T114)</f>
        <v>6</v>
      </c>
      <c r="V114" t="str">
        <f>MID(T114,U114+1,LEN(T114)-(U114))</f>
        <v xml:space="preserve"> 682925 ** -320, -775, 4405, 326, 1315, 3167, 4743, 4492</v>
      </c>
      <c r="W114" t="str">
        <f>TRIM(V114)</f>
        <v>682925 ** -320, -775, 4405, 326, 1315, 3167, 4743, 4492</v>
      </c>
      <c r="X114">
        <f>SEARCH("~*",W114)</f>
        <v>8</v>
      </c>
      <c r="Y114" t="str">
        <f>LEFT(W114,X114-1)</f>
        <v xml:space="preserve">682925 </v>
      </c>
      <c r="AA114" t="str">
        <f>CONCATENATE(A114,",",D114,",",E114,",",F114,",",G114,",",H114,",",I114,",",J114,",",K114)</f>
        <v>682925,-320,-775,4405,326,1315,3167,4743,4492</v>
      </c>
    </row>
    <row r="115" spans="1:27">
      <c r="A115" s="1">
        <f>IF(ISBLANK(T115),"",VALUE(Y115))</f>
        <v>679252</v>
      </c>
      <c r="B115" s="1">
        <f>A115*4/10 -18</f>
        <v>271682.8</v>
      </c>
      <c r="C115" s="3">
        <f>B115/7000000</f>
        <v>3.8811828571428571E-2</v>
      </c>
      <c r="D115" s="6">
        <f>VALUE(MID(W115,$X115+2,L115-(X115+2)))</f>
        <v>-317</v>
      </c>
      <c r="E115" s="6">
        <f>VALUE(MID($W115,L115+1,M115-(L115+1)))</f>
        <v>-776</v>
      </c>
      <c r="F115" s="6">
        <f>VALUE(MID($W115,M115+1,N115-(M115+1)))</f>
        <v>4406</v>
      </c>
      <c r="G115" s="6">
        <f>VALUE(MID($W115,N115+1,O115-(N115+1)))</f>
        <v>325</v>
      </c>
      <c r="H115" s="6">
        <f>VALUE(MID($W115,O115+1,P115-(O115+1)))</f>
        <v>1315</v>
      </c>
      <c r="I115" s="6">
        <f>VALUE(MID($W115,P115+1,Q115-(P115+1)))</f>
        <v>3167</v>
      </c>
      <c r="J115" s="6">
        <f>VALUE(MID($W115,Q115+1,R115-(Q115+1)))</f>
        <v>4742</v>
      </c>
      <c r="K115" s="4">
        <f>VALUE(MID(W115,R115+1,LEN(W115)-(R115)))</f>
        <v>4495</v>
      </c>
      <c r="L115" s="4">
        <f>SEARCH(",",W115,X115)</f>
        <v>15</v>
      </c>
      <c r="M115" s="4">
        <f>SEARCH(",",$W115,L115+1)</f>
        <v>21</v>
      </c>
      <c r="N115" s="4">
        <f>SEARCH(",",$W115,M115+1)</f>
        <v>27</v>
      </c>
      <c r="O115" s="4">
        <f>SEARCH(",",$W115,N115+1)</f>
        <v>32</v>
      </c>
      <c r="P115" s="4">
        <f>SEARCH(",",$W115,O115+1)</f>
        <v>38</v>
      </c>
      <c r="Q115" s="4">
        <f>SEARCH(",",$W115,P115+1)</f>
        <v>44</v>
      </c>
      <c r="R115" s="4">
        <f>SEARCH(",",$W115,Q115+1)</f>
        <v>50</v>
      </c>
      <c r="T115" t="s">
        <v>627</v>
      </c>
      <c r="U115">
        <f>SEARCH(":",T115)</f>
        <v>6</v>
      </c>
      <c r="V115" t="str">
        <f>MID(T115,U115+1,LEN(T115)-(U115))</f>
        <v xml:space="preserve"> 679252 ** -317, -776, 4406, 325, 1315, 3167, 4742, 4495</v>
      </c>
      <c r="W115" t="str">
        <f>TRIM(V115)</f>
        <v>679252 ** -317, -776, 4406, 325, 1315, 3167, 4742, 4495</v>
      </c>
      <c r="X115">
        <f>SEARCH("~*",W115)</f>
        <v>8</v>
      </c>
      <c r="Y115" t="str">
        <f>LEFT(W115,X115-1)</f>
        <v xml:space="preserve">679252 </v>
      </c>
      <c r="AA115" t="str">
        <f>CONCATENATE(A115,",",D115,",",E115,",",F115,",",G115,",",H115,",",I115,",",J115,",",K115)</f>
        <v>679252,-317,-776,4406,325,1315,3167,4742,4495</v>
      </c>
    </row>
    <row r="116" spans="1:27">
      <c r="A116" s="1">
        <f>IF(ISBLANK(T116),"",VALUE(Y116))</f>
        <v>672375</v>
      </c>
      <c r="B116" s="1">
        <f>A116*4/10 -18</f>
        <v>268932</v>
      </c>
      <c r="C116" s="3">
        <f>B116/7000000</f>
        <v>3.8418857142857143E-2</v>
      </c>
      <c r="D116" s="6">
        <f>VALUE(MID(W116,$X116+2,L116-(X116+2)))</f>
        <v>-323</v>
      </c>
      <c r="E116" s="6">
        <f>VALUE(MID($W116,L116+1,M116-(L116+1)))</f>
        <v>-780</v>
      </c>
      <c r="F116" s="6">
        <f>VALUE(MID($W116,M116+1,N116-(M116+1)))</f>
        <v>4403</v>
      </c>
      <c r="G116" s="6">
        <f>VALUE(MID($W116,N116+1,O116-(N116+1)))</f>
        <v>326</v>
      </c>
      <c r="H116" s="6">
        <f>VALUE(MID($W116,O116+1,P116-(O116+1)))</f>
        <v>1317</v>
      </c>
      <c r="I116" s="6">
        <f>VALUE(MID($W116,P116+1,Q116-(P116+1)))</f>
        <v>3167</v>
      </c>
      <c r="J116" s="6">
        <f>VALUE(MID($W116,Q116+1,R116-(Q116+1)))</f>
        <v>4747</v>
      </c>
      <c r="K116" s="4">
        <f>VALUE(MID(W116,R116+1,LEN(W116)-(R116)))</f>
        <v>4492</v>
      </c>
      <c r="L116" s="4">
        <f>SEARCH(",",W116,X116)</f>
        <v>15</v>
      </c>
      <c r="M116" s="4">
        <f>SEARCH(",",$W116,L116+1)</f>
        <v>21</v>
      </c>
      <c r="N116" s="4">
        <f>SEARCH(",",$W116,M116+1)</f>
        <v>27</v>
      </c>
      <c r="O116" s="4">
        <f>SEARCH(",",$W116,N116+1)</f>
        <v>32</v>
      </c>
      <c r="P116" s="4">
        <f>SEARCH(",",$W116,O116+1)</f>
        <v>38</v>
      </c>
      <c r="Q116" s="4">
        <f>SEARCH(",",$W116,P116+1)</f>
        <v>44</v>
      </c>
      <c r="R116" s="4">
        <f>SEARCH(",",$W116,Q116+1)</f>
        <v>50</v>
      </c>
      <c r="T116" t="s">
        <v>858</v>
      </c>
      <c r="U116">
        <f>SEARCH(":",T116)</f>
        <v>6</v>
      </c>
      <c r="V116" t="str">
        <f>MID(T116,U116+1,LEN(T116)-(U116))</f>
        <v xml:space="preserve"> 672375 ** -323, -780, 4403, 326, 1317, 3167, 4747, 4492</v>
      </c>
      <c r="W116" t="str">
        <f>TRIM(V116)</f>
        <v>672375 ** -323, -780, 4403, 326, 1317, 3167, 4747, 4492</v>
      </c>
      <c r="X116">
        <f>SEARCH("~*",W116)</f>
        <v>8</v>
      </c>
      <c r="Y116" t="str">
        <f>LEFT(W116,X116-1)</f>
        <v xml:space="preserve">672375 </v>
      </c>
      <c r="AA116" t="str">
        <f>CONCATENATE(A116,",",D116,",",E116,",",F116,",",G116,",",H116,",",I116,",",J116,",",K116)</f>
        <v>672375,-323,-780,4403,326,1317,3167,4747,4492</v>
      </c>
    </row>
    <row r="117" spans="1:27">
      <c r="A117" s="1">
        <f>IF(ISBLANK(T117),"",VALUE(Y117))</f>
        <v>670731</v>
      </c>
      <c r="B117" s="1">
        <f>A117*4/10 -18</f>
        <v>268274.40000000002</v>
      </c>
      <c r="C117" s="3">
        <f>B117/7000000</f>
        <v>3.8324914285714287E-2</v>
      </c>
      <c r="D117" s="6">
        <f>VALUE(MID(W117,$X117+2,L117-(X117+2)))</f>
        <v>-322</v>
      </c>
      <c r="E117" s="6">
        <f>VALUE(MID($W117,L117+1,M117-(L117+1)))</f>
        <v>-776</v>
      </c>
      <c r="F117" s="6">
        <f>VALUE(MID($W117,M117+1,N117-(M117+1)))</f>
        <v>4403</v>
      </c>
      <c r="G117" s="6">
        <f>VALUE(MID($W117,N117+1,O117-(N117+1)))</f>
        <v>325</v>
      </c>
      <c r="H117" s="6">
        <f>VALUE(MID($W117,O117+1,P117-(O117+1)))</f>
        <v>1316</v>
      </c>
      <c r="I117" s="6">
        <f>VALUE(MID($W117,P117+1,Q117-(P117+1)))</f>
        <v>3169</v>
      </c>
      <c r="J117" s="6">
        <f>VALUE(MID($W117,Q117+1,R117-(Q117+1)))</f>
        <v>4740</v>
      </c>
      <c r="K117" s="4">
        <f>VALUE(MID(W117,R117+1,LEN(W117)-(R117)))</f>
        <v>4493</v>
      </c>
      <c r="L117" s="4">
        <f>SEARCH(",",W117,X117)</f>
        <v>15</v>
      </c>
      <c r="M117" s="4">
        <f>SEARCH(",",$W117,L117+1)</f>
        <v>21</v>
      </c>
      <c r="N117" s="4">
        <f>SEARCH(",",$W117,M117+1)</f>
        <v>27</v>
      </c>
      <c r="O117" s="4">
        <f>SEARCH(",",$W117,N117+1)</f>
        <v>32</v>
      </c>
      <c r="P117" s="4">
        <f>SEARCH(",",$W117,O117+1)</f>
        <v>38</v>
      </c>
      <c r="Q117" s="4">
        <f>SEARCH(",",$W117,P117+1)</f>
        <v>44</v>
      </c>
      <c r="R117" s="4">
        <f>SEARCH(",",$W117,Q117+1)</f>
        <v>50</v>
      </c>
      <c r="T117" t="s">
        <v>833</v>
      </c>
      <c r="U117">
        <f>SEARCH(":",T117)</f>
        <v>6</v>
      </c>
      <c r="V117" t="str">
        <f>MID(T117,U117+1,LEN(T117)-(U117))</f>
        <v xml:space="preserve"> 670731 ** -322, -776, 4403, 325, 1316, 3169, 4740, 4493</v>
      </c>
      <c r="W117" t="str">
        <f>TRIM(V117)</f>
        <v>670731 ** -322, -776, 4403, 325, 1316, 3169, 4740, 4493</v>
      </c>
      <c r="X117">
        <f>SEARCH("~*",W117)</f>
        <v>8</v>
      </c>
      <c r="Y117" t="str">
        <f>LEFT(W117,X117-1)</f>
        <v xml:space="preserve">670731 </v>
      </c>
      <c r="AA117" t="str">
        <f>CONCATENATE(A117,",",D117,",",E117,",",F117,",",G117,",",H117,",",I117,",",J117,",",K117)</f>
        <v>670731,-322,-776,4403,325,1316,3169,4740,4493</v>
      </c>
    </row>
    <row r="118" spans="1:27">
      <c r="A118" s="1">
        <f>IF(ISBLANK(T118),"",VALUE(Y118))</f>
        <v>668159</v>
      </c>
      <c r="B118" s="1">
        <f>A118*4/10 -18</f>
        <v>267245.59999999998</v>
      </c>
      <c r="C118" s="3">
        <f>B118/7000000</f>
        <v>3.8177942857142856E-2</v>
      </c>
      <c r="D118" s="6">
        <f>VALUE(MID(W118,$X118+2,L118-(X118+2)))</f>
        <v>-315</v>
      </c>
      <c r="E118" s="6">
        <f>VALUE(MID($W118,L118+1,M118-(L118+1)))</f>
        <v>-779</v>
      </c>
      <c r="F118" s="6">
        <f>VALUE(MID($W118,M118+1,N118-(M118+1)))</f>
        <v>4403</v>
      </c>
      <c r="G118" s="6">
        <f>VALUE(MID($W118,N118+1,O118-(N118+1)))</f>
        <v>324</v>
      </c>
      <c r="H118" s="6">
        <f>VALUE(MID($W118,O118+1,P118-(O118+1)))</f>
        <v>1321</v>
      </c>
      <c r="I118" s="6">
        <f>VALUE(MID($W118,P118+1,Q118-(P118+1)))</f>
        <v>3173</v>
      </c>
      <c r="J118" s="6">
        <f>VALUE(MID($W118,Q118+1,R118-(Q118+1)))</f>
        <v>4746</v>
      </c>
      <c r="K118" s="4">
        <f>VALUE(MID(W118,R118+1,LEN(W118)-(R118)))</f>
        <v>4493</v>
      </c>
      <c r="L118" s="4">
        <f>SEARCH(",",W118,X118)</f>
        <v>15</v>
      </c>
      <c r="M118" s="4">
        <f>SEARCH(",",$W118,L118+1)</f>
        <v>21</v>
      </c>
      <c r="N118" s="4">
        <f>SEARCH(",",$W118,M118+1)</f>
        <v>27</v>
      </c>
      <c r="O118" s="4">
        <f>SEARCH(",",$W118,N118+1)</f>
        <v>32</v>
      </c>
      <c r="P118" s="4">
        <f>SEARCH(",",$W118,O118+1)</f>
        <v>38</v>
      </c>
      <c r="Q118" s="4">
        <f>SEARCH(",",$W118,P118+1)</f>
        <v>44</v>
      </c>
      <c r="R118" s="4">
        <f>SEARCH(",",$W118,Q118+1)</f>
        <v>50</v>
      </c>
      <c r="T118" t="s">
        <v>852</v>
      </c>
      <c r="U118">
        <f>SEARCH(":",T118)</f>
        <v>6</v>
      </c>
      <c r="V118" t="str">
        <f>MID(T118,U118+1,LEN(T118)-(U118))</f>
        <v xml:space="preserve"> 668159 ** -315, -779, 4403, 324, 1321, 3173, 4746, 4493</v>
      </c>
      <c r="W118" t="str">
        <f>TRIM(V118)</f>
        <v>668159 ** -315, -779, 4403, 324, 1321, 3173, 4746, 4493</v>
      </c>
      <c r="X118">
        <f>SEARCH("~*",W118)</f>
        <v>8</v>
      </c>
      <c r="Y118" t="str">
        <f>LEFT(W118,X118-1)</f>
        <v xml:space="preserve">668159 </v>
      </c>
      <c r="AA118" t="str">
        <f>CONCATENATE(A118,",",D118,",",E118,",",F118,",",G118,",",H118,",",I118,",",J118,",",K118)</f>
        <v>668159,-315,-779,4403,324,1321,3173,4746,4493</v>
      </c>
    </row>
    <row r="119" spans="1:27">
      <c r="A119" s="1">
        <f>IF(ISBLANK(T119),"",VALUE(Y119))</f>
        <v>633717</v>
      </c>
      <c r="B119" s="1">
        <f>A119*4/10 -18</f>
        <v>253468.79999999999</v>
      </c>
      <c r="C119" s="3">
        <f>B119/7000000</f>
        <v>3.6209828571428571E-2</v>
      </c>
      <c r="D119" s="6">
        <f>VALUE(MID(W119,$X119+2,L119-(X119+2)))</f>
        <v>-323</v>
      </c>
      <c r="E119" s="6">
        <f>VALUE(MID($W119,L119+1,M119-(L119+1)))</f>
        <v>-781</v>
      </c>
      <c r="F119" s="6">
        <f>VALUE(MID($W119,M119+1,N119-(M119+1)))</f>
        <v>4402</v>
      </c>
      <c r="G119" s="6">
        <f>VALUE(MID($W119,N119+1,O119-(N119+1)))</f>
        <v>328</v>
      </c>
      <c r="H119" s="6">
        <f>VALUE(MID($W119,O119+1,P119-(O119+1)))</f>
        <v>1316</v>
      </c>
      <c r="I119" s="6">
        <f>VALUE(MID($W119,P119+1,Q119-(P119+1)))</f>
        <v>3174</v>
      </c>
      <c r="J119" s="6">
        <f>VALUE(MID($W119,Q119+1,R119-(Q119+1)))</f>
        <v>4742</v>
      </c>
      <c r="K119" s="4">
        <f>VALUE(MID(W119,R119+1,LEN(W119)-(R119)))</f>
        <v>4496</v>
      </c>
      <c r="L119" s="4">
        <f>SEARCH(",",W119,X119)</f>
        <v>15</v>
      </c>
      <c r="M119" s="4">
        <f>SEARCH(",",$W119,L119+1)</f>
        <v>21</v>
      </c>
      <c r="N119" s="4">
        <f>SEARCH(",",$W119,M119+1)</f>
        <v>27</v>
      </c>
      <c r="O119" s="4">
        <f>SEARCH(",",$W119,N119+1)</f>
        <v>32</v>
      </c>
      <c r="P119" s="4">
        <f>SEARCH(",",$W119,O119+1)</f>
        <v>38</v>
      </c>
      <c r="Q119" s="4">
        <f>SEARCH(",",$W119,P119+1)</f>
        <v>44</v>
      </c>
      <c r="R119" s="4">
        <f>SEARCH(",",$W119,Q119+1)</f>
        <v>50</v>
      </c>
      <c r="T119" t="s">
        <v>638</v>
      </c>
      <c r="U119">
        <f>SEARCH(":",T119)</f>
        <v>6</v>
      </c>
      <c r="V119" t="str">
        <f>MID(T119,U119+1,LEN(T119)-(U119))</f>
        <v xml:space="preserve"> 633717 ** -323, -781, 4402, 328, 1316, 3174, 4742, 4496</v>
      </c>
      <c r="W119" t="str">
        <f>TRIM(V119)</f>
        <v>633717 ** -323, -781, 4402, 328, 1316, 3174, 4742, 4496</v>
      </c>
      <c r="X119">
        <f>SEARCH("~*",W119)</f>
        <v>8</v>
      </c>
      <c r="Y119" t="str">
        <f>LEFT(W119,X119-1)</f>
        <v xml:space="preserve">633717 </v>
      </c>
      <c r="AA119" t="str">
        <f>CONCATENATE(A119,",",D119,",",E119,",",F119,",",G119,",",H119,",",I119,",",J119,",",K119)</f>
        <v>633717,-323,-781,4402,328,1316,3174,4742,4496</v>
      </c>
    </row>
    <row r="120" spans="1:27">
      <c r="A120" s="1">
        <f>IF(ISBLANK(T120),"",VALUE(Y120))</f>
        <v>629712</v>
      </c>
      <c r="B120" s="1">
        <f>A120*4/10 -18</f>
        <v>251866.8</v>
      </c>
      <c r="C120" s="3">
        <f>B120/7000000</f>
        <v>3.5980971428571429E-2</v>
      </c>
      <c r="D120" s="6">
        <f>VALUE(MID(W120,$X120+2,L120-(X120+2)))</f>
        <v>-320</v>
      </c>
      <c r="E120" s="6">
        <f>VALUE(MID($W120,L120+1,M120-(L120+1)))</f>
        <v>-779</v>
      </c>
      <c r="F120" s="6">
        <f>VALUE(MID($W120,M120+1,N120-(M120+1)))</f>
        <v>4406</v>
      </c>
      <c r="G120" s="6">
        <f>VALUE(MID($W120,N120+1,O120-(N120+1)))</f>
        <v>324</v>
      </c>
      <c r="H120" s="6">
        <f>VALUE(MID($W120,O120+1,P120-(O120+1)))</f>
        <v>1313</v>
      </c>
      <c r="I120" s="6">
        <f>VALUE(MID($W120,P120+1,Q120-(P120+1)))</f>
        <v>3166</v>
      </c>
      <c r="J120" s="6">
        <f>VALUE(MID($W120,Q120+1,R120-(Q120+1)))</f>
        <v>4740</v>
      </c>
      <c r="K120" s="4">
        <f>VALUE(MID(W120,R120+1,LEN(W120)-(R120)))</f>
        <v>4491</v>
      </c>
      <c r="L120" s="4">
        <f>SEARCH(",",W120,X120)</f>
        <v>15</v>
      </c>
      <c r="M120" s="4">
        <f>SEARCH(",",$W120,L120+1)</f>
        <v>21</v>
      </c>
      <c r="N120" s="4">
        <f>SEARCH(",",$W120,M120+1)</f>
        <v>27</v>
      </c>
      <c r="O120" s="4">
        <f>SEARCH(",",$W120,N120+1)</f>
        <v>32</v>
      </c>
      <c r="P120" s="4">
        <f>SEARCH(",",$W120,O120+1)</f>
        <v>38</v>
      </c>
      <c r="Q120" s="4">
        <f>SEARCH(",",$W120,P120+1)</f>
        <v>44</v>
      </c>
      <c r="R120" s="4">
        <f>SEARCH(",",$W120,Q120+1)</f>
        <v>50</v>
      </c>
      <c r="T120" t="s">
        <v>786</v>
      </c>
      <c r="U120">
        <f>SEARCH(":",T120)</f>
        <v>6</v>
      </c>
      <c r="V120" t="str">
        <f>MID(T120,U120+1,LEN(T120)-(U120))</f>
        <v xml:space="preserve"> 629712 ** -320, -779, 4406, 324, 1313, 3166, 4740, 4491</v>
      </c>
      <c r="W120" t="str">
        <f>TRIM(V120)</f>
        <v>629712 ** -320, -779, 4406, 324, 1313, 3166, 4740, 4491</v>
      </c>
      <c r="X120">
        <f>SEARCH("~*",W120)</f>
        <v>8</v>
      </c>
      <c r="Y120" t="str">
        <f>LEFT(W120,X120-1)</f>
        <v xml:space="preserve">629712 </v>
      </c>
      <c r="AA120" t="str">
        <f>CONCATENATE(A120,",",D120,",",E120,",",F120,",",G120,",",H120,",",I120,",",J120,",",K120)</f>
        <v>629712,-320,-779,4406,324,1313,3166,4740,4491</v>
      </c>
    </row>
    <row r="121" spans="1:27">
      <c r="A121" s="1">
        <f>IF(ISBLANK(T121),"",VALUE(Y121))</f>
        <v>629608</v>
      </c>
      <c r="B121" s="1">
        <f>A121*4/10 -18</f>
        <v>251825.2</v>
      </c>
      <c r="C121" s="3">
        <f>B121/7000000</f>
        <v>3.597502857142857E-2</v>
      </c>
      <c r="D121" s="6">
        <f>VALUE(MID(W121,$X121+2,L121-(X121+2)))</f>
        <v>-320</v>
      </c>
      <c r="E121" s="6">
        <f>VALUE(MID($W121,L121+1,M121-(L121+1)))</f>
        <v>-779</v>
      </c>
      <c r="F121" s="6">
        <f>VALUE(MID($W121,M121+1,N121-(M121+1)))</f>
        <v>4406</v>
      </c>
      <c r="G121" s="6">
        <f>VALUE(MID($W121,N121+1,O121-(N121+1)))</f>
        <v>323</v>
      </c>
      <c r="H121" s="6">
        <f>VALUE(MID($W121,O121+1,P121-(O121+1)))</f>
        <v>1319</v>
      </c>
      <c r="I121" s="6">
        <f>VALUE(MID($W121,P121+1,Q121-(P121+1)))</f>
        <v>3171</v>
      </c>
      <c r="J121" s="6">
        <f>VALUE(MID($W121,Q121+1,R121-(Q121+1)))</f>
        <v>4745</v>
      </c>
      <c r="K121" s="4">
        <f>VALUE(MID(W121,R121+1,LEN(W121)-(R121)))</f>
        <v>4493</v>
      </c>
      <c r="L121" s="4">
        <f>SEARCH(",",W121,X121)</f>
        <v>15</v>
      </c>
      <c r="M121" s="4">
        <f>SEARCH(",",$W121,L121+1)</f>
        <v>21</v>
      </c>
      <c r="N121" s="4">
        <f>SEARCH(",",$W121,M121+1)</f>
        <v>27</v>
      </c>
      <c r="O121" s="4">
        <f>SEARCH(",",$W121,N121+1)</f>
        <v>32</v>
      </c>
      <c r="P121" s="4">
        <f>SEARCH(",",$W121,O121+1)</f>
        <v>38</v>
      </c>
      <c r="Q121" s="4">
        <f>SEARCH(",",$W121,P121+1)</f>
        <v>44</v>
      </c>
      <c r="R121" s="4">
        <f>SEARCH(",",$W121,Q121+1)</f>
        <v>50</v>
      </c>
      <c r="T121" t="s">
        <v>723</v>
      </c>
      <c r="U121">
        <f>SEARCH(":",T121)</f>
        <v>6</v>
      </c>
      <c r="V121" t="str">
        <f>MID(T121,U121+1,LEN(T121)-(U121))</f>
        <v xml:space="preserve"> 629608 ** -320, -779, 4406, 323, 1319, 3171, 4745, 4493</v>
      </c>
      <c r="W121" t="str">
        <f>TRIM(V121)</f>
        <v>629608 ** -320, -779, 4406, 323, 1319, 3171, 4745, 4493</v>
      </c>
      <c r="X121">
        <f>SEARCH("~*",W121)</f>
        <v>8</v>
      </c>
      <c r="Y121" t="str">
        <f>LEFT(W121,X121-1)</f>
        <v xml:space="preserve">629608 </v>
      </c>
      <c r="AA121" t="str">
        <f>CONCATENATE(A121,",",D121,",",E121,",",F121,",",G121,",",H121,",",I121,",",J121,",",K121)</f>
        <v>629608,-320,-779,4406,323,1319,3171,4745,4493</v>
      </c>
    </row>
    <row r="122" spans="1:27">
      <c r="A122" s="1">
        <f>IF(ISBLANK(T122),"",VALUE(Y122))</f>
        <v>617318</v>
      </c>
      <c r="B122" s="1">
        <f>A122*4/10 -18</f>
        <v>246909.2</v>
      </c>
      <c r="C122" s="3">
        <f>B122/7000000</f>
        <v>3.5272742857142859E-2</v>
      </c>
      <c r="D122" s="6">
        <f>VALUE(MID(W122,$X122+2,L122-(X122+2)))</f>
        <v>-318</v>
      </c>
      <c r="E122" s="6">
        <f>VALUE(MID($W122,L122+1,M122-(L122+1)))</f>
        <v>-781</v>
      </c>
      <c r="F122" s="6">
        <f>VALUE(MID($W122,M122+1,N122-(M122+1)))</f>
        <v>4406</v>
      </c>
      <c r="G122" s="6">
        <f>VALUE(MID($W122,N122+1,O122-(N122+1)))</f>
        <v>324</v>
      </c>
      <c r="H122" s="6">
        <f>VALUE(MID($W122,O122+1,P122-(O122+1)))</f>
        <v>1315</v>
      </c>
      <c r="I122" s="6">
        <f>VALUE(MID($W122,P122+1,Q122-(P122+1)))</f>
        <v>3172</v>
      </c>
      <c r="J122" s="6">
        <f>VALUE(MID($W122,Q122+1,R122-(Q122+1)))</f>
        <v>4739</v>
      </c>
      <c r="K122" s="4">
        <f>VALUE(MID(W122,R122+1,LEN(W122)-(R122)))</f>
        <v>4500</v>
      </c>
      <c r="L122" s="4">
        <f>SEARCH(",",W122,X122)</f>
        <v>15</v>
      </c>
      <c r="M122" s="4">
        <f>SEARCH(",",$W122,L122+1)</f>
        <v>21</v>
      </c>
      <c r="N122" s="4">
        <f>SEARCH(",",$W122,M122+1)</f>
        <v>27</v>
      </c>
      <c r="O122" s="4">
        <f>SEARCH(",",$W122,N122+1)</f>
        <v>32</v>
      </c>
      <c r="P122" s="4">
        <f>SEARCH(",",$W122,O122+1)</f>
        <v>38</v>
      </c>
      <c r="Q122" s="4">
        <f>SEARCH(",",$W122,P122+1)</f>
        <v>44</v>
      </c>
      <c r="R122" s="4">
        <f>SEARCH(",",$W122,Q122+1)</f>
        <v>50</v>
      </c>
      <c r="T122" t="s">
        <v>735</v>
      </c>
      <c r="U122">
        <f>SEARCH(":",T122)</f>
        <v>6</v>
      </c>
      <c r="V122" t="str">
        <f>MID(T122,U122+1,LEN(T122)-(U122))</f>
        <v xml:space="preserve"> 617318 ** -318, -781, 4406, 324, 1315, 3172, 4739, 4500</v>
      </c>
      <c r="W122" t="str">
        <f>TRIM(V122)</f>
        <v>617318 ** -318, -781, 4406, 324, 1315, 3172, 4739, 4500</v>
      </c>
      <c r="X122">
        <f>SEARCH("~*",W122)</f>
        <v>8</v>
      </c>
      <c r="Y122" t="str">
        <f>LEFT(W122,X122-1)</f>
        <v xml:space="preserve">617318 </v>
      </c>
      <c r="AA122" t="str">
        <f>CONCATENATE(A122,",",D122,",",E122,",",F122,",",G122,",",H122,",",I122,",",J122,",",K122)</f>
        <v>617318,-318,-781,4406,324,1315,3172,4739,4500</v>
      </c>
    </row>
    <row r="123" spans="1:27">
      <c r="A123" s="1">
        <f>IF(ISBLANK(T123),"",VALUE(Y123))</f>
        <v>615723</v>
      </c>
      <c r="B123" s="1">
        <f>A123*4/10 -18</f>
        <v>246271.2</v>
      </c>
      <c r="C123" s="3">
        <f>B123/7000000</f>
        <v>3.51816E-2</v>
      </c>
      <c r="D123" s="6">
        <f>VALUE(MID(W123,$X123+2,L123-(X123+2)))</f>
        <v>-324</v>
      </c>
      <c r="E123" s="6">
        <f>VALUE(MID($W123,L123+1,M123-(L123+1)))</f>
        <v>-782</v>
      </c>
      <c r="F123" s="6">
        <f>VALUE(MID($W123,M123+1,N123-(M123+1)))</f>
        <v>4404</v>
      </c>
      <c r="G123" s="6">
        <f>VALUE(MID($W123,N123+1,O123-(N123+1)))</f>
        <v>325</v>
      </c>
      <c r="H123" s="6">
        <f>VALUE(MID($W123,O123+1,P123-(O123+1)))</f>
        <v>1312</v>
      </c>
      <c r="I123" s="6">
        <f>VALUE(MID($W123,P123+1,Q123-(P123+1)))</f>
        <v>3166</v>
      </c>
      <c r="J123" s="6">
        <f>VALUE(MID($W123,Q123+1,R123-(Q123+1)))</f>
        <v>4745</v>
      </c>
      <c r="K123" s="4">
        <f>VALUE(MID(W123,R123+1,LEN(W123)-(R123)))</f>
        <v>4495</v>
      </c>
      <c r="L123" s="4">
        <f>SEARCH(",",W123,X123)</f>
        <v>15</v>
      </c>
      <c r="M123" s="4">
        <f>SEARCH(",",$W123,L123+1)</f>
        <v>21</v>
      </c>
      <c r="N123" s="4">
        <f>SEARCH(",",$W123,M123+1)</f>
        <v>27</v>
      </c>
      <c r="O123" s="4">
        <f>SEARCH(",",$W123,N123+1)</f>
        <v>32</v>
      </c>
      <c r="P123" s="4">
        <f>SEARCH(",",$W123,O123+1)</f>
        <v>38</v>
      </c>
      <c r="Q123" s="4">
        <f>SEARCH(",",$W123,P123+1)</f>
        <v>44</v>
      </c>
      <c r="R123" s="4">
        <f>SEARCH(",",$W123,Q123+1)</f>
        <v>50</v>
      </c>
      <c r="T123" t="s">
        <v>593</v>
      </c>
      <c r="U123">
        <f>SEARCH(":",T123)</f>
        <v>6</v>
      </c>
      <c r="V123" t="str">
        <f>MID(T123,U123+1,LEN(T123)-(U123))</f>
        <v xml:space="preserve"> 615723 ** -324, -782, 4404, 325, 1312, 3166, 4745, 4495</v>
      </c>
      <c r="W123" t="str">
        <f>TRIM(V123)</f>
        <v>615723 ** -324, -782, 4404, 325, 1312, 3166, 4745, 4495</v>
      </c>
      <c r="X123">
        <f>SEARCH("~*",W123)</f>
        <v>8</v>
      </c>
      <c r="Y123" t="str">
        <f>LEFT(W123,X123-1)</f>
        <v xml:space="preserve">615723 </v>
      </c>
      <c r="AA123" t="str">
        <f>CONCATENATE(A123,",",D123,",",E123,",",F123,",",G123,",",H123,",",I123,",",J123,",",K123)</f>
        <v>615723,-324,-782,4404,325,1312,3166,4745,4495</v>
      </c>
    </row>
    <row r="124" spans="1:27">
      <c r="A124" s="1">
        <f>IF(ISBLANK(T124),"",VALUE(Y124))</f>
        <v>607532</v>
      </c>
      <c r="B124" s="1">
        <f>A124*4/10 -18</f>
        <v>242994.8</v>
      </c>
      <c r="C124" s="3">
        <f>B124/7000000</f>
        <v>3.4713542857142857E-2</v>
      </c>
      <c r="D124" s="6">
        <f>VALUE(MID(W124,$X124+2,L124-(X124+2)))</f>
        <v>-320</v>
      </c>
      <c r="E124" s="6">
        <f>VALUE(MID($W124,L124+1,M124-(L124+1)))</f>
        <v>-780</v>
      </c>
      <c r="F124" s="6">
        <f>VALUE(MID($W124,M124+1,N124-(M124+1)))</f>
        <v>4399</v>
      </c>
      <c r="G124" s="6">
        <f>VALUE(MID($W124,N124+1,O124-(N124+1)))</f>
        <v>325</v>
      </c>
      <c r="H124" s="6">
        <f>VALUE(MID($W124,O124+1,P124-(O124+1)))</f>
        <v>1316</v>
      </c>
      <c r="I124" s="6">
        <f>VALUE(MID($W124,P124+1,Q124-(P124+1)))</f>
        <v>3168</v>
      </c>
      <c r="J124" s="6">
        <f>VALUE(MID($W124,Q124+1,R124-(Q124+1)))</f>
        <v>4743</v>
      </c>
      <c r="K124" s="4">
        <f>VALUE(MID(W124,R124+1,LEN(W124)-(R124)))</f>
        <v>4495</v>
      </c>
      <c r="L124" s="4">
        <f>SEARCH(",",W124,X124)</f>
        <v>15</v>
      </c>
      <c r="M124" s="4">
        <f>SEARCH(",",$W124,L124+1)</f>
        <v>21</v>
      </c>
      <c r="N124" s="4">
        <f>SEARCH(",",$W124,M124+1)</f>
        <v>27</v>
      </c>
      <c r="O124" s="4">
        <f>SEARCH(",",$W124,N124+1)</f>
        <v>32</v>
      </c>
      <c r="P124" s="4">
        <f>SEARCH(",",$W124,O124+1)</f>
        <v>38</v>
      </c>
      <c r="Q124" s="4">
        <f>SEARCH(",",$W124,P124+1)</f>
        <v>44</v>
      </c>
      <c r="R124" s="4">
        <f>SEARCH(",",$W124,Q124+1)</f>
        <v>50</v>
      </c>
      <c r="T124" t="s">
        <v>751</v>
      </c>
      <c r="U124">
        <f>SEARCH(":",T124)</f>
        <v>6</v>
      </c>
      <c r="V124" t="str">
        <f>MID(T124,U124+1,LEN(T124)-(U124))</f>
        <v xml:space="preserve"> 607532 ** -320, -780, 4399, 325, 1316, 3168, 4743, 4495</v>
      </c>
      <c r="W124" t="str">
        <f>TRIM(V124)</f>
        <v>607532 ** -320, -780, 4399, 325, 1316, 3168, 4743, 4495</v>
      </c>
      <c r="X124">
        <f>SEARCH("~*",W124)</f>
        <v>8</v>
      </c>
      <c r="Y124" t="str">
        <f>LEFT(W124,X124-1)</f>
        <v xml:space="preserve">607532 </v>
      </c>
      <c r="AA124" t="str">
        <f>CONCATENATE(A124,",",D124,",",E124,",",F124,",",G124,",",H124,",",I124,",",J124,",",K124)</f>
        <v>607532,-320,-780,4399,325,1316,3168,4743,4495</v>
      </c>
    </row>
    <row r="125" spans="1:27">
      <c r="A125" s="1">
        <f>IF(ISBLANK(T125),"",VALUE(Y125))</f>
        <v>603971</v>
      </c>
      <c r="B125" s="1">
        <f>A125*4/10 -18</f>
        <v>241570.4</v>
      </c>
      <c r="C125" s="3">
        <f>B125/7000000</f>
        <v>3.451005714285714E-2</v>
      </c>
      <c r="D125" s="6">
        <f>VALUE(MID(W125,$X125+2,L125-(X125+2)))</f>
        <v>-319</v>
      </c>
      <c r="E125" s="6">
        <f>VALUE(MID($W125,L125+1,M125-(L125+1)))</f>
        <v>-777</v>
      </c>
      <c r="F125" s="6">
        <f>VALUE(MID($W125,M125+1,N125-(M125+1)))</f>
        <v>4407</v>
      </c>
      <c r="G125" s="6">
        <f>VALUE(MID($W125,N125+1,O125-(N125+1)))</f>
        <v>325</v>
      </c>
      <c r="H125" s="6">
        <f>VALUE(MID($W125,O125+1,P125-(O125+1)))</f>
        <v>1314</v>
      </c>
      <c r="I125" s="6">
        <f>VALUE(MID($W125,P125+1,Q125-(P125+1)))</f>
        <v>3172</v>
      </c>
      <c r="J125" s="6">
        <f>VALUE(MID($W125,Q125+1,R125-(Q125+1)))</f>
        <v>4747</v>
      </c>
      <c r="K125" s="4">
        <f>VALUE(MID(W125,R125+1,LEN(W125)-(R125)))</f>
        <v>4493</v>
      </c>
      <c r="L125" s="4">
        <f>SEARCH(",",W125,X125)</f>
        <v>15</v>
      </c>
      <c r="M125" s="4">
        <f>SEARCH(",",$W125,L125+1)</f>
        <v>21</v>
      </c>
      <c r="N125" s="4">
        <f>SEARCH(",",$W125,M125+1)</f>
        <v>27</v>
      </c>
      <c r="O125" s="4">
        <f>SEARCH(",",$W125,N125+1)</f>
        <v>32</v>
      </c>
      <c r="P125" s="4">
        <f>SEARCH(",",$W125,O125+1)</f>
        <v>38</v>
      </c>
      <c r="Q125" s="4">
        <f>SEARCH(",",$W125,P125+1)</f>
        <v>44</v>
      </c>
      <c r="R125" s="4">
        <f>SEARCH(",",$W125,Q125+1)</f>
        <v>50</v>
      </c>
      <c r="T125" t="s">
        <v>628</v>
      </c>
      <c r="U125">
        <f>SEARCH(":",T125)</f>
        <v>6</v>
      </c>
      <c r="V125" t="str">
        <f>MID(T125,U125+1,LEN(T125)-(U125))</f>
        <v xml:space="preserve"> 603971 ** -319, -777, 4407, 325, 1314, 3172, 4747, 4493</v>
      </c>
      <c r="W125" t="str">
        <f>TRIM(V125)</f>
        <v>603971 ** -319, -777, 4407, 325, 1314, 3172, 4747, 4493</v>
      </c>
      <c r="X125">
        <f>SEARCH("~*",W125)</f>
        <v>8</v>
      </c>
      <c r="Y125" t="str">
        <f>LEFT(W125,X125-1)</f>
        <v xml:space="preserve">603971 </v>
      </c>
      <c r="AA125" t="str">
        <f>CONCATENATE(A125,",",D125,",",E125,",",F125,",",G125,",",H125,",",I125,",",J125,",",K125)</f>
        <v>603971,-319,-777,4407,325,1314,3172,4747,4493</v>
      </c>
    </row>
    <row r="126" spans="1:27">
      <c r="A126" s="1">
        <f>IF(ISBLANK(T126),"",VALUE(Y126))</f>
        <v>595498</v>
      </c>
      <c r="B126" s="1">
        <f>A126*4/10 -18</f>
        <v>238181.2</v>
      </c>
      <c r="C126" s="3">
        <f>B126/7000000</f>
        <v>3.4025885714285713E-2</v>
      </c>
      <c r="D126" s="6">
        <f>VALUE(MID(W126,$X126+2,L126-(X126+2)))</f>
        <v>-321</v>
      </c>
      <c r="E126" s="6">
        <f>VALUE(MID($W126,L126+1,M126-(L126+1)))</f>
        <v>-774</v>
      </c>
      <c r="F126" s="6">
        <f>VALUE(MID($W126,M126+1,N126-(M126+1)))</f>
        <v>4406</v>
      </c>
      <c r="G126" s="6">
        <f>VALUE(MID($W126,N126+1,O126-(N126+1)))</f>
        <v>326</v>
      </c>
      <c r="H126" s="6">
        <f>VALUE(MID($W126,O126+1,P126-(O126+1)))</f>
        <v>1314</v>
      </c>
      <c r="I126" s="6">
        <f>VALUE(MID($W126,P126+1,Q126-(P126+1)))</f>
        <v>3174</v>
      </c>
      <c r="J126" s="6">
        <f>VALUE(MID($W126,Q126+1,R126-(Q126+1)))</f>
        <v>4743</v>
      </c>
      <c r="K126" s="4">
        <f>VALUE(MID(W126,R126+1,LEN(W126)-(R126)))</f>
        <v>4497</v>
      </c>
      <c r="L126" s="4">
        <f>SEARCH(",",W126,X126)</f>
        <v>15</v>
      </c>
      <c r="M126" s="4">
        <f>SEARCH(",",$W126,L126+1)</f>
        <v>21</v>
      </c>
      <c r="N126" s="4">
        <f>SEARCH(",",$W126,M126+1)</f>
        <v>27</v>
      </c>
      <c r="O126" s="4">
        <f>SEARCH(",",$W126,N126+1)</f>
        <v>32</v>
      </c>
      <c r="P126" s="4">
        <f>SEARCH(",",$W126,O126+1)</f>
        <v>38</v>
      </c>
      <c r="Q126" s="4">
        <f>SEARCH(",",$W126,P126+1)</f>
        <v>44</v>
      </c>
      <c r="R126" s="4">
        <f>SEARCH(",",$W126,Q126+1)</f>
        <v>50</v>
      </c>
      <c r="T126" t="s">
        <v>746</v>
      </c>
      <c r="U126">
        <f>SEARCH(":",T126)</f>
        <v>6</v>
      </c>
      <c r="V126" t="str">
        <f>MID(T126,U126+1,LEN(T126)-(U126))</f>
        <v xml:space="preserve"> 595498 ** -321, -774, 4406, 326, 1314, 3174, 4743, 4497</v>
      </c>
      <c r="W126" t="str">
        <f>TRIM(V126)</f>
        <v>595498 ** -321, -774, 4406, 326, 1314, 3174, 4743, 4497</v>
      </c>
      <c r="X126">
        <f>SEARCH("~*",W126)</f>
        <v>8</v>
      </c>
      <c r="Y126" t="str">
        <f>LEFT(W126,X126-1)</f>
        <v xml:space="preserve">595498 </v>
      </c>
      <c r="AA126" t="str">
        <f>CONCATENATE(A126,",",D126,",",E126,",",F126,",",G126,",",H126,",",I126,",",J126,",",K126)</f>
        <v>595498,-321,-774,4406,326,1314,3174,4743,4497</v>
      </c>
    </row>
    <row r="127" spans="1:27">
      <c r="A127" s="1">
        <f>IF(ISBLANK(T127),"",VALUE(Y127))</f>
        <v>595367</v>
      </c>
      <c r="B127" s="1">
        <f>A127*4/10 -18</f>
        <v>238128.8</v>
      </c>
      <c r="C127" s="3">
        <f>B127/7000000</f>
        <v>3.4018399999999997E-2</v>
      </c>
      <c r="D127" s="6">
        <f>VALUE(MID(W127,$X127+2,L127-(X127+2)))</f>
        <v>-317</v>
      </c>
      <c r="E127" s="6">
        <f>VALUE(MID($W127,L127+1,M127-(L127+1)))</f>
        <v>-782</v>
      </c>
      <c r="F127" s="6">
        <f>VALUE(MID($W127,M127+1,N127-(M127+1)))</f>
        <v>4403</v>
      </c>
      <c r="G127" s="6">
        <f>VALUE(MID($W127,N127+1,O127-(N127+1)))</f>
        <v>321</v>
      </c>
      <c r="H127" s="6">
        <f>VALUE(MID($W127,O127+1,P127-(O127+1)))</f>
        <v>1312</v>
      </c>
      <c r="I127" s="6">
        <f>VALUE(MID($W127,P127+1,Q127-(P127+1)))</f>
        <v>3172</v>
      </c>
      <c r="J127" s="6">
        <f>VALUE(MID($W127,Q127+1,R127-(Q127+1)))</f>
        <v>4740</v>
      </c>
      <c r="K127" s="4">
        <f>VALUE(MID(W127,R127+1,LEN(W127)-(R127)))</f>
        <v>4498</v>
      </c>
      <c r="L127" s="4">
        <f>SEARCH(",",W127,X127)</f>
        <v>15</v>
      </c>
      <c r="M127" s="4">
        <f>SEARCH(",",$W127,L127+1)</f>
        <v>21</v>
      </c>
      <c r="N127" s="4">
        <f>SEARCH(",",$W127,M127+1)</f>
        <v>27</v>
      </c>
      <c r="O127" s="4">
        <f>SEARCH(",",$W127,N127+1)</f>
        <v>32</v>
      </c>
      <c r="P127" s="4">
        <f>SEARCH(",",$W127,O127+1)</f>
        <v>38</v>
      </c>
      <c r="Q127" s="4">
        <f>SEARCH(",",$W127,P127+1)</f>
        <v>44</v>
      </c>
      <c r="R127" s="4">
        <f>SEARCH(",",$W127,Q127+1)</f>
        <v>50</v>
      </c>
      <c r="T127" t="s">
        <v>795</v>
      </c>
      <c r="U127">
        <f>SEARCH(":",T127)</f>
        <v>6</v>
      </c>
      <c r="V127" t="str">
        <f>MID(T127,U127+1,LEN(T127)-(U127))</f>
        <v xml:space="preserve"> 595367 ** -317, -782, 4403, 321, 1312, 3172, 4740, 4498</v>
      </c>
      <c r="W127" t="str">
        <f>TRIM(V127)</f>
        <v>595367 ** -317, -782, 4403, 321, 1312, 3172, 4740, 4498</v>
      </c>
      <c r="X127">
        <f>SEARCH("~*",W127)</f>
        <v>8</v>
      </c>
      <c r="Y127" t="str">
        <f>LEFT(W127,X127-1)</f>
        <v xml:space="preserve">595367 </v>
      </c>
      <c r="AA127" t="str">
        <f>CONCATENATE(A127,",",D127,",",E127,",",F127,",",G127,",",H127,",",I127,",",J127,",",K127)</f>
        <v>595367,-317,-782,4403,321,1312,3172,4740,4498</v>
      </c>
    </row>
    <row r="128" spans="1:27">
      <c r="A128" s="1">
        <f>IF(ISBLANK(T128),"",VALUE(Y128))</f>
        <v>584615</v>
      </c>
      <c r="B128" s="1">
        <f>A128*4/10 -18</f>
        <v>233828</v>
      </c>
      <c r="C128" s="3">
        <f>B128/7000000</f>
        <v>3.3404000000000003E-2</v>
      </c>
      <c r="D128" s="6">
        <f>VALUE(MID(W128,$X128+2,L128-(X128+2)))</f>
        <v>-322</v>
      </c>
      <c r="E128" s="6">
        <f>VALUE(MID($W128,L128+1,M128-(L128+1)))</f>
        <v>-781</v>
      </c>
      <c r="F128" s="6">
        <f>VALUE(MID($W128,M128+1,N128-(M128+1)))</f>
        <v>4407</v>
      </c>
      <c r="G128" s="6">
        <f>VALUE(MID($W128,N128+1,O128-(N128+1)))</f>
        <v>322</v>
      </c>
      <c r="H128" s="6">
        <f>VALUE(MID($W128,O128+1,P128-(O128+1)))</f>
        <v>1315</v>
      </c>
      <c r="I128" s="6">
        <f>VALUE(MID($W128,P128+1,Q128-(P128+1)))</f>
        <v>3167</v>
      </c>
      <c r="J128" s="6">
        <f>VALUE(MID($W128,Q128+1,R128-(Q128+1)))</f>
        <v>4742</v>
      </c>
      <c r="K128" s="4">
        <f>VALUE(MID(W128,R128+1,LEN(W128)-(R128)))</f>
        <v>4493</v>
      </c>
      <c r="L128" s="4">
        <f>SEARCH(",",W128,X128)</f>
        <v>15</v>
      </c>
      <c r="M128" s="4">
        <f>SEARCH(",",$W128,L128+1)</f>
        <v>21</v>
      </c>
      <c r="N128" s="4">
        <f>SEARCH(",",$W128,M128+1)</f>
        <v>27</v>
      </c>
      <c r="O128" s="4">
        <f>SEARCH(",",$W128,N128+1)</f>
        <v>32</v>
      </c>
      <c r="P128" s="4">
        <f>SEARCH(",",$W128,O128+1)</f>
        <v>38</v>
      </c>
      <c r="Q128" s="4">
        <f>SEARCH(",",$W128,P128+1)</f>
        <v>44</v>
      </c>
      <c r="R128" s="4">
        <f>SEARCH(",",$W128,Q128+1)</f>
        <v>50</v>
      </c>
      <c r="T128" t="s">
        <v>821</v>
      </c>
      <c r="U128">
        <f>SEARCH(":",T128)</f>
        <v>6</v>
      </c>
      <c r="V128" t="str">
        <f>MID(T128,U128+1,LEN(T128)-(U128))</f>
        <v xml:space="preserve"> 584615 ** -322, -781, 4407, 322, 1315, 3167, 4742, 4493</v>
      </c>
      <c r="W128" t="str">
        <f>TRIM(V128)</f>
        <v>584615 ** -322, -781, 4407, 322, 1315, 3167, 4742, 4493</v>
      </c>
      <c r="X128">
        <f>SEARCH("~*",W128)</f>
        <v>8</v>
      </c>
      <c r="Y128" t="str">
        <f>LEFT(W128,X128-1)</f>
        <v xml:space="preserve">584615 </v>
      </c>
      <c r="AA128" t="str">
        <f>CONCATENATE(A128,",",D128,",",E128,",",F128,",",G128,",",H128,",",I128,",",J128,",",K128)</f>
        <v>584615,-322,-781,4407,322,1315,3167,4742,4493</v>
      </c>
    </row>
    <row r="129" spans="1:27">
      <c r="A129" s="1">
        <f>IF(ISBLANK(T129),"",VALUE(Y129))</f>
        <v>583568</v>
      </c>
      <c r="B129" s="1">
        <f>A129*4/10 -18</f>
        <v>233409.2</v>
      </c>
      <c r="C129" s="3">
        <f>B129/7000000</f>
        <v>3.3344171428571427E-2</v>
      </c>
      <c r="D129" s="6">
        <f>VALUE(MID(W129,$X129+2,L129-(X129+2)))</f>
        <v>-323</v>
      </c>
      <c r="E129" s="6">
        <f>VALUE(MID($W129,L129+1,M129-(L129+1)))</f>
        <v>-775</v>
      </c>
      <c r="F129" s="6">
        <f>VALUE(MID($W129,M129+1,N129-(M129+1)))</f>
        <v>4405</v>
      </c>
      <c r="G129" s="6">
        <f>VALUE(MID($W129,N129+1,O129-(N129+1)))</f>
        <v>328</v>
      </c>
      <c r="H129" s="6">
        <f>VALUE(MID($W129,O129+1,P129-(O129+1)))</f>
        <v>1316</v>
      </c>
      <c r="I129" s="6">
        <f>VALUE(MID($W129,P129+1,Q129-(P129+1)))</f>
        <v>3170</v>
      </c>
      <c r="J129" s="6">
        <f>VALUE(MID($W129,Q129+1,R129-(Q129+1)))</f>
        <v>4739</v>
      </c>
      <c r="K129" s="4">
        <f>VALUE(MID(W129,R129+1,LEN(W129)-(R129)))</f>
        <v>4495</v>
      </c>
      <c r="L129" s="4">
        <f>SEARCH(",",W129,X129)</f>
        <v>15</v>
      </c>
      <c r="M129" s="4">
        <f>SEARCH(",",$W129,L129+1)</f>
        <v>21</v>
      </c>
      <c r="N129" s="4">
        <f>SEARCH(",",$W129,M129+1)</f>
        <v>27</v>
      </c>
      <c r="O129" s="4">
        <f>SEARCH(",",$W129,N129+1)</f>
        <v>32</v>
      </c>
      <c r="P129" s="4">
        <f>SEARCH(",",$W129,O129+1)</f>
        <v>38</v>
      </c>
      <c r="Q129" s="4">
        <f>SEARCH(",",$W129,P129+1)</f>
        <v>44</v>
      </c>
      <c r="R129" s="4">
        <f>SEARCH(",",$W129,Q129+1)</f>
        <v>50</v>
      </c>
      <c r="T129" t="s">
        <v>665</v>
      </c>
      <c r="U129">
        <f>SEARCH(":",T129)</f>
        <v>6</v>
      </c>
      <c r="V129" t="str">
        <f>MID(T129,U129+1,LEN(T129)-(U129))</f>
        <v xml:space="preserve"> 583568 ** -323, -775, 4405, 328, 1316, 3170, 4739, 4495</v>
      </c>
      <c r="W129" t="str">
        <f>TRIM(V129)</f>
        <v>583568 ** -323, -775, 4405, 328, 1316, 3170, 4739, 4495</v>
      </c>
      <c r="X129">
        <f>SEARCH("~*",W129)</f>
        <v>8</v>
      </c>
      <c r="Y129" t="str">
        <f>LEFT(W129,X129-1)</f>
        <v xml:space="preserve">583568 </v>
      </c>
      <c r="AA129" t="str">
        <f>CONCATENATE(A129,",",D129,",",E129,",",F129,",",G129,",",H129,",",I129,",",J129,",",K129)</f>
        <v>583568,-323,-775,4405,328,1316,3170,4739,4495</v>
      </c>
    </row>
    <row r="130" spans="1:27">
      <c r="A130" s="1">
        <f>IF(ISBLANK(T130),"",VALUE(Y130))</f>
        <v>582097</v>
      </c>
      <c r="B130" s="1">
        <f>A130*4/10 -18</f>
        <v>232820.8</v>
      </c>
      <c r="C130" s="3">
        <f>B130/7000000</f>
        <v>3.3260114285714286E-2</v>
      </c>
      <c r="D130" s="6">
        <f>VALUE(MID(W130,$X130+2,L130-(X130+2)))</f>
        <v>-318</v>
      </c>
      <c r="E130" s="6">
        <f>VALUE(MID($W130,L130+1,M130-(L130+1)))</f>
        <v>-776</v>
      </c>
      <c r="F130" s="6">
        <f>VALUE(MID($W130,M130+1,N130-(M130+1)))</f>
        <v>4402</v>
      </c>
      <c r="G130" s="6">
        <f>VALUE(MID($W130,N130+1,O130-(N130+1)))</f>
        <v>325</v>
      </c>
      <c r="H130" s="6">
        <f>VALUE(MID($W130,O130+1,P130-(O130+1)))</f>
        <v>1318</v>
      </c>
      <c r="I130" s="6">
        <f>VALUE(MID($W130,P130+1,Q130-(P130+1)))</f>
        <v>3170</v>
      </c>
      <c r="J130" s="6">
        <f>VALUE(MID($W130,Q130+1,R130-(Q130+1)))</f>
        <v>4743</v>
      </c>
      <c r="K130" s="4">
        <f>VALUE(MID(W130,R130+1,LEN(W130)-(R130)))</f>
        <v>4500</v>
      </c>
      <c r="L130" s="4">
        <f>SEARCH(",",W130,X130)</f>
        <v>15</v>
      </c>
      <c r="M130" s="4">
        <f>SEARCH(",",$W130,L130+1)</f>
        <v>21</v>
      </c>
      <c r="N130" s="4">
        <f>SEARCH(",",$W130,M130+1)</f>
        <v>27</v>
      </c>
      <c r="O130" s="4">
        <f>SEARCH(",",$W130,N130+1)</f>
        <v>32</v>
      </c>
      <c r="P130" s="4">
        <f>SEARCH(",",$W130,O130+1)</f>
        <v>38</v>
      </c>
      <c r="Q130" s="4">
        <f>SEARCH(",",$W130,P130+1)</f>
        <v>44</v>
      </c>
      <c r="R130" s="4">
        <f>SEARCH(",",$W130,Q130+1)</f>
        <v>50</v>
      </c>
      <c r="T130" t="s">
        <v>695</v>
      </c>
      <c r="U130">
        <f>SEARCH(":",T130)</f>
        <v>6</v>
      </c>
      <c r="V130" t="str">
        <f>MID(T130,U130+1,LEN(T130)-(U130))</f>
        <v xml:space="preserve"> 582097 ** -318, -776, 4402, 325, 1318, 3170, 4743, 4500</v>
      </c>
      <c r="W130" t="str">
        <f>TRIM(V130)</f>
        <v>582097 ** -318, -776, 4402, 325, 1318, 3170, 4743, 4500</v>
      </c>
      <c r="X130">
        <f>SEARCH("~*",W130)</f>
        <v>8</v>
      </c>
      <c r="Y130" t="str">
        <f>LEFT(W130,X130-1)</f>
        <v xml:space="preserve">582097 </v>
      </c>
      <c r="AA130" t="str">
        <f>CONCATENATE(A130,",",D130,",",E130,",",F130,",",G130,",",H130,",",I130,",",J130,",",K130)</f>
        <v>582097,-318,-776,4402,325,1318,3170,4743,4500</v>
      </c>
    </row>
    <row r="131" spans="1:27">
      <c r="A131" s="1">
        <f>IF(ISBLANK(T131),"",VALUE(Y131))</f>
        <v>574246</v>
      </c>
      <c r="B131" s="1">
        <f>A131*4/10 -18</f>
        <v>229680.4</v>
      </c>
      <c r="C131" s="3">
        <f>B131/7000000</f>
        <v>3.2811485714285715E-2</v>
      </c>
      <c r="D131" s="6">
        <f>VALUE(MID(W131,$X131+2,L131-(X131+2)))</f>
        <v>-318</v>
      </c>
      <c r="E131" s="6">
        <f>VALUE(MID($W131,L131+1,M131-(L131+1)))</f>
        <v>-779</v>
      </c>
      <c r="F131" s="6">
        <f>VALUE(MID($W131,M131+1,N131-(M131+1)))</f>
        <v>4404</v>
      </c>
      <c r="G131" s="6">
        <f>VALUE(MID($W131,N131+1,O131-(N131+1)))</f>
        <v>327</v>
      </c>
      <c r="H131" s="6">
        <f>VALUE(MID($W131,O131+1,P131-(O131+1)))</f>
        <v>1318</v>
      </c>
      <c r="I131" s="6">
        <f>VALUE(MID($W131,P131+1,Q131-(P131+1)))</f>
        <v>3170</v>
      </c>
      <c r="J131" s="6">
        <f>VALUE(MID($W131,Q131+1,R131-(Q131+1)))</f>
        <v>4747</v>
      </c>
      <c r="K131" s="4">
        <f>VALUE(MID(W131,R131+1,LEN(W131)-(R131)))</f>
        <v>4498</v>
      </c>
      <c r="L131" s="4">
        <f>SEARCH(",",W131,X131)</f>
        <v>15</v>
      </c>
      <c r="M131" s="4">
        <f>SEARCH(",",$W131,L131+1)</f>
        <v>21</v>
      </c>
      <c r="N131" s="4">
        <f>SEARCH(",",$W131,M131+1)</f>
        <v>27</v>
      </c>
      <c r="O131" s="4">
        <f>SEARCH(",",$W131,N131+1)</f>
        <v>32</v>
      </c>
      <c r="P131" s="4">
        <f>SEARCH(",",$W131,O131+1)</f>
        <v>38</v>
      </c>
      <c r="Q131" s="4">
        <f>SEARCH(",",$W131,P131+1)</f>
        <v>44</v>
      </c>
      <c r="R131" s="4">
        <f>SEARCH(",",$W131,Q131+1)</f>
        <v>50</v>
      </c>
      <c r="T131" t="s">
        <v>842</v>
      </c>
      <c r="U131">
        <f>SEARCH(":",T131)</f>
        <v>6</v>
      </c>
      <c r="V131" t="str">
        <f>MID(T131,U131+1,LEN(T131)-(U131))</f>
        <v xml:space="preserve"> 574246 ** -318, -779, 4404, 327, 1318, 3170, 4747, 4498</v>
      </c>
      <c r="W131" t="str">
        <f>TRIM(V131)</f>
        <v>574246 ** -318, -779, 4404, 327, 1318, 3170, 4747, 4498</v>
      </c>
      <c r="X131">
        <f>SEARCH("~*",W131)</f>
        <v>8</v>
      </c>
      <c r="Y131" t="str">
        <f>LEFT(W131,X131-1)</f>
        <v xml:space="preserve">574246 </v>
      </c>
      <c r="AA131" t="str">
        <f>CONCATENATE(A131,",",D131,",",E131,",",F131,",",G131,",",H131,",",I131,",",J131,",",K131)</f>
        <v>574246,-318,-779,4404,327,1318,3170,4747,4498</v>
      </c>
    </row>
    <row r="132" spans="1:27">
      <c r="A132" s="1">
        <f>IF(ISBLANK(T132),"",VALUE(Y132))</f>
        <v>569378</v>
      </c>
      <c r="B132" s="1">
        <f>A132*4/10 -18</f>
        <v>227733.2</v>
      </c>
      <c r="C132" s="3">
        <f>B132/7000000</f>
        <v>3.2533314285714286E-2</v>
      </c>
      <c r="D132" s="6">
        <f>VALUE(MID(W132,$X132+2,L132-(X132+2)))</f>
        <v>-323</v>
      </c>
      <c r="E132" s="6">
        <f>VALUE(MID($W132,L132+1,M132-(L132+1)))</f>
        <v>-773</v>
      </c>
      <c r="F132" s="6">
        <f>VALUE(MID($W132,M132+1,N132-(M132+1)))</f>
        <v>4404</v>
      </c>
      <c r="G132" s="6">
        <f>VALUE(MID($W132,N132+1,O132-(N132+1)))</f>
        <v>325</v>
      </c>
      <c r="H132" s="6">
        <f>VALUE(MID($W132,O132+1,P132-(O132+1)))</f>
        <v>1312</v>
      </c>
      <c r="I132" s="6">
        <f>VALUE(MID($W132,P132+1,Q132-(P132+1)))</f>
        <v>3167</v>
      </c>
      <c r="J132" s="6">
        <f>VALUE(MID($W132,Q132+1,R132-(Q132+1)))</f>
        <v>4746</v>
      </c>
      <c r="K132" s="4">
        <f>VALUE(MID(W132,R132+1,LEN(W132)-(R132)))</f>
        <v>4499</v>
      </c>
      <c r="L132" s="4">
        <f>SEARCH(",",W132,X132)</f>
        <v>15</v>
      </c>
      <c r="M132" s="4">
        <f>SEARCH(",",$W132,L132+1)</f>
        <v>21</v>
      </c>
      <c r="N132" s="4">
        <f>SEARCH(",",$W132,M132+1)</f>
        <v>27</v>
      </c>
      <c r="O132" s="4">
        <f>SEARCH(",",$W132,N132+1)</f>
        <v>32</v>
      </c>
      <c r="P132" s="4">
        <f>SEARCH(",",$W132,O132+1)</f>
        <v>38</v>
      </c>
      <c r="Q132" s="4">
        <f>SEARCH(",",$W132,P132+1)</f>
        <v>44</v>
      </c>
      <c r="R132" s="4">
        <f>SEARCH(",",$W132,Q132+1)</f>
        <v>50</v>
      </c>
      <c r="T132" t="s">
        <v>860</v>
      </c>
      <c r="U132">
        <f>SEARCH(":",T132)</f>
        <v>6</v>
      </c>
      <c r="V132" t="str">
        <f>MID(T132,U132+1,LEN(T132)-(U132))</f>
        <v xml:space="preserve"> 569378 ** -323, -773, 4404, 325, 1312, 3167, 4746, 4499</v>
      </c>
      <c r="W132" t="str">
        <f>TRIM(V132)</f>
        <v>569378 ** -323, -773, 4404, 325, 1312, 3167, 4746, 4499</v>
      </c>
      <c r="X132">
        <f>SEARCH("~*",W132)</f>
        <v>8</v>
      </c>
      <c r="Y132" t="str">
        <f>LEFT(W132,X132-1)</f>
        <v xml:space="preserve">569378 </v>
      </c>
      <c r="AA132" t="str">
        <f>CONCATENATE(A132,",",D132,",",E132,",",F132,",",G132,",",H132,",",I132,",",J132,",",K132)</f>
        <v>569378,-323,-773,4404,325,1312,3167,4746,4499</v>
      </c>
    </row>
    <row r="133" spans="1:27">
      <c r="A133" s="1">
        <f>IF(ISBLANK(T133),"",VALUE(Y133))</f>
        <v>560359</v>
      </c>
      <c r="B133" s="1">
        <f>A133*4/10 -18</f>
        <v>224125.6</v>
      </c>
      <c r="C133" s="3">
        <f>B133/7000000</f>
        <v>3.2017942857142857E-2</v>
      </c>
      <c r="D133" s="6">
        <f>VALUE(MID(W133,$X133+2,L133-(X133+2)))</f>
        <v>-315</v>
      </c>
      <c r="E133" s="6">
        <f>VALUE(MID($W133,L133+1,M133-(L133+1)))</f>
        <v>-778</v>
      </c>
      <c r="F133" s="6">
        <f>VALUE(MID($W133,M133+1,N133-(M133+1)))</f>
        <v>4408</v>
      </c>
      <c r="G133" s="6">
        <f>VALUE(MID($W133,N133+1,O133-(N133+1)))</f>
        <v>320</v>
      </c>
      <c r="H133" s="6">
        <f>VALUE(MID($W133,O133+1,P133-(O133+1)))</f>
        <v>1316</v>
      </c>
      <c r="I133" s="6">
        <f>VALUE(MID($W133,P133+1,Q133-(P133+1)))</f>
        <v>3169</v>
      </c>
      <c r="J133" s="6">
        <f>VALUE(MID($W133,Q133+1,R133-(Q133+1)))</f>
        <v>4740</v>
      </c>
      <c r="K133" s="4">
        <f>VALUE(MID(W133,R133+1,LEN(W133)-(R133)))</f>
        <v>4492</v>
      </c>
      <c r="L133" s="4">
        <f>SEARCH(",",W133,X133)</f>
        <v>15</v>
      </c>
      <c r="M133" s="4">
        <f>SEARCH(",",$W133,L133+1)</f>
        <v>21</v>
      </c>
      <c r="N133" s="4">
        <f>SEARCH(",",$W133,M133+1)</f>
        <v>27</v>
      </c>
      <c r="O133" s="4">
        <f>SEARCH(",",$W133,N133+1)</f>
        <v>32</v>
      </c>
      <c r="P133" s="4">
        <f>SEARCH(",",$W133,O133+1)</f>
        <v>38</v>
      </c>
      <c r="Q133" s="4">
        <f>SEARCH(",",$W133,P133+1)</f>
        <v>44</v>
      </c>
      <c r="R133" s="4">
        <f>SEARCH(",",$W133,Q133+1)</f>
        <v>50</v>
      </c>
      <c r="T133" t="s">
        <v>615</v>
      </c>
      <c r="U133">
        <f>SEARCH(":",T133)</f>
        <v>6</v>
      </c>
      <c r="V133" t="str">
        <f>MID(T133,U133+1,LEN(T133)-(U133))</f>
        <v xml:space="preserve"> 560359 ** -315, -778, 4408, 320, 1316, 3169, 4740, 4492</v>
      </c>
      <c r="W133" t="str">
        <f>TRIM(V133)</f>
        <v>560359 ** -315, -778, 4408, 320, 1316, 3169, 4740, 4492</v>
      </c>
      <c r="X133">
        <f>SEARCH("~*",W133)</f>
        <v>8</v>
      </c>
      <c r="Y133" t="str">
        <f>LEFT(W133,X133-1)</f>
        <v xml:space="preserve">560359 </v>
      </c>
      <c r="AA133" t="str">
        <f>CONCATENATE(A133,",",D133,",",E133,",",F133,",",G133,",",H133,",",I133,",",J133,",",K133)</f>
        <v>560359,-315,-778,4408,320,1316,3169,4740,4492</v>
      </c>
    </row>
    <row r="134" spans="1:27">
      <c r="A134" s="1">
        <f>IF(ISBLANK(T134),"",VALUE(Y134))</f>
        <v>560282</v>
      </c>
      <c r="B134" s="1">
        <f>A134*4/10 -18</f>
        <v>224094.8</v>
      </c>
      <c r="C134" s="3">
        <f>B134/7000000</f>
        <v>3.2013542857142856E-2</v>
      </c>
      <c r="D134" s="6">
        <f>VALUE(MID(W134,$X134+2,L134-(X134+2)))</f>
        <v>-316</v>
      </c>
      <c r="E134" s="6">
        <f>VALUE(MID($W134,L134+1,M134-(L134+1)))</f>
        <v>-775</v>
      </c>
      <c r="F134" s="6">
        <f>VALUE(MID($W134,M134+1,N134-(M134+1)))</f>
        <v>4401</v>
      </c>
      <c r="G134" s="6">
        <f>VALUE(MID($W134,N134+1,O134-(N134+1)))</f>
        <v>326</v>
      </c>
      <c r="H134" s="6">
        <f>VALUE(MID($W134,O134+1,P134-(O134+1)))</f>
        <v>1312</v>
      </c>
      <c r="I134" s="6">
        <f>VALUE(MID($W134,P134+1,Q134-(P134+1)))</f>
        <v>3167</v>
      </c>
      <c r="J134" s="6">
        <f>VALUE(MID($W134,Q134+1,R134-(Q134+1)))</f>
        <v>4744</v>
      </c>
      <c r="K134" s="4">
        <f>VALUE(MID(W134,R134+1,LEN(W134)-(R134)))</f>
        <v>4497</v>
      </c>
      <c r="L134" s="4">
        <f>SEARCH(",",W134,X134)</f>
        <v>15</v>
      </c>
      <c r="M134" s="4">
        <f>SEARCH(",",$W134,L134+1)</f>
        <v>21</v>
      </c>
      <c r="N134" s="4">
        <f>SEARCH(",",$W134,M134+1)</f>
        <v>27</v>
      </c>
      <c r="O134" s="4">
        <f>SEARCH(",",$W134,N134+1)</f>
        <v>32</v>
      </c>
      <c r="P134" s="4">
        <f>SEARCH(",",$W134,O134+1)</f>
        <v>38</v>
      </c>
      <c r="Q134" s="4">
        <f>SEARCH(",",$W134,P134+1)</f>
        <v>44</v>
      </c>
      <c r="R134" s="4">
        <f>SEARCH(",",$W134,Q134+1)</f>
        <v>50</v>
      </c>
      <c r="T134" t="s">
        <v>688</v>
      </c>
      <c r="U134">
        <f>SEARCH(":",T134)</f>
        <v>6</v>
      </c>
      <c r="V134" t="str">
        <f>MID(T134,U134+1,LEN(T134)-(U134))</f>
        <v xml:space="preserve"> 560282 ** -316, -775, 4401, 326, 1312, 3167, 4744, 4497</v>
      </c>
      <c r="W134" t="str">
        <f>TRIM(V134)</f>
        <v>560282 ** -316, -775, 4401, 326, 1312, 3167, 4744, 4497</v>
      </c>
      <c r="X134">
        <f>SEARCH("~*",W134)</f>
        <v>8</v>
      </c>
      <c r="Y134" t="str">
        <f>LEFT(W134,X134-1)</f>
        <v xml:space="preserve">560282 </v>
      </c>
      <c r="AA134" t="str">
        <f>CONCATENATE(A134,",",D134,",",E134,",",F134,",",G134,",",H134,",",I134,",",J134,",",K134)</f>
        <v>560282,-316,-775,4401,326,1312,3167,4744,4497</v>
      </c>
    </row>
    <row r="135" spans="1:27">
      <c r="A135" s="1">
        <f>IF(ISBLANK(T135),"",VALUE(Y135))</f>
        <v>554053</v>
      </c>
      <c r="B135" s="1">
        <f>A135*4/10 -18</f>
        <v>221603.20000000001</v>
      </c>
      <c r="C135" s="3">
        <f>B135/7000000</f>
        <v>3.1657600000000001E-2</v>
      </c>
      <c r="D135" s="6">
        <f>VALUE(MID(W135,$X135+2,L135-(X135+2)))</f>
        <v>-315</v>
      </c>
      <c r="E135" s="6">
        <f>VALUE(MID($W135,L135+1,M135-(L135+1)))</f>
        <v>-773</v>
      </c>
      <c r="F135" s="6">
        <f>VALUE(MID($W135,M135+1,N135-(M135+1)))</f>
        <v>4404</v>
      </c>
      <c r="G135" s="6">
        <f>VALUE(MID($W135,N135+1,O135-(N135+1)))</f>
        <v>325</v>
      </c>
      <c r="H135" s="6">
        <f>VALUE(MID($W135,O135+1,P135-(O135+1)))</f>
        <v>1320</v>
      </c>
      <c r="I135" s="6">
        <f>VALUE(MID($W135,P135+1,Q135-(P135+1)))</f>
        <v>3169</v>
      </c>
      <c r="J135" s="6">
        <f>VALUE(MID($W135,Q135+1,R135-(Q135+1)))</f>
        <v>4743</v>
      </c>
      <c r="K135" s="4">
        <f>VALUE(MID(W135,R135+1,LEN(W135)-(R135)))</f>
        <v>4491</v>
      </c>
      <c r="L135" s="4">
        <f>SEARCH(",",W135,X135)</f>
        <v>15</v>
      </c>
      <c r="M135" s="4">
        <f>SEARCH(",",$W135,L135+1)</f>
        <v>21</v>
      </c>
      <c r="N135" s="4">
        <f>SEARCH(",",$W135,M135+1)</f>
        <v>27</v>
      </c>
      <c r="O135" s="4">
        <f>SEARCH(",",$W135,N135+1)</f>
        <v>32</v>
      </c>
      <c r="P135" s="4">
        <f>SEARCH(",",$W135,O135+1)</f>
        <v>38</v>
      </c>
      <c r="Q135" s="4">
        <f>SEARCH(",",$W135,P135+1)</f>
        <v>44</v>
      </c>
      <c r="R135" s="4">
        <f>SEARCH(",",$W135,Q135+1)</f>
        <v>50</v>
      </c>
      <c r="T135" t="s">
        <v>838</v>
      </c>
      <c r="U135">
        <f>SEARCH(":",T135)</f>
        <v>6</v>
      </c>
      <c r="V135" t="str">
        <f>MID(T135,U135+1,LEN(T135)-(U135))</f>
        <v xml:space="preserve"> 554053 ** -315, -773, 4404, 325, 1320, 3169, 4743, 4491</v>
      </c>
      <c r="W135" t="str">
        <f>TRIM(V135)</f>
        <v>554053 ** -315, -773, 4404, 325, 1320, 3169, 4743, 4491</v>
      </c>
      <c r="X135">
        <f>SEARCH("~*",W135)</f>
        <v>8</v>
      </c>
      <c r="Y135" t="str">
        <f>LEFT(W135,X135-1)</f>
        <v xml:space="preserve">554053 </v>
      </c>
      <c r="AA135" t="str">
        <f>CONCATENATE(A135,",",D135,",",E135,",",F135,",",G135,",",H135,",",I135,",",J135,",",K135)</f>
        <v>554053,-315,-773,4404,325,1320,3169,4743,4491</v>
      </c>
    </row>
    <row r="136" spans="1:27">
      <c r="A136" s="1">
        <f>IF(ISBLANK(T136),"",VALUE(Y136))</f>
        <v>542588</v>
      </c>
      <c r="B136" s="1">
        <f>A136*4/10 -18</f>
        <v>217017.2</v>
      </c>
      <c r="C136" s="3">
        <f>B136/7000000</f>
        <v>3.1002457142857143E-2</v>
      </c>
      <c r="D136" s="6">
        <f>VALUE(MID(W136,$X136+2,L136-(X136+2)))</f>
        <v>-321</v>
      </c>
      <c r="E136" s="6">
        <f>VALUE(MID($W136,L136+1,M136-(L136+1)))</f>
        <v>-779</v>
      </c>
      <c r="F136" s="6">
        <f>VALUE(MID($W136,M136+1,N136-(M136+1)))</f>
        <v>4403</v>
      </c>
      <c r="G136" s="6">
        <f>VALUE(MID($W136,N136+1,O136-(N136+1)))</f>
        <v>327</v>
      </c>
      <c r="H136" s="6">
        <f>VALUE(MID($W136,O136+1,P136-(O136+1)))</f>
        <v>1314</v>
      </c>
      <c r="I136" s="6">
        <f>VALUE(MID($W136,P136+1,Q136-(P136+1)))</f>
        <v>3173</v>
      </c>
      <c r="J136" s="6">
        <f>VALUE(MID($W136,Q136+1,R136-(Q136+1)))</f>
        <v>4742</v>
      </c>
      <c r="K136" s="4">
        <f>VALUE(MID(W136,R136+1,LEN(W136)-(R136)))</f>
        <v>4497</v>
      </c>
      <c r="L136" s="4">
        <f>SEARCH(",",W136,X136)</f>
        <v>15</v>
      </c>
      <c r="M136" s="4">
        <f>SEARCH(",",$W136,L136+1)</f>
        <v>21</v>
      </c>
      <c r="N136" s="4">
        <f>SEARCH(",",$W136,M136+1)</f>
        <v>27</v>
      </c>
      <c r="O136" s="4">
        <f>SEARCH(",",$W136,N136+1)</f>
        <v>32</v>
      </c>
      <c r="P136" s="4">
        <f>SEARCH(",",$W136,O136+1)</f>
        <v>38</v>
      </c>
      <c r="Q136" s="4">
        <f>SEARCH(",",$W136,P136+1)</f>
        <v>44</v>
      </c>
      <c r="R136" s="4">
        <f>SEARCH(",",$W136,Q136+1)</f>
        <v>50</v>
      </c>
      <c r="T136" t="s">
        <v>595</v>
      </c>
      <c r="U136">
        <f>SEARCH(":",T136)</f>
        <v>6</v>
      </c>
      <c r="V136" t="str">
        <f>MID(T136,U136+1,LEN(T136)-(U136))</f>
        <v xml:space="preserve"> 542588 ** -321, -779, 4403, 327, 1314, 3173, 4742, 4497</v>
      </c>
      <c r="W136" t="str">
        <f>TRIM(V136)</f>
        <v>542588 ** -321, -779, 4403, 327, 1314, 3173, 4742, 4497</v>
      </c>
      <c r="X136">
        <f>SEARCH("~*",W136)</f>
        <v>8</v>
      </c>
      <c r="Y136" t="str">
        <f>LEFT(W136,X136-1)</f>
        <v xml:space="preserve">542588 </v>
      </c>
      <c r="AA136" t="str">
        <f>CONCATENATE(A136,",",D136,",",E136,",",F136,",",G136,",",H136,",",I136,",",J136,",",K136)</f>
        <v>542588,-321,-779,4403,327,1314,3173,4742,4497</v>
      </c>
    </row>
    <row r="137" spans="1:27">
      <c r="A137" s="1">
        <f>IF(ISBLANK(T137),"",VALUE(Y137))</f>
        <v>540569</v>
      </c>
      <c r="B137" s="1">
        <f>A137*4/10 -18</f>
        <v>216209.6</v>
      </c>
      <c r="C137" s="3">
        <f>B137/7000000</f>
        <v>3.0887085714285716E-2</v>
      </c>
      <c r="D137" s="6">
        <f>VALUE(MID(W137,$X137+2,L137-(X137+2)))</f>
        <v>-321</v>
      </c>
      <c r="E137" s="6">
        <f>VALUE(MID($W137,L137+1,M137-(L137+1)))</f>
        <v>-777</v>
      </c>
      <c r="F137" s="6">
        <f>VALUE(MID($W137,M137+1,N137-(M137+1)))</f>
        <v>4403</v>
      </c>
      <c r="G137" s="6">
        <f>VALUE(MID($W137,N137+1,O137-(N137+1)))</f>
        <v>329</v>
      </c>
      <c r="H137" s="6">
        <f>VALUE(MID($W137,O137+1,P137-(O137+1)))</f>
        <v>1317</v>
      </c>
      <c r="I137" s="6">
        <f>VALUE(MID($W137,P137+1,Q137-(P137+1)))</f>
        <v>3166</v>
      </c>
      <c r="J137" s="6">
        <f>VALUE(MID($W137,Q137+1,R137-(Q137+1)))</f>
        <v>4745</v>
      </c>
      <c r="K137" s="4">
        <f>VALUE(MID(W137,R137+1,LEN(W137)-(R137)))</f>
        <v>4491</v>
      </c>
      <c r="L137" s="4">
        <f>SEARCH(",",W137,X137)</f>
        <v>15</v>
      </c>
      <c r="M137" s="4">
        <f>SEARCH(",",$W137,L137+1)</f>
        <v>21</v>
      </c>
      <c r="N137" s="4">
        <f>SEARCH(",",$W137,M137+1)</f>
        <v>27</v>
      </c>
      <c r="O137" s="4">
        <f>SEARCH(",",$W137,N137+1)</f>
        <v>32</v>
      </c>
      <c r="P137" s="4">
        <f>SEARCH(",",$W137,O137+1)</f>
        <v>38</v>
      </c>
      <c r="Q137" s="4">
        <f>SEARCH(",",$W137,P137+1)</f>
        <v>44</v>
      </c>
      <c r="R137" s="4">
        <f>SEARCH(",",$W137,Q137+1)</f>
        <v>50</v>
      </c>
      <c r="T137" t="s">
        <v>659</v>
      </c>
      <c r="U137">
        <f>SEARCH(":",T137)</f>
        <v>6</v>
      </c>
      <c r="V137" t="str">
        <f>MID(T137,U137+1,LEN(T137)-(U137))</f>
        <v xml:space="preserve"> 540569 ** -321, -777, 4403, 329, 1317, 3166, 4745, 4491</v>
      </c>
      <c r="W137" t="str">
        <f>TRIM(V137)</f>
        <v>540569 ** -321, -777, 4403, 329, 1317, 3166, 4745, 4491</v>
      </c>
      <c r="X137">
        <f>SEARCH("~*",W137)</f>
        <v>8</v>
      </c>
      <c r="Y137" t="str">
        <f>LEFT(W137,X137-1)</f>
        <v xml:space="preserve">540569 </v>
      </c>
      <c r="AA137" t="str">
        <f>CONCATENATE(A137,",",D137,",",E137,",",F137,",",G137,",",H137,",",I137,",",J137,",",K137)</f>
        <v>540569,-321,-777,4403,329,1317,3166,4745,4491</v>
      </c>
    </row>
    <row r="138" spans="1:27">
      <c r="A138" s="1">
        <f>IF(ISBLANK(T138),"",VALUE(Y138))</f>
        <v>539681</v>
      </c>
      <c r="B138" s="1">
        <f>A138*4/10 -18</f>
        <v>215854.4</v>
      </c>
      <c r="C138" s="3">
        <f>B138/7000000</f>
        <v>3.0836342857142856E-2</v>
      </c>
      <c r="D138" s="6">
        <f>VALUE(MID(W138,$X138+2,L138-(X138+2)))</f>
        <v>-319</v>
      </c>
      <c r="E138" s="6">
        <f>VALUE(MID($W138,L138+1,M138-(L138+1)))</f>
        <v>-774</v>
      </c>
      <c r="F138" s="6">
        <f>VALUE(MID($W138,M138+1,N138-(M138+1)))</f>
        <v>4406</v>
      </c>
      <c r="G138" s="6">
        <f>VALUE(MID($W138,N138+1,O138-(N138+1)))</f>
        <v>321</v>
      </c>
      <c r="H138" s="6">
        <f>VALUE(MID($W138,O138+1,P138-(O138+1)))</f>
        <v>1314</v>
      </c>
      <c r="I138" s="6">
        <f>VALUE(MID($W138,P138+1,Q138-(P138+1)))</f>
        <v>3172</v>
      </c>
      <c r="J138" s="6">
        <f>VALUE(MID($W138,Q138+1,R138-(Q138+1)))</f>
        <v>4743</v>
      </c>
      <c r="K138" s="4">
        <f>VALUE(MID(W138,R138+1,LEN(W138)-(R138)))</f>
        <v>4491</v>
      </c>
      <c r="L138" s="4">
        <f>SEARCH(",",W138,X138)</f>
        <v>15</v>
      </c>
      <c r="M138" s="4">
        <f>SEARCH(",",$W138,L138+1)</f>
        <v>21</v>
      </c>
      <c r="N138" s="4">
        <f>SEARCH(",",$W138,M138+1)</f>
        <v>27</v>
      </c>
      <c r="O138" s="4">
        <f>SEARCH(",",$W138,N138+1)</f>
        <v>32</v>
      </c>
      <c r="P138" s="4">
        <f>SEARCH(",",$W138,O138+1)</f>
        <v>38</v>
      </c>
      <c r="Q138" s="4">
        <f>SEARCH(",",$W138,P138+1)</f>
        <v>44</v>
      </c>
      <c r="R138" s="4">
        <f>SEARCH(",",$W138,Q138+1)</f>
        <v>50</v>
      </c>
      <c r="T138" t="s">
        <v>622</v>
      </c>
      <c r="U138">
        <f>SEARCH(":",T138)</f>
        <v>6</v>
      </c>
      <c r="V138" t="str">
        <f>MID(T138,U138+1,LEN(T138)-(U138))</f>
        <v xml:space="preserve"> 539681 ** -319, -774, 4406, 321, 1314, 3172, 4743, 4491</v>
      </c>
      <c r="W138" t="str">
        <f>TRIM(V138)</f>
        <v>539681 ** -319, -774, 4406, 321, 1314, 3172, 4743, 4491</v>
      </c>
      <c r="X138">
        <f>SEARCH("~*",W138)</f>
        <v>8</v>
      </c>
      <c r="Y138" t="str">
        <f>LEFT(W138,X138-1)</f>
        <v xml:space="preserve">539681 </v>
      </c>
      <c r="AA138" t="str">
        <f>CONCATENATE(A138,",",D138,",",E138,",",F138,",",G138,",",H138,",",I138,",",J138,",",K138)</f>
        <v>539681,-319,-774,4406,321,1314,3172,4743,4491</v>
      </c>
    </row>
    <row r="139" spans="1:27">
      <c r="A139" s="1">
        <f>IF(ISBLANK(T139),"",VALUE(Y139))</f>
        <v>539600</v>
      </c>
      <c r="B139" s="1">
        <f>A139*4/10 -18</f>
        <v>215822</v>
      </c>
      <c r="C139" s="3">
        <f>B139/7000000</f>
        <v>3.0831714285714285E-2</v>
      </c>
      <c r="D139" s="6">
        <f>VALUE(MID(W139,$X139+2,L139-(X139+2)))</f>
        <v>-322</v>
      </c>
      <c r="E139" s="6">
        <f>VALUE(MID($W139,L139+1,M139-(L139+1)))</f>
        <v>-777</v>
      </c>
      <c r="F139" s="6">
        <f>VALUE(MID($W139,M139+1,N139-(M139+1)))</f>
        <v>4404</v>
      </c>
      <c r="G139" s="6">
        <f>VALUE(MID($W139,N139+1,O139-(N139+1)))</f>
        <v>329</v>
      </c>
      <c r="H139" s="6">
        <f>VALUE(MID($W139,O139+1,P139-(O139+1)))</f>
        <v>1320</v>
      </c>
      <c r="I139" s="6">
        <f>VALUE(MID($W139,P139+1,Q139-(P139+1)))</f>
        <v>3174</v>
      </c>
      <c r="J139" s="6">
        <f>VALUE(MID($W139,Q139+1,R139-(Q139+1)))</f>
        <v>4739</v>
      </c>
      <c r="K139" s="4">
        <f>VALUE(MID(W139,R139+1,LEN(W139)-(R139)))</f>
        <v>4500</v>
      </c>
      <c r="L139" s="4">
        <f>SEARCH(",",W139,X139)</f>
        <v>15</v>
      </c>
      <c r="M139" s="4">
        <f>SEARCH(",",$W139,L139+1)</f>
        <v>21</v>
      </c>
      <c r="N139" s="4">
        <f>SEARCH(",",$W139,M139+1)</f>
        <v>27</v>
      </c>
      <c r="O139" s="4">
        <f>SEARCH(",",$W139,N139+1)</f>
        <v>32</v>
      </c>
      <c r="P139" s="4">
        <f>SEARCH(",",$W139,O139+1)</f>
        <v>38</v>
      </c>
      <c r="Q139" s="4">
        <f>SEARCH(",",$W139,P139+1)</f>
        <v>44</v>
      </c>
      <c r="R139" s="4">
        <f>SEARCH(",",$W139,Q139+1)</f>
        <v>50</v>
      </c>
      <c r="T139" t="s">
        <v>607</v>
      </c>
      <c r="U139">
        <f>SEARCH(":",T139)</f>
        <v>6</v>
      </c>
      <c r="V139" t="str">
        <f>MID(T139,U139+1,LEN(T139)-(U139))</f>
        <v xml:space="preserve"> 539600 ** -322, -777, 4404, 329, 1320, 3174, 4739, 4500</v>
      </c>
      <c r="W139" t="str">
        <f>TRIM(V139)</f>
        <v>539600 ** -322, -777, 4404, 329, 1320, 3174, 4739, 4500</v>
      </c>
      <c r="X139">
        <f>SEARCH("~*",W139)</f>
        <v>8</v>
      </c>
      <c r="Y139" t="str">
        <f>LEFT(W139,X139-1)</f>
        <v xml:space="preserve">539600 </v>
      </c>
      <c r="AA139" t="str">
        <f>CONCATENATE(A139,",",D139,",",E139,",",F139,",",G139,",",H139,",",I139,",",J139,",",K139)</f>
        <v>539600,-322,-777,4404,329,1320,3174,4739,4500</v>
      </c>
    </row>
    <row r="140" spans="1:27">
      <c r="A140" s="1">
        <f>IF(ISBLANK(T140),"",VALUE(Y140))</f>
        <v>536411</v>
      </c>
      <c r="B140" s="1">
        <f>A140*4/10 -18</f>
        <v>214546.4</v>
      </c>
      <c r="C140" s="3">
        <f>B140/7000000</f>
        <v>3.0649485714285715E-2</v>
      </c>
      <c r="D140" s="6">
        <f>VALUE(MID(W140,$X140+2,L140-(X140+2)))</f>
        <v>-318</v>
      </c>
      <c r="E140" s="6">
        <f>VALUE(MID($W140,L140+1,M140-(L140+1)))</f>
        <v>-774</v>
      </c>
      <c r="F140" s="6">
        <f>VALUE(MID($W140,M140+1,N140-(M140+1)))</f>
        <v>4406</v>
      </c>
      <c r="G140" s="6">
        <f>VALUE(MID($W140,N140+1,O140-(N140+1)))</f>
        <v>325</v>
      </c>
      <c r="H140" s="6">
        <f>VALUE(MID($W140,O140+1,P140-(O140+1)))</f>
        <v>1313</v>
      </c>
      <c r="I140" s="6">
        <f>VALUE(MID($W140,P140+1,Q140-(P140+1)))</f>
        <v>3175</v>
      </c>
      <c r="J140" s="6">
        <f>VALUE(MID($W140,Q140+1,R140-(Q140+1)))</f>
        <v>4744</v>
      </c>
      <c r="K140" s="4">
        <f>VALUE(MID(W140,R140+1,LEN(W140)-(R140)))</f>
        <v>4491</v>
      </c>
      <c r="L140" s="4">
        <f>SEARCH(",",W140,X140)</f>
        <v>15</v>
      </c>
      <c r="M140" s="4">
        <f>SEARCH(",",$W140,L140+1)</f>
        <v>21</v>
      </c>
      <c r="N140" s="4">
        <f>SEARCH(",",$W140,M140+1)</f>
        <v>27</v>
      </c>
      <c r="O140" s="4">
        <f>SEARCH(",",$W140,N140+1)</f>
        <v>32</v>
      </c>
      <c r="P140" s="4">
        <f>SEARCH(",",$W140,O140+1)</f>
        <v>38</v>
      </c>
      <c r="Q140" s="4">
        <f>SEARCH(",",$W140,P140+1)</f>
        <v>44</v>
      </c>
      <c r="R140" s="4">
        <f>SEARCH(",",$W140,Q140+1)</f>
        <v>50</v>
      </c>
      <c r="T140" t="s">
        <v>826</v>
      </c>
      <c r="U140">
        <f>SEARCH(":",T140)</f>
        <v>6</v>
      </c>
      <c r="V140" t="str">
        <f>MID(T140,U140+1,LEN(T140)-(U140))</f>
        <v xml:space="preserve"> 536411 ** -318, -774, 4406, 325, 1313, 3175, 4744, 4491</v>
      </c>
      <c r="W140" t="str">
        <f>TRIM(V140)</f>
        <v>536411 ** -318, -774, 4406, 325, 1313, 3175, 4744, 4491</v>
      </c>
      <c r="X140">
        <f>SEARCH("~*",W140)</f>
        <v>8</v>
      </c>
      <c r="Y140" t="str">
        <f>LEFT(W140,X140-1)</f>
        <v xml:space="preserve">536411 </v>
      </c>
      <c r="AA140" t="str">
        <f>CONCATENATE(A140,",",D140,",",E140,",",F140,",",G140,",",H140,",",I140,",",J140,",",K140)</f>
        <v>536411,-318,-774,4406,325,1313,3175,4744,4491</v>
      </c>
    </row>
    <row r="141" spans="1:27">
      <c r="A141" s="1">
        <f>IF(ISBLANK(T141),"",VALUE(Y141))</f>
        <v>534930</v>
      </c>
      <c r="B141" s="1">
        <f>A141*4/10 -18</f>
        <v>213954</v>
      </c>
      <c r="C141" s="3">
        <f>B141/7000000</f>
        <v>3.0564857142857144E-2</v>
      </c>
      <c r="D141" s="6">
        <f>VALUE(MID(W141,$X141+2,L141-(X141+2)))</f>
        <v>-322</v>
      </c>
      <c r="E141" s="6">
        <f>VALUE(MID($W141,L141+1,M141-(L141+1)))</f>
        <v>-782</v>
      </c>
      <c r="F141" s="6">
        <f>VALUE(MID($W141,M141+1,N141-(M141+1)))</f>
        <v>4403</v>
      </c>
      <c r="G141" s="6">
        <f>VALUE(MID($W141,N141+1,O141-(N141+1)))</f>
        <v>329</v>
      </c>
      <c r="H141" s="6">
        <f>VALUE(MID($W141,O141+1,P141-(O141+1)))</f>
        <v>1319</v>
      </c>
      <c r="I141" s="6">
        <f>VALUE(MID($W141,P141+1,Q141-(P141+1)))</f>
        <v>3167</v>
      </c>
      <c r="J141" s="6">
        <f>VALUE(MID($W141,Q141+1,R141-(Q141+1)))</f>
        <v>4743</v>
      </c>
      <c r="K141" s="4">
        <f>VALUE(MID(W141,R141+1,LEN(W141)-(R141)))</f>
        <v>4495</v>
      </c>
      <c r="L141" s="4">
        <f>SEARCH(",",W141,X141)</f>
        <v>15</v>
      </c>
      <c r="M141" s="4">
        <f>SEARCH(",",$W141,L141+1)</f>
        <v>21</v>
      </c>
      <c r="N141" s="4">
        <f>SEARCH(",",$W141,M141+1)</f>
        <v>27</v>
      </c>
      <c r="O141" s="4">
        <f>SEARCH(",",$W141,N141+1)</f>
        <v>32</v>
      </c>
      <c r="P141" s="4">
        <f>SEARCH(",",$W141,O141+1)</f>
        <v>38</v>
      </c>
      <c r="Q141" s="4">
        <f>SEARCH(",",$W141,P141+1)</f>
        <v>44</v>
      </c>
      <c r="R141" s="4">
        <f>SEARCH(",",$W141,Q141+1)</f>
        <v>50</v>
      </c>
      <c r="T141" t="s">
        <v>624</v>
      </c>
      <c r="U141">
        <f>SEARCH(":",T141)</f>
        <v>6</v>
      </c>
      <c r="V141" t="str">
        <f>MID(T141,U141+1,LEN(T141)-(U141))</f>
        <v xml:space="preserve"> 534930 ** -322, -782, 4403, 329, 1319, 3167, 4743, 4495</v>
      </c>
      <c r="W141" t="str">
        <f>TRIM(V141)</f>
        <v>534930 ** -322, -782, 4403, 329, 1319, 3167, 4743, 4495</v>
      </c>
      <c r="X141">
        <f>SEARCH("~*",W141)</f>
        <v>8</v>
      </c>
      <c r="Y141" t="str">
        <f>LEFT(W141,X141-1)</f>
        <v xml:space="preserve">534930 </v>
      </c>
      <c r="AA141" t="str">
        <f>CONCATENATE(A141,",",D141,",",E141,",",F141,",",G141,",",H141,",",I141,",",J141,",",K141)</f>
        <v>534930,-322,-782,4403,329,1319,3167,4743,4495</v>
      </c>
    </row>
    <row r="142" spans="1:27">
      <c r="A142" s="1">
        <f>IF(ISBLANK(T142),"",VALUE(Y142))</f>
        <v>530655</v>
      </c>
      <c r="B142" s="1">
        <f>A142*4/10 -18</f>
        <v>212244</v>
      </c>
      <c r="C142" s="3">
        <f>B142/7000000</f>
        <v>3.0320571428571429E-2</v>
      </c>
      <c r="D142" s="6">
        <f>VALUE(MID(W142,$X142+2,L142-(X142+2)))</f>
        <v>-315</v>
      </c>
      <c r="E142" s="6">
        <f>VALUE(MID($W142,L142+1,M142-(L142+1)))</f>
        <v>-778</v>
      </c>
      <c r="F142" s="6">
        <f>VALUE(MID($W142,M142+1,N142-(M142+1)))</f>
        <v>4405</v>
      </c>
      <c r="G142" s="6">
        <f>VALUE(MID($W142,N142+1,O142-(N142+1)))</f>
        <v>327</v>
      </c>
      <c r="H142" s="6">
        <f>VALUE(MID($W142,O142+1,P142-(O142+1)))</f>
        <v>1313</v>
      </c>
      <c r="I142" s="6">
        <f>VALUE(MID($W142,P142+1,Q142-(P142+1)))</f>
        <v>3170</v>
      </c>
      <c r="J142" s="6">
        <f>VALUE(MID($W142,Q142+1,R142-(Q142+1)))</f>
        <v>4742</v>
      </c>
      <c r="K142" s="4">
        <f>VALUE(MID(W142,R142+1,LEN(W142)-(R142)))</f>
        <v>4498</v>
      </c>
      <c r="L142" s="4">
        <f>SEARCH(",",W142,X142)</f>
        <v>15</v>
      </c>
      <c r="M142" s="4">
        <f>SEARCH(",",$W142,L142+1)</f>
        <v>21</v>
      </c>
      <c r="N142" s="4">
        <f>SEARCH(",",$W142,M142+1)</f>
        <v>27</v>
      </c>
      <c r="O142" s="4">
        <f>SEARCH(",",$W142,N142+1)</f>
        <v>32</v>
      </c>
      <c r="P142" s="4">
        <f>SEARCH(",",$W142,O142+1)</f>
        <v>38</v>
      </c>
      <c r="Q142" s="4">
        <f>SEARCH(",",$W142,P142+1)</f>
        <v>44</v>
      </c>
      <c r="R142" s="4">
        <f>SEARCH(",",$W142,Q142+1)</f>
        <v>50</v>
      </c>
      <c r="T142" t="s">
        <v>689</v>
      </c>
      <c r="U142">
        <f>SEARCH(":",T142)</f>
        <v>6</v>
      </c>
      <c r="V142" t="str">
        <f>MID(T142,U142+1,LEN(T142)-(U142))</f>
        <v xml:space="preserve"> 530655 ** -315, -778, 4405, 327, 1313, 3170, 4742, 4498</v>
      </c>
      <c r="W142" t="str">
        <f>TRIM(V142)</f>
        <v>530655 ** -315, -778, 4405, 327, 1313, 3170, 4742, 4498</v>
      </c>
      <c r="X142">
        <f>SEARCH("~*",W142)</f>
        <v>8</v>
      </c>
      <c r="Y142" t="str">
        <f>LEFT(W142,X142-1)</f>
        <v xml:space="preserve">530655 </v>
      </c>
      <c r="AA142" t="str">
        <f>CONCATENATE(A142,",",D142,",",E142,",",F142,",",G142,",",H142,",",I142,",",J142,",",K142)</f>
        <v>530655,-315,-778,4405,327,1313,3170,4742,4498</v>
      </c>
    </row>
    <row r="143" spans="1:27">
      <c r="A143" s="1">
        <f>IF(ISBLANK(T143),"",VALUE(Y143))</f>
        <v>525808</v>
      </c>
      <c r="B143" s="1">
        <f>A143*4/10 -18</f>
        <v>210305.2</v>
      </c>
      <c r="C143" s="3">
        <f>B143/7000000</f>
        <v>3.00436E-2</v>
      </c>
      <c r="D143" s="6">
        <f>VALUE(MID(W143,$X143+2,L143-(X143+2)))</f>
        <v>-322</v>
      </c>
      <c r="E143" s="6">
        <f>VALUE(MID($W143,L143+1,M143-(L143+1)))</f>
        <v>-779</v>
      </c>
      <c r="F143" s="6">
        <f>VALUE(MID($W143,M143+1,N143-(M143+1)))</f>
        <v>4402</v>
      </c>
      <c r="G143" s="6">
        <f>VALUE(MID($W143,N143+1,O143-(N143+1)))</f>
        <v>329</v>
      </c>
      <c r="H143" s="6">
        <f>VALUE(MID($W143,O143+1,P143-(O143+1)))</f>
        <v>1315</v>
      </c>
      <c r="I143" s="6">
        <f>VALUE(MID($W143,P143+1,Q143-(P143+1)))</f>
        <v>3172</v>
      </c>
      <c r="J143" s="6">
        <f>VALUE(MID($W143,Q143+1,R143-(Q143+1)))</f>
        <v>4744</v>
      </c>
      <c r="K143" s="4">
        <f>VALUE(MID(W143,R143+1,LEN(W143)-(R143)))</f>
        <v>4495</v>
      </c>
      <c r="L143" s="4">
        <f>SEARCH(",",W143,X143)</f>
        <v>15</v>
      </c>
      <c r="M143" s="4">
        <f>SEARCH(",",$W143,L143+1)</f>
        <v>21</v>
      </c>
      <c r="N143" s="4">
        <f>SEARCH(",",$W143,M143+1)</f>
        <v>27</v>
      </c>
      <c r="O143" s="4">
        <f>SEARCH(",",$W143,N143+1)</f>
        <v>32</v>
      </c>
      <c r="P143" s="4">
        <f>SEARCH(",",$W143,O143+1)</f>
        <v>38</v>
      </c>
      <c r="Q143" s="4">
        <f>SEARCH(",",$W143,P143+1)</f>
        <v>44</v>
      </c>
      <c r="R143" s="4">
        <f>SEARCH(",",$W143,Q143+1)</f>
        <v>50</v>
      </c>
      <c r="T143" t="s">
        <v>692</v>
      </c>
      <c r="U143">
        <f>SEARCH(":",T143)</f>
        <v>6</v>
      </c>
      <c r="V143" t="str">
        <f>MID(T143,U143+1,LEN(T143)-(U143))</f>
        <v xml:space="preserve"> 525808 ** -322, -779, 4402, 329, 1315, 3172, 4744, 4495</v>
      </c>
      <c r="W143" t="str">
        <f>TRIM(V143)</f>
        <v>525808 ** -322, -779, 4402, 329, 1315, 3172, 4744, 4495</v>
      </c>
      <c r="X143">
        <f>SEARCH("~*",W143)</f>
        <v>8</v>
      </c>
      <c r="Y143" t="str">
        <f>LEFT(W143,X143-1)</f>
        <v xml:space="preserve">525808 </v>
      </c>
      <c r="AA143" t="str">
        <f>CONCATENATE(A143,",",D143,",",E143,",",F143,",",G143,",",H143,",",I143,",",J143,",",K143)</f>
        <v>525808,-322,-779,4402,329,1315,3172,4744,4495</v>
      </c>
    </row>
    <row r="144" spans="1:27">
      <c r="A144" s="1">
        <f>IF(ISBLANK(T144),"",VALUE(Y144))</f>
        <v>524017</v>
      </c>
      <c r="B144" s="1">
        <f>A144*4/10 -18</f>
        <v>209588.8</v>
      </c>
      <c r="C144" s="3">
        <f>B144/7000000</f>
        <v>2.9941257142857142E-2</v>
      </c>
      <c r="D144" s="6">
        <f>VALUE(MID(W144,$X144+2,L144-(X144+2)))</f>
        <v>-324</v>
      </c>
      <c r="E144" s="6">
        <f>VALUE(MID($W144,L144+1,M144-(L144+1)))</f>
        <v>-773</v>
      </c>
      <c r="F144" s="6">
        <f>VALUE(MID($W144,M144+1,N144-(M144+1)))</f>
        <v>4408</v>
      </c>
      <c r="G144" s="6">
        <f>VALUE(MID($W144,N144+1,O144-(N144+1)))</f>
        <v>323</v>
      </c>
      <c r="H144" s="6">
        <f>VALUE(MID($W144,O144+1,P144-(O144+1)))</f>
        <v>1319</v>
      </c>
      <c r="I144" s="6">
        <f>VALUE(MID($W144,P144+1,Q144-(P144+1)))</f>
        <v>3175</v>
      </c>
      <c r="J144" s="6">
        <f>VALUE(MID($W144,Q144+1,R144-(Q144+1)))</f>
        <v>4741</v>
      </c>
      <c r="K144" s="4">
        <f>VALUE(MID(W144,R144+1,LEN(W144)-(R144)))</f>
        <v>4493</v>
      </c>
      <c r="L144" s="4">
        <f>SEARCH(",",W144,X144)</f>
        <v>15</v>
      </c>
      <c r="M144" s="4">
        <f>SEARCH(",",$W144,L144+1)</f>
        <v>21</v>
      </c>
      <c r="N144" s="4">
        <f>SEARCH(",",$W144,M144+1)</f>
        <v>27</v>
      </c>
      <c r="O144" s="4">
        <f>SEARCH(",",$W144,N144+1)</f>
        <v>32</v>
      </c>
      <c r="P144" s="4">
        <f>SEARCH(",",$W144,O144+1)</f>
        <v>38</v>
      </c>
      <c r="Q144" s="4">
        <f>SEARCH(",",$W144,P144+1)</f>
        <v>44</v>
      </c>
      <c r="R144" s="4">
        <f>SEARCH(",",$W144,Q144+1)</f>
        <v>50</v>
      </c>
      <c r="T144" t="s">
        <v>597</v>
      </c>
      <c r="U144">
        <f>SEARCH(":",T144)</f>
        <v>6</v>
      </c>
      <c r="V144" t="str">
        <f>MID(T144,U144+1,LEN(T144)-(U144))</f>
        <v xml:space="preserve"> 524017 ** -324, -773, 4408, 323, 1319, 3175, 4741, 4493</v>
      </c>
      <c r="W144" t="str">
        <f>TRIM(V144)</f>
        <v>524017 ** -324, -773, 4408, 323, 1319, 3175, 4741, 4493</v>
      </c>
      <c r="X144">
        <f>SEARCH("~*",W144)</f>
        <v>8</v>
      </c>
      <c r="Y144" t="str">
        <f>LEFT(W144,X144-1)</f>
        <v xml:space="preserve">524017 </v>
      </c>
      <c r="AA144" t="str">
        <f>CONCATENATE(A144,",",D144,",",E144,",",F144,",",G144,",",H144,",",I144,",",J144,",",K144)</f>
        <v>524017,-324,-773,4408,323,1319,3175,4741,4493</v>
      </c>
    </row>
    <row r="145" spans="1:27">
      <c r="A145" s="1">
        <f>IF(ISBLANK(T145),"",VALUE(Y145))</f>
        <v>519315</v>
      </c>
      <c r="B145" s="1">
        <f>A145*4/10 -18</f>
        <v>207708</v>
      </c>
      <c r="C145" s="3">
        <f>B145/7000000</f>
        <v>2.967257142857143E-2</v>
      </c>
      <c r="D145" s="6">
        <f>VALUE(MID(W145,$X145+2,L145-(X145+2)))</f>
        <v>-316</v>
      </c>
      <c r="E145" s="6">
        <f>VALUE(MID($W145,L145+1,M145-(L145+1)))</f>
        <v>-775</v>
      </c>
      <c r="F145" s="6">
        <f>VALUE(MID($W145,M145+1,N145-(M145+1)))</f>
        <v>4403</v>
      </c>
      <c r="G145" s="6">
        <f>VALUE(MID($W145,N145+1,O145-(N145+1)))</f>
        <v>327</v>
      </c>
      <c r="H145" s="6">
        <f>VALUE(MID($W145,O145+1,P145-(O145+1)))</f>
        <v>1316</v>
      </c>
      <c r="I145" s="6">
        <f>VALUE(MID($W145,P145+1,Q145-(P145+1)))</f>
        <v>3170</v>
      </c>
      <c r="J145" s="6">
        <f>VALUE(MID($W145,Q145+1,R145-(Q145+1)))</f>
        <v>4742</v>
      </c>
      <c r="K145" s="4">
        <f>VALUE(MID(W145,R145+1,LEN(W145)-(R145)))</f>
        <v>4499</v>
      </c>
      <c r="L145" s="4">
        <f>SEARCH(",",W145,X145)</f>
        <v>15</v>
      </c>
      <c r="M145" s="4">
        <f>SEARCH(",",$W145,L145+1)</f>
        <v>21</v>
      </c>
      <c r="N145" s="4">
        <f>SEARCH(",",$W145,M145+1)</f>
        <v>27</v>
      </c>
      <c r="O145" s="4">
        <f>SEARCH(",",$W145,N145+1)</f>
        <v>32</v>
      </c>
      <c r="P145" s="4">
        <f>SEARCH(",",$W145,O145+1)</f>
        <v>38</v>
      </c>
      <c r="Q145" s="4">
        <f>SEARCH(",",$W145,P145+1)</f>
        <v>44</v>
      </c>
      <c r="R145" s="4">
        <f>SEARCH(",",$W145,Q145+1)</f>
        <v>50</v>
      </c>
      <c r="T145" t="s">
        <v>790</v>
      </c>
      <c r="U145">
        <f>SEARCH(":",T145)</f>
        <v>6</v>
      </c>
      <c r="V145" t="str">
        <f>MID(T145,U145+1,LEN(T145)-(U145))</f>
        <v xml:space="preserve"> 519315 ** -316, -775, 4403, 327, 1316, 3170, 4742, 4499</v>
      </c>
      <c r="W145" t="str">
        <f>TRIM(V145)</f>
        <v>519315 ** -316, -775, 4403, 327, 1316, 3170, 4742, 4499</v>
      </c>
      <c r="X145">
        <f>SEARCH("~*",W145)</f>
        <v>8</v>
      </c>
      <c r="Y145" t="str">
        <f>LEFT(W145,X145-1)</f>
        <v xml:space="preserve">519315 </v>
      </c>
      <c r="AA145" t="str">
        <f>CONCATENATE(A145,",",D145,",",E145,",",F145,",",G145,",",H145,",",I145,",",J145,",",K145)</f>
        <v>519315,-316,-775,4403,327,1316,3170,4742,4499</v>
      </c>
    </row>
    <row r="146" spans="1:27">
      <c r="A146" s="1">
        <f>IF(ISBLANK(T146),"",VALUE(Y146))</f>
        <v>515818</v>
      </c>
      <c r="B146" s="1">
        <f>A146*4/10 -18</f>
        <v>206309.2</v>
      </c>
      <c r="C146" s="3">
        <f>B146/7000000</f>
        <v>2.947274285714286E-2</v>
      </c>
      <c r="D146" s="6">
        <f>VALUE(MID(W146,$X146+2,L146-(X146+2)))</f>
        <v>-318</v>
      </c>
      <c r="E146" s="6">
        <f>VALUE(MID($W146,L146+1,M146-(L146+1)))</f>
        <v>-780</v>
      </c>
      <c r="F146" s="6">
        <f>VALUE(MID($W146,M146+1,N146-(M146+1)))</f>
        <v>4401</v>
      </c>
      <c r="G146" s="6">
        <f>VALUE(MID($W146,N146+1,O146-(N146+1)))</f>
        <v>321</v>
      </c>
      <c r="H146" s="6">
        <f>VALUE(MID($W146,O146+1,P146-(O146+1)))</f>
        <v>1316</v>
      </c>
      <c r="I146" s="6">
        <f>VALUE(MID($W146,P146+1,Q146-(P146+1)))</f>
        <v>3172</v>
      </c>
      <c r="J146" s="6">
        <f>VALUE(MID($W146,Q146+1,R146-(Q146+1)))</f>
        <v>4743</v>
      </c>
      <c r="K146" s="4">
        <f>VALUE(MID(W146,R146+1,LEN(W146)-(R146)))</f>
        <v>4491</v>
      </c>
      <c r="L146" s="4">
        <f>SEARCH(",",W146,X146)</f>
        <v>15</v>
      </c>
      <c r="M146" s="4">
        <f>SEARCH(",",$W146,L146+1)</f>
        <v>21</v>
      </c>
      <c r="N146" s="4">
        <f>SEARCH(",",$W146,M146+1)</f>
        <v>27</v>
      </c>
      <c r="O146" s="4">
        <f>SEARCH(",",$W146,N146+1)</f>
        <v>32</v>
      </c>
      <c r="P146" s="4">
        <f>SEARCH(",",$W146,O146+1)</f>
        <v>38</v>
      </c>
      <c r="Q146" s="4">
        <f>SEARCH(",",$W146,P146+1)</f>
        <v>44</v>
      </c>
      <c r="R146" s="4">
        <f>SEARCH(",",$W146,Q146+1)</f>
        <v>50</v>
      </c>
      <c r="T146" t="s">
        <v>850</v>
      </c>
      <c r="U146">
        <f>SEARCH(":",T146)</f>
        <v>6</v>
      </c>
      <c r="V146" t="str">
        <f>MID(T146,U146+1,LEN(T146)-(U146))</f>
        <v xml:space="preserve"> 515818 ** -318, -780, 4401, 321, 1316, 3172, 4743, 4491</v>
      </c>
      <c r="W146" t="str">
        <f>TRIM(V146)</f>
        <v>515818 ** -318, -780, 4401, 321, 1316, 3172, 4743, 4491</v>
      </c>
      <c r="X146">
        <f>SEARCH("~*",W146)</f>
        <v>8</v>
      </c>
      <c r="Y146" t="str">
        <f>LEFT(W146,X146-1)</f>
        <v xml:space="preserve">515818 </v>
      </c>
      <c r="AA146" t="str">
        <f>CONCATENATE(A146,",",D146,",",E146,",",F146,",",G146,",",H146,",",I146,",",J146,",",K146)</f>
        <v>515818,-318,-780,4401,321,1316,3172,4743,4491</v>
      </c>
    </row>
    <row r="147" spans="1:27">
      <c r="A147" s="1">
        <f>IF(ISBLANK(T147),"",VALUE(Y147))</f>
        <v>511822</v>
      </c>
      <c r="B147" s="1">
        <f>A147*4/10 -18</f>
        <v>204710.8</v>
      </c>
      <c r="C147" s="3">
        <f>B147/7000000</f>
        <v>2.9244399999999997E-2</v>
      </c>
      <c r="D147" s="6">
        <f>VALUE(MID(W147,$X147+2,L147-(X147+2)))</f>
        <v>-315</v>
      </c>
      <c r="E147" s="6">
        <f>VALUE(MID($W147,L147+1,M147-(L147+1)))</f>
        <v>-779</v>
      </c>
      <c r="F147" s="6">
        <f>VALUE(MID($W147,M147+1,N147-(M147+1)))</f>
        <v>4404</v>
      </c>
      <c r="G147" s="6">
        <f>VALUE(MID($W147,N147+1,O147-(N147+1)))</f>
        <v>322</v>
      </c>
      <c r="H147" s="6">
        <f>VALUE(MID($W147,O147+1,P147-(O147+1)))</f>
        <v>1312</v>
      </c>
      <c r="I147" s="6">
        <f>VALUE(MID($W147,P147+1,Q147-(P147+1)))</f>
        <v>3172</v>
      </c>
      <c r="J147" s="6">
        <f>VALUE(MID($W147,Q147+1,R147-(Q147+1)))</f>
        <v>4747</v>
      </c>
      <c r="K147" s="4">
        <f>VALUE(MID(W147,R147+1,LEN(W147)-(R147)))</f>
        <v>4496</v>
      </c>
      <c r="L147" s="4">
        <f>SEARCH(",",W147,X147)</f>
        <v>15</v>
      </c>
      <c r="M147" s="4">
        <f>SEARCH(",",$W147,L147+1)</f>
        <v>21</v>
      </c>
      <c r="N147" s="4">
        <f>SEARCH(",",$W147,M147+1)</f>
        <v>27</v>
      </c>
      <c r="O147" s="4">
        <f>SEARCH(",",$W147,N147+1)</f>
        <v>32</v>
      </c>
      <c r="P147" s="4">
        <f>SEARCH(",",$W147,O147+1)</f>
        <v>38</v>
      </c>
      <c r="Q147" s="4">
        <f>SEARCH(",",$W147,P147+1)</f>
        <v>44</v>
      </c>
      <c r="R147" s="4">
        <f>SEARCH(",",$W147,Q147+1)</f>
        <v>50</v>
      </c>
      <c r="T147" t="s">
        <v>621</v>
      </c>
      <c r="U147">
        <f>SEARCH(":",T147)</f>
        <v>6</v>
      </c>
      <c r="V147" t="str">
        <f>MID(T147,U147+1,LEN(T147)-(U147))</f>
        <v xml:space="preserve"> 511822 ** -315, -779, 4404, 322, 1312, 3172, 4747, 4496</v>
      </c>
      <c r="W147" t="str">
        <f>TRIM(V147)</f>
        <v>511822 ** -315, -779, 4404, 322, 1312, 3172, 4747, 4496</v>
      </c>
      <c r="X147">
        <f>SEARCH("~*",W147)</f>
        <v>8</v>
      </c>
      <c r="Y147" t="str">
        <f>LEFT(W147,X147-1)</f>
        <v xml:space="preserve">511822 </v>
      </c>
      <c r="AA147" t="str">
        <f>CONCATENATE(A147,",",D147,",",E147,",",F147,",",G147,",",H147,",",I147,",",J147,",",K147)</f>
        <v>511822,-315,-779,4404,322,1312,3172,4747,4496</v>
      </c>
    </row>
    <row r="148" spans="1:27">
      <c r="A148" s="1">
        <f>IF(ISBLANK(T148),"",VALUE(Y148))</f>
        <v>510323</v>
      </c>
      <c r="B148" s="1">
        <f>A148*4/10 -18</f>
        <v>204111.2</v>
      </c>
      <c r="C148" s="3">
        <f>B148/7000000</f>
        <v>2.9158742857142858E-2</v>
      </c>
      <c r="D148" s="6">
        <f>VALUE(MID(W148,$X148+2,L148-(X148+2)))</f>
        <v>-316</v>
      </c>
      <c r="E148" s="6">
        <f>VALUE(MID($W148,L148+1,M148-(L148+1)))</f>
        <v>-778</v>
      </c>
      <c r="F148" s="6">
        <f>VALUE(MID($W148,M148+1,N148-(M148+1)))</f>
        <v>4403</v>
      </c>
      <c r="G148" s="6">
        <f>VALUE(MID($W148,N148+1,O148-(N148+1)))</f>
        <v>327</v>
      </c>
      <c r="H148" s="6">
        <f>VALUE(MID($W148,O148+1,P148-(O148+1)))</f>
        <v>1316</v>
      </c>
      <c r="I148" s="6">
        <f>VALUE(MID($W148,P148+1,Q148-(P148+1)))</f>
        <v>3169</v>
      </c>
      <c r="J148" s="6">
        <f>VALUE(MID($W148,Q148+1,R148-(Q148+1)))</f>
        <v>4740</v>
      </c>
      <c r="K148" s="4">
        <f>VALUE(MID(W148,R148+1,LEN(W148)-(R148)))</f>
        <v>4499</v>
      </c>
      <c r="L148" s="4">
        <f>SEARCH(",",W148,X148)</f>
        <v>15</v>
      </c>
      <c r="M148" s="4">
        <f>SEARCH(",",$W148,L148+1)</f>
        <v>21</v>
      </c>
      <c r="N148" s="4">
        <f>SEARCH(",",$W148,M148+1)</f>
        <v>27</v>
      </c>
      <c r="O148" s="4">
        <f>SEARCH(",",$W148,N148+1)</f>
        <v>32</v>
      </c>
      <c r="P148" s="4">
        <f>SEARCH(",",$W148,O148+1)</f>
        <v>38</v>
      </c>
      <c r="Q148" s="4">
        <f>SEARCH(",",$W148,P148+1)</f>
        <v>44</v>
      </c>
      <c r="R148" s="4">
        <f>SEARCH(",",$W148,Q148+1)</f>
        <v>50</v>
      </c>
      <c r="T148" t="s">
        <v>640</v>
      </c>
      <c r="U148">
        <f>SEARCH(":",T148)</f>
        <v>6</v>
      </c>
      <c r="V148" t="str">
        <f>MID(T148,U148+1,LEN(T148)-(U148))</f>
        <v xml:space="preserve"> 510323 ** -316, -778, 4403, 327, 1316, 3169, 4740, 4499</v>
      </c>
      <c r="W148" t="str">
        <f>TRIM(V148)</f>
        <v>510323 ** -316, -778, 4403, 327, 1316, 3169, 4740, 4499</v>
      </c>
      <c r="X148">
        <f>SEARCH("~*",W148)</f>
        <v>8</v>
      </c>
      <c r="Y148" t="str">
        <f>LEFT(W148,X148-1)</f>
        <v xml:space="preserve">510323 </v>
      </c>
      <c r="AA148" t="str">
        <f>CONCATENATE(A148,",",D148,",",E148,",",F148,",",G148,",",H148,",",I148,",",J148,",",K148)</f>
        <v>510323,-316,-778,4403,327,1316,3169,4740,4499</v>
      </c>
    </row>
    <row r="149" spans="1:27">
      <c r="A149" s="1">
        <f>IF(ISBLANK(T149),"",VALUE(Y149))</f>
        <v>509010</v>
      </c>
      <c r="B149" s="1">
        <f>A149*4/10 -18</f>
        <v>203586</v>
      </c>
      <c r="C149" s="3">
        <f>B149/7000000</f>
        <v>2.9083714285714286E-2</v>
      </c>
      <c r="D149" s="6">
        <f>VALUE(MID(W149,$X149+2,L149-(X149+2)))</f>
        <v>-322</v>
      </c>
      <c r="E149" s="6">
        <f>VALUE(MID($W149,L149+1,M149-(L149+1)))</f>
        <v>-778</v>
      </c>
      <c r="F149" s="6">
        <f>VALUE(MID($W149,M149+1,N149-(M149+1)))</f>
        <v>4400</v>
      </c>
      <c r="G149" s="6">
        <f>VALUE(MID($W149,N149+1,O149-(N149+1)))</f>
        <v>329</v>
      </c>
      <c r="H149" s="6">
        <f>VALUE(MID($W149,O149+1,P149-(O149+1)))</f>
        <v>1316</v>
      </c>
      <c r="I149" s="6">
        <f>VALUE(MID($W149,P149+1,Q149-(P149+1)))</f>
        <v>3172</v>
      </c>
      <c r="J149" s="6">
        <f>VALUE(MID($W149,Q149+1,R149-(Q149+1)))</f>
        <v>4739</v>
      </c>
      <c r="K149" s="4">
        <f>VALUE(MID(W149,R149+1,LEN(W149)-(R149)))</f>
        <v>4491</v>
      </c>
      <c r="L149" s="4">
        <f>SEARCH(",",W149,X149)</f>
        <v>15</v>
      </c>
      <c r="M149" s="4">
        <f>SEARCH(",",$W149,L149+1)</f>
        <v>21</v>
      </c>
      <c r="N149" s="4">
        <f>SEARCH(",",$W149,M149+1)</f>
        <v>27</v>
      </c>
      <c r="O149" s="4">
        <f>SEARCH(",",$W149,N149+1)</f>
        <v>32</v>
      </c>
      <c r="P149" s="4">
        <f>SEARCH(",",$W149,O149+1)</f>
        <v>38</v>
      </c>
      <c r="Q149" s="4">
        <f>SEARCH(",",$W149,P149+1)</f>
        <v>44</v>
      </c>
      <c r="R149" s="4">
        <f>SEARCH(",",$W149,Q149+1)</f>
        <v>50</v>
      </c>
      <c r="T149" t="s">
        <v>635</v>
      </c>
      <c r="U149">
        <f>SEARCH(":",T149)</f>
        <v>6</v>
      </c>
      <c r="V149" t="str">
        <f>MID(T149,U149+1,LEN(T149)-(U149))</f>
        <v xml:space="preserve"> 509010 ** -322, -778, 4400, 329, 1316, 3172, 4739, 4491</v>
      </c>
      <c r="W149" t="str">
        <f>TRIM(V149)</f>
        <v>509010 ** -322, -778, 4400, 329, 1316, 3172, 4739, 4491</v>
      </c>
      <c r="X149">
        <f>SEARCH("~*",W149)</f>
        <v>8</v>
      </c>
      <c r="Y149" t="str">
        <f>LEFT(W149,X149-1)</f>
        <v xml:space="preserve">509010 </v>
      </c>
      <c r="AA149" t="str">
        <f>CONCATENATE(A149,",",D149,",",E149,",",F149,",",G149,",",H149,",",I149,",",J149,",",K149)</f>
        <v>509010,-322,-778,4400,329,1316,3172,4739,4491</v>
      </c>
    </row>
    <row r="150" spans="1:27">
      <c r="A150" s="1">
        <f>IF(ISBLANK(T150),"",VALUE(Y150))</f>
        <v>507206</v>
      </c>
      <c r="B150" s="1">
        <f>A150*4/10 -18</f>
        <v>202864.4</v>
      </c>
      <c r="C150" s="3">
        <f>B150/7000000</f>
        <v>2.8980628571428569E-2</v>
      </c>
      <c r="D150" s="6">
        <f>VALUE(MID(W150,$X150+2,L150-(X150+2)))</f>
        <v>-316</v>
      </c>
      <c r="E150" s="6">
        <f>VALUE(MID($W150,L150+1,M150-(L150+1)))</f>
        <v>-776</v>
      </c>
      <c r="F150" s="6">
        <f>VALUE(MID($W150,M150+1,N150-(M150+1)))</f>
        <v>4408</v>
      </c>
      <c r="G150" s="6">
        <f>VALUE(MID($W150,N150+1,O150-(N150+1)))</f>
        <v>321</v>
      </c>
      <c r="H150" s="6">
        <f>VALUE(MID($W150,O150+1,P150-(O150+1)))</f>
        <v>1316</v>
      </c>
      <c r="I150" s="6">
        <f>VALUE(MID($W150,P150+1,Q150-(P150+1)))</f>
        <v>3166</v>
      </c>
      <c r="J150" s="6">
        <f>VALUE(MID($W150,Q150+1,R150-(Q150+1)))</f>
        <v>4748</v>
      </c>
      <c r="K150" s="4">
        <f>VALUE(MID(W150,R150+1,LEN(W150)-(R150)))</f>
        <v>4492</v>
      </c>
      <c r="L150" s="4">
        <f>SEARCH(",",W150,X150)</f>
        <v>15</v>
      </c>
      <c r="M150" s="4">
        <f>SEARCH(",",$W150,L150+1)</f>
        <v>21</v>
      </c>
      <c r="N150" s="4">
        <f>SEARCH(",",$W150,M150+1)</f>
        <v>27</v>
      </c>
      <c r="O150" s="4">
        <f>SEARCH(",",$W150,N150+1)</f>
        <v>32</v>
      </c>
      <c r="P150" s="4">
        <f>SEARCH(",",$W150,O150+1)</f>
        <v>38</v>
      </c>
      <c r="Q150" s="4">
        <f>SEARCH(",",$W150,P150+1)</f>
        <v>44</v>
      </c>
      <c r="R150" s="4">
        <f>SEARCH(",",$W150,Q150+1)</f>
        <v>50</v>
      </c>
      <c r="T150" t="s">
        <v>605</v>
      </c>
      <c r="U150">
        <f>SEARCH(":",T150)</f>
        <v>6</v>
      </c>
      <c r="V150" t="str">
        <f>MID(T150,U150+1,LEN(T150)-(U150))</f>
        <v xml:space="preserve"> 507206 ** -316, -776, 4408, 321, 1316, 3166, 4748, 4492</v>
      </c>
      <c r="W150" t="str">
        <f>TRIM(V150)</f>
        <v>507206 ** -316, -776, 4408, 321, 1316, 3166, 4748, 4492</v>
      </c>
      <c r="X150">
        <f>SEARCH("~*",W150)</f>
        <v>8</v>
      </c>
      <c r="Y150" t="str">
        <f>LEFT(W150,X150-1)</f>
        <v xml:space="preserve">507206 </v>
      </c>
      <c r="AA150" t="str">
        <f>CONCATENATE(A150,",",D150,",",E150,",",F150,",",G150,",",H150,",",I150,",",J150,",",K150)</f>
        <v>507206,-316,-776,4408,321,1316,3166,4748,4492</v>
      </c>
    </row>
    <row r="151" spans="1:27">
      <c r="A151" s="1">
        <f>IF(ISBLANK(T151),"",VALUE(Y151))</f>
        <v>507193</v>
      </c>
      <c r="B151" s="1">
        <f>A151*4/10 -18</f>
        <v>202859.2</v>
      </c>
      <c r="C151" s="3">
        <f>B151/7000000</f>
        <v>2.8979885714285714E-2</v>
      </c>
      <c r="D151" s="6">
        <f>VALUE(MID(W151,$X151+2,L151-(X151+2)))</f>
        <v>-315</v>
      </c>
      <c r="E151" s="6">
        <f>VALUE(MID($W151,L151+1,M151-(L151+1)))</f>
        <v>-778</v>
      </c>
      <c r="F151" s="6">
        <f>VALUE(MID($W151,M151+1,N151-(M151+1)))</f>
        <v>4399</v>
      </c>
      <c r="G151" s="6">
        <f>VALUE(MID($W151,N151+1,O151-(N151+1)))</f>
        <v>324</v>
      </c>
      <c r="H151" s="6">
        <f>VALUE(MID($W151,O151+1,P151-(O151+1)))</f>
        <v>1320</v>
      </c>
      <c r="I151" s="6">
        <f>VALUE(MID($W151,P151+1,Q151-(P151+1)))</f>
        <v>3166</v>
      </c>
      <c r="J151" s="6">
        <f>VALUE(MID($W151,Q151+1,R151-(Q151+1)))</f>
        <v>4742</v>
      </c>
      <c r="K151" s="4">
        <f>VALUE(MID(W151,R151+1,LEN(W151)-(R151)))</f>
        <v>4495</v>
      </c>
      <c r="L151" s="4">
        <f>SEARCH(",",W151,X151)</f>
        <v>15</v>
      </c>
      <c r="M151" s="4">
        <f>SEARCH(",",$W151,L151+1)</f>
        <v>21</v>
      </c>
      <c r="N151" s="4">
        <f>SEARCH(",",$W151,M151+1)</f>
        <v>27</v>
      </c>
      <c r="O151" s="4">
        <f>SEARCH(",",$W151,N151+1)</f>
        <v>32</v>
      </c>
      <c r="P151" s="4">
        <f>SEARCH(",",$W151,O151+1)</f>
        <v>38</v>
      </c>
      <c r="Q151" s="4">
        <f>SEARCH(",",$W151,P151+1)</f>
        <v>44</v>
      </c>
      <c r="R151" s="4">
        <f>SEARCH(",",$W151,Q151+1)</f>
        <v>50</v>
      </c>
      <c r="T151" t="s">
        <v>614</v>
      </c>
      <c r="U151">
        <f>SEARCH(":",T151)</f>
        <v>6</v>
      </c>
      <c r="V151" t="str">
        <f>MID(T151,U151+1,LEN(T151)-(U151))</f>
        <v xml:space="preserve"> 507193 ** -315, -778, 4399, 324, 1320, 3166, 4742, 4495</v>
      </c>
      <c r="W151" t="str">
        <f>TRIM(V151)</f>
        <v>507193 ** -315, -778, 4399, 324, 1320, 3166, 4742, 4495</v>
      </c>
      <c r="X151">
        <f>SEARCH("~*",W151)</f>
        <v>8</v>
      </c>
      <c r="Y151" t="str">
        <f>LEFT(W151,X151-1)</f>
        <v xml:space="preserve">507193 </v>
      </c>
      <c r="AA151" t="str">
        <f>CONCATENATE(A151,",",D151,",",E151,",",F151,",",G151,",",H151,",",I151,",",J151,",",K151)</f>
        <v>507193,-315,-778,4399,324,1320,3166,4742,4495</v>
      </c>
    </row>
    <row r="152" spans="1:27">
      <c r="A152" s="1">
        <f>IF(ISBLANK(T152),"",VALUE(Y152))</f>
        <v>506929</v>
      </c>
      <c r="B152" s="1">
        <f>A152*4/10 -18</f>
        <v>202753.6</v>
      </c>
      <c r="C152" s="3">
        <f>B152/7000000</f>
        <v>2.8964800000000002E-2</v>
      </c>
      <c r="D152" s="6">
        <f>VALUE(MID(W152,$X152+2,L152-(X152+2)))</f>
        <v>-318</v>
      </c>
      <c r="E152" s="6">
        <f>VALUE(MID($W152,L152+1,M152-(L152+1)))</f>
        <v>-777</v>
      </c>
      <c r="F152" s="6">
        <f>VALUE(MID($W152,M152+1,N152-(M152+1)))</f>
        <v>4401</v>
      </c>
      <c r="G152" s="6">
        <f>VALUE(MID($W152,N152+1,O152-(N152+1)))</f>
        <v>327</v>
      </c>
      <c r="H152" s="6">
        <f>VALUE(MID($W152,O152+1,P152-(O152+1)))</f>
        <v>1315</v>
      </c>
      <c r="I152" s="6">
        <f>VALUE(MID($W152,P152+1,Q152-(P152+1)))</f>
        <v>3171</v>
      </c>
      <c r="J152" s="6">
        <f>VALUE(MID($W152,Q152+1,R152-(Q152+1)))</f>
        <v>4747</v>
      </c>
      <c r="K152" s="4">
        <f>VALUE(MID(W152,R152+1,LEN(W152)-(R152)))</f>
        <v>4500</v>
      </c>
      <c r="L152" s="4">
        <f>SEARCH(",",W152,X152)</f>
        <v>15</v>
      </c>
      <c r="M152" s="4">
        <f>SEARCH(",",$W152,L152+1)</f>
        <v>21</v>
      </c>
      <c r="N152" s="4">
        <f>SEARCH(",",$W152,M152+1)</f>
        <v>27</v>
      </c>
      <c r="O152" s="4">
        <f>SEARCH(",",$W152,N152+1)</f>
        <v>32</v>
      </c>
      <c r="P152" s="4">
        <f>SEARCH(",",$W152,O152+1)</f>
        <v>38</v>
      </c>
      <c r="Q152" s="4">
        <f>SEARCH(",",$W152,P152+1)</f>
        <v>44</v>
      </c>
      <c r="R152" s="4">
        <f>SEARCH(",",$W152,Q152+1)</f>
        <v>50</v>
      </c>
      <c r="T152" t="s">
        <v>698</v>
      </c>
      <c r="U152">
        <f>SEARCH(":",T152)</f>
        <v>6</v>
      </c>
      <c r="V152" t="str">
        <f>MID(T152,U152+1,LEN(T152)-(U152))</f>
        <v xml:space="preserve"> 506929 ** -318, -777, 4401, 327, 1315, 3171, 4747, 4500</v>
      </c>
      <c r="W152" t="str">
        <f>TRIM(V152)</f>
        <v>506929 ** -318, -777, 4401, 327, 1315, 3171, 4747, 4500</v>
      </c>
      <c r="X152">
        <f>SEARCH("~*",W152)</f>
        <v>8</v>
      </c>
      <c r="Y152" t="str">
        <f>LEFT(W152,X152-1)</f>
        <v xml:space="preserve">506929 </v>
      </c>
      <c r="AA152" t="str">
        <f>CONCATENATE(A152,",",D152,",",E152,",",F152,",",G152,",",H152,",",I152,",",J152,",",K152)</f>
        <v>506929,-318,-777,4401,327,1315,3171,4747,4500</v>
      </c>
    </row>
    <row r="153" spans="1:27">
      <c r="A153" s="1">
        <f>IF(ISBLANK(T153),"",VALUE(Y153))</f>
        <v>505643</v>
      </c>
      <c r="B153" s="1">
        <f>A153*4/10 -18</f>
        <v>202239.2</v>
      </c>
      <c r="C153" s="3">
        <f>B153/7000000</f>
        <v>2.8891314285714287E-2</v>
      </c>
      <c r="D153" s="6">
        <f>VALUE(MID(W153,$X153+2,L153-(X153+2)))</f>
        <v>-324</v>
      </c>
      <c r="E153" s="6">
        <f>VALUE(MID($W153,L153+1,M153-(L153+1)))</f>
        <v>-782</v>
      </c>
      <c r="F153" s="6">
        <f>VALUE(MID($W153,M153+1,N153-(M153+1)))</f>
        <v>4401</v>
      </c>
      <c r="G153" s="6">
        <f>VALUE(MID($W153,N153+1,O153-(N153+1)))</f>
        <v>327</v>
      </c>
      <c r="H153" s="6">
        <f>VALUE(MID($W153,O153+1,P153-(O153+1)))</f>
        <v>1315</v>
      </c>
      <c r="I153" s="6">
        <f>VALUE(MID($W153,P153+1,Q153-(P153+1)))</f>
        <v>3174</v>
      </c>
      <c r="J153" s="6">
        <f>VALUE(MID($W153,Q153+1,R153-(Q153+1)))</f>
        <v>4745</v>
      </c>
      <c r="K153" s="4">
        <f>VALUE(MID(W153,R153+1,LEN(W153)-(R153)))</f>
        <v>4499</v>
      </c>
      <c r="L153" s="4">
        <f>SEARCH(",",W153,X153)</f>
        <v>15</v>
      </c>
      <c r="M153" s="4">
        <f>SEARCH(",",$W153,L153+1)</f>
        <v>21</v>
      </c>
      <c r="N153" s="4">
        <f>SEARCH(",",$W153,M153+1)</f>
        <v>27</v>
      </c>
      <c r="O153" s="4">
        <f>SEARCH(",",$W153,N153+1)</f>
        <v>32</v>
      </c>
      <c r="P153" s="4">
        <f>SEARCH(",",$W153,O153+1)</f>
        <v>38</v>
      </c>
      <c r="Q153" s="4">
        <f>SEARCH(",",$W153,P153+1)</f>
        <v>44</v>
      </c>
      <c r="R153" s="4">
        <f>SEARCH(",",$W153,Q153+1)</f>
        <v>50</v>
      </c>
      <c r="T153" t="s">
        <v>754</v>
      </c>
      <c r="U153">
        <f>SEARCH(":",T153)</f>
        <v>6</v>
      </c>
      <c r="V153" t="str">
        <f>MID(T153,U153+1,LEN(T153)-(U153))</f>
        <v xml:space="preserve"> 505643 ** -324, -782, 4401, 327, 1315, 3174, 4745, 4499</v>
      </c>
      <c r="W153" t="str">
        <f>TRIM(V153)</f>
        <v>505643 ** -324, -782, 4401, 327, 1315, 3174, 4745, 4499</v>
      </c>
      <c r="X153">
        <f>SEARCH("~*",W153)</f>
        <v>8</v>
      </c>
      <c r="Y153" t="str">
        <f>LEFT(W153,X153-1)</f>
        <v xml:space="preserve">505643 </v>
      </c>
      <c r="AA153" t="str">
        <f>CONCATENATE(A153,",",D153,",",E153,",",F153,",",G153,",",H153,",",I153,",",J153,",",K153)</f>
        <v>505643,-324,-782,4401,327,1315,3174,4745,4499</v>
      </c>
    </row>
    <row r="154" spans="1:27">
      <c r="A154" s="1">
        <f>IF(ISBLANK(T154),"",VALUE(Y154))</f>
        <v>498886</v>
      </c>
      <c r="B154" s="1">
        <f>A154*4/10 -18</f>
        <v>199536.4</v>
      </c>
      <c r="C154" s="3">
        <f>B154/7000000</f>
        <v>2.8505199999999998E-2</v>
      </c>
      <c r="D154" s="6">
        <f>VALUE(MID(W154,$X154+2,L154-(X154+2)))</f>
        <v>-316</v>
      </c>
      <c r="E154" s="6">
        <f>VALUE(MID($W154,L154+1,M154-(L154+1)))</f>
        <v>-779</v>
      </c>
      <c r="F154" s="6">
        <f>VALUE(MID($W154,M154+1,N154-(M154+1)))</f>
        <v>4407</v>
      </c>
      <c r="G154" s="6">
        <f>VALUE(MID($W154,N154+1,O154-(N154+1)))</f>
        <v>321</v>
      </c>
      <c r="H154" s="6">
        <f>VALUE(MID($W154,O154+1,P154-(O154+1)))</f>
        <v>1318</v>
      </c>
      <c r="I154" s="6">
        <f>VALUE(MID($W154,P154+1,Q154-(P154+1)))</f>
        <v>3173</v>
      </c>
      <c r="J154" s="6">
        <f>VALUE(MID($W154,Q154+1,R154-(Q154+1)))</f>
        <v>4741</v>
      </c>
      <c r="K154" s="4">
        <f>VALUE(MID(W154,R154+1,LEN(W154)-(R154)))</f>
        <v>4491</v>
      </c>
      <c r="L154" s="4">
        <f>SEARCH(",",W154,X154)</f>
        <v>15</v>
      </c>
      <c r="M154" s="4">
        <f>SEARCH(",",$W154,L154+1)</f>
        <v>21</v>
      </c>
      <c r="N154" s="4">
        <f>SEARCH(",",$W154,M154+1)</f>
        <v>27</v>
      </c>
      <c r="O154" s="4">
        <f>SEARCH(",",$W154,N154+1)</f>
        <v>32</v>
      </c>
      <c r="P154" s="4">
        <f>SEARCH(",",$W154,O154+1)</f>
        <v>38</v>
      </c>
      <c r="Q154" s="4">
        <f>SEARCH(",",$W154,P154+1)</f>
        <v>44</v>
      </c>
      <c r="R154" s="4">
        <f>SEARCH(",",$W154,Q154+1)</f>
        <v>50</v>
      </c>
      <c r="T154" t="s">
        <v>700</v>
      </c>
      <c r="U154">
        <f>SEARCH(":",T154)</f>
        <v>6</v>
      </c>
      <c r="V154" t="str">
        <f>MID(T154,U154+1,LEN(T154)-(U154))</f>
        <v xml:space="preserve"> 498886 ** -316, -779, 4407, 321, 1318, 3173, 4741, 4491</v>
      </c>
      <c r="W154" t="str">
        <f>TRIM(V154)</f>
        <v>498886 ** -316, -779, 4407, 321, 1318, 3173, 4741, 4491</v>
      </c>
      <c r="X154">
        <f>SEARCH("~*",W154)</f>
        <v>8</v>
      </c>
      <c r="Y154" t="str">
        <f>LEFT(W154,X154-1)</f>
        <v xml:space="preserve">498886 </v>
      </c>
      <c r="AA154" t="str">
        <f>CONCATENATE(A154,",",D154,",",E154,",",F154,",",G154,",",H154,",",I154,",",J154,",",K154)</f>
        <v>498886,-316,-779,4407,321,1318,3173,4741,4491</v>
      </c>
    </row>
    <row r="155" spans="1:27">
      <c r="A155" s="1">
        <f>IF(ISBLANK(T155),"",VALUE(Y155))</f>
        <v>495715</v>
      </c>
      <c r="B155" s="1">
        <f>A155*4/10 -18</f>
        <v>198268</v>
      </c>
      <c r="C155" s="3">
        <f>B155/7000000</f>
        <v>2.8323999999999998E-2</v>
      </c>
      <c r="D155" s="6">
        <f>VALUE(MID(W155,$X155+2,L155-(X155+2)))</f>
        <v>-318</v>
      </c>
      <c r="E155" s="6">
        <f>VALUE(MID($W155,L155+1,M155-(L155+1)))</f>
        <v>-778</v>
      </c>
      <c r="F155" s="6">
        <f>VALUE(MID($W155,M155+1,N155-(M155+1)))</f>
        <v>4408</v>
      </c>
      <c r="G155" s="6">
        <f>VALUE(MID($W155,N155+1,O155-(N155+1)))</f>
        <v>324</v>
      </c>
      <c r="H155" s="6">
        <f>VALUE(MID($W155,O155+1,P155-(O155+1)))</f>
        <v>1313</v>
      </c>
      <c r="I155" s="6">
        <f>VALUE(MID($W155,P155+1,Q155-(P155+1)))</f>
        <v>3175</v>
      </c>
      <c r="J155" s="6">
        <f>VALUE(MID($W155,Q155+1,R155-(Q155+1)))</f>
        <v>4744</v>
      </c>
      <c r="K155" s="4">
        <f>VALUE(MID(W155,R155+1,LEN(W155)-(R155)))</f>
        <v>4500</v>
      </c>
      <c r="L155" s="4">
        <f>SEARCH(",",W155,X155)</f>
        <v>15</v>
      </c>
      <c r="M155" s="4">
        <f>SEARCH(",",$W155,L155+1)</f>
        <v>21</v>
      </c>
      <c r="N155" s="4">
        <f>SEARCH(",",$W155,M155+1)</f>
        <v>27</v>
      </c>
      <c r="O155" s="4">
        <f>SEARCH(",",$W155,N155+1)</f>
        <v>32</v>
      </c>
      <c r="P155" s="4">
        <f>SEARCH(",",$W155,O155+1)</f>
        <v>38</v>
      </c>
      <c r="Q155" s="4">
        <f>SEARCH(",",$W155,P155+1)</f>
        <v>44</v>
      </c>
      <c r="R155" s="4">
        <f>SEARCH(",",$W155,Q155+1)</f>
        <v>50</v>
      </c>
      <c r="T155" t="s">
        <v>755</v>
      </c>
      <c r="U155">
        <f>SEARCH(":",T155)</f>
        <v>6</v>
      </c>
      <c r="V155" t="str">
        <f>MID(T155,U155+1,LEN(T155)-(U155))</f>
        <v xml:space="preserve"> 495715 ** -318, -778, 4408, 324, 1313, 3175, 4744, 4500</v>
      </c>
      <c r="W155" t="str">
        <f>TRIM(V155)</f>
        <v>495715 ** -318, -778, 4408, 324, 1313, 3175, 4744, 4500</v>
      </c>
      <c r="X155">
        <f>SEARCH("~*",W155)</f>
        <v>8</v>
      </c>
      <c r="Y155" t="str">
        <f>LEFT(W155,X155-1)</f>
        <v xml:space="preserve">495715 </v>
      </c>
      <c r="AA155" t="str">
        <f>CONCATENATE(A155,",",D155,",",E155,",",F155,",",G155,",",H155,",",I155,",",J155,",",K155)</f>
        <v>495715,-318,-778,4408,324,1313,3175,4744,4500</v>
      </c>
    </row>
    <row r="156" spans="1:27">
      <c r="A156" s="1">
        <f>IF(ISBLANK(T156),"",VALUE(Y156))</f>
        <v>492608</v>
      </c>
      <c r="B156" s="1">
        <f>A156*4/10 -18</f>
        <v>197025.2</v>
      </c>
      <c r="C156" s="3">
        <f>B156/7000000</f>
        <v>2.8146457142857146E-2</v>
      </c>
      <c r="D156" s="6">
        <f>VALUE(MID(W156,$X156+2,L156-(X156+2)))</f>
        <v>-318</v>
      </c>
      <c r="E156" s="6">
        <f>VALUE(MID($W156,L156+1,M156-(L156+1)))</f>
        <v>-773</v>
      </c>
      <c r="F156" s="6">
        <f>VALUE(MID($W156,M156+1,N156-(M156+1)))</f>
        <v>4399</v>
      </c>
      <c r="G156" s="6">
        <f>VALUE(MID($W156,N156+1,O156-(N156+1)))</f>
        <v>328</v>
      </c>
      <c r="H156" s="6">
        <f>VALUE(MID($W156,O156+1,P156-(O156+1)))</f>
        <v>1313</v>
      </c>
      <c r="I156" s="6">
        <f>VALUE(MID($W156,P156+1,Q156-(P156+1)))</f>
        <v>3170</v>
      </c>
      <c r="J156" s="6">
        <f>VALUE(MID($W156,Q156+1,R156-(Q156+1)))</f>
        <v>4740</v>
      </c>
      <c r="K156" s="4">
        <f>VALUE(MID(W156,R156+1,LEN(W156)-(R156)))</f>
        <v>4499</v>
      </c>
      <c r="L156" s="4">
        <f>SEARCH(",",W156,X156)</f>
        <v>15</v>
      </c>
      <c r="M156" s="4">
        <f>SEARCH(",",$W156,L156+1)</f>
        <v>21</v>
      </c>
      <c r="N156" s="4">
        <f>SEARCH(",",$W156,M156+1)</f>
        <v>27</v>
      </c>
      <c r="O156" s="4">
        <f>SEARCH(",",$W156,N156+1)</f>
        <v>32</v>
      </c>
      <c r="P156" s="4">
        <f>SEARCH(",",$W156,O156+1)</f>
        <v>38</v>
      </c>
      <c r="Q156" s="4">
        <f>SEARCH(",",$W156,P156+1)</f>
        <v>44</v>
      </c>
      <c r="R156" s="4">
        <f>SEARCH(",",$W156,Q156+1)</f>
        <v>50</v>
      </c>
      <c r="T156" t="s">
        <v>596</v>
      </c>
      <c r="U156">
        <f>SEARCH(":",T156)</f>
        <v>6</v>
      </c>
      <c r="V156" t="str">
        <f>MID(T156,U156+1,LEN(T156)-(U156))</f>
        <v xml:space="preserve"> 492608 ** -318, -773, 4399, 328, 1313, 3170, 4740, 4499</v>
      </c>
      <c r="W156" t="str">
        <f>TRIM(V156)</f>
        <v>492608 ** -318, -773, 4399, 328, 1313, 3170, 4740, 4499</v>
      </c>
      <c r="X156">
        <f>SEARCH("~*",W156)</f>
        <v>8</v>
      </c>
      <c r="Y156" t="str">
        <f>LEFT(W156,X156-1)</f>
        <v xml:space="preserve">492608 </v>
      </c>
      <c r="AA156" t="str">
        <f>CONCATENATE(A156,",",D156,",",E156,",",F156,",",G156,",",H156,",",I156,",",J156,",",K156)</f>
        <v>492608,-318,-773,4399,328,1313,3170,4740,4499</v>
      </c>
    </row>
    <row r="157" spans="1:27">
      <c r="A157" s="1">
        <f>IF(ISBLANK(T157),"",VALUE(Y157))</f>
        <v>492396</v>
      </c>
      <c r="B157" s="1">
        <f>A157*4/10 -18</f>
        <v>196940.4</v>
      </c>
      <c r="C157" s="3">
        <f>B157/7000000</f>
        <v>2.8134342857142856E-2</v>
      </c>
      <c r="D157" s="6">
        <f>VALUE(MID(W157,$X157+2,L157-(X157+2)))</f>
        <v>-320</v>
      </c>
      <c r="E157" s="6">
        <f>VALUE(MID($W157,L157+1,M157-(L157+1)))</f>
        <v>-781</v>
      </c>
      <c r="F157" s="6">
        <f>VALUE(MID($W157,M157+1,N157-(M157+1)))</f>
        <v>4405</v>
      </c>
      <c r="G157" s="6">
        <f>VALUE(MID($W157,N157+1,O157-(N157+1)))</f>
        <v>324</v>
      </c>
      <c r="H157" s="6">
        <f>VALUE(MID($W157,O157+1,P157-(O157+1)))</f>
        <v>1312</v>
      </c>
      <c r="I157" s="6">
        <f>VALUE(MID($W157,P157+1,Q157-(P157+1)))</f>
        <v>3173</v>
      </c>
      <c r="J157" s="6">
        <f>VALUE(MID($W157,Q157+1,R157-(Q157+1)))</f>
        <v>4746</v>
      </c>
      <c r="K157" s="4">
        <f>VALUE(MID(W157,R157+1,LEN(W157)-(R157)))</f>
        <v>4499</v>
      </c>
      <c r="L157" s="4">
        <f>SEARCH(",",W157,X157)</f>
        <v>15</v>
      </c>
      <c r="M157" s="4">
        <f>SEARCH(",",$W157,L157+1)</f>
        <v>21</v>
      </c>
      <c r="N157" s="4">
        <f>SEARCH(",",$W157,M157+1)</f>
        <v>27</v>
      </c>
      <c r="O157" s="4">
        <f>SEARCH(",",$W157,N157+1)</f>
        <v>32</v>
      </c>
      <c r="P157" s="4">
        <f>SEARCH(",",$W157,O157+1)</f>
        <v>38</v>
      </c>
      <c r="Q157" s="4">
        <f>SEARCH(",",$W157,P157+1)</f>
        <v>44</v>
      </c>
      <c r="R157" s="4">
        <f>SEARCH(",",$W157,Q157+1)</f>
        <v>50</v>
      </c>
      <c r="T157" t="s">
        <v>758</v>
      </c>
      <c r="U157">
        <f>SEARCH(":",T157)</f>
        <v>6</v>
      </c>
      <c r="V157" t="str">
        <f>MID(T157,U157+1,LEN(T157)-(U157))</f>
        <v xml:space="preserve"> 492396 ** -320, -781, 4405, 324, 1312, 3173, 4746, 4499</v>
      </c>
      <c r="W157" t="str">
        <f>TRIM(V157)</f>
        <v>492396 ** -320, -781, 4405, 324, 1312, 3173, 4746, 4499</v>
      </c>
      <c r="X157">
        <f>SEARCH("~*",W157)</f>
        <v>8</v>
      </c>
      <c r="Y157" t="str">
        <f>LEFT(W157,X157-1)</f>
        <v xml:space="preserve">492396 </v>
      </c>
      <c r="AA157" t="str">
        <f>CONCATENATE(A157,",",D157,",",E157,",",F157,",",G157,",",H157,",",I157,",",J157,",",K157)</f>
        <v>492396,-320,-781,4405,324,1312,3173,4746,4499</v>
      </c>
    </row>
    <row r="158" spans="1:27">
      <c r="A158" s="1">
        <f>IF(ISBLANK(T158),"",VALUE(Y158))</f>
        <v>491273</v>
      </c>
      <c r="B158" s="1">
        <f>A158*4/10 -18</f>
        <v>196491.2</v>
      </c>
      <c r="C158" s="3">
        <f>B158/7000000</f>
        <v>2.807017142857143E-2</v>
      </c>
      <c r="D158" s="6">
        <f>VALUE(MID(W158,$X158+2,L158-(X158+2)))</f>
        <v>-315</v>
      </c>
      <c r="E158" s="6">
        <f>VALUE(MID($W158,L158+1,M158-(L158+1)))</f>
        <v>-774</v>
      </c>
      <c r="F158" s="6">
        <f>VALUE(MID($W158,M158+1,N158-(M158+1)))</f>
        <v>4402</v>
      </c>
      <c r="G158" s="6">
        <f>VALUE(MID($W158,N158+1,O158-(N158+1)))</f>
        <v>325</v>
      </c>
      <c r="H158" s="6">
        <f>VALUE(MID($W158,O158+1,P158-(O158+1)))</f>
        <v>1314</v>
      </c>
      <c r="I158" s="6">
        <f>VALUE(MID($W158,P158+1,Q158-(P158+1)))</f>
        <v>3168</v>
      </c>
      <c r="J158" s="6">
        <f>VALUE(MID($W158,Q158+1,R158-(Q158+1)))</f>
        <v>4743</v>
      </c>
      <c r="K158" s="4">
        <f>VALUE(MID(W158,R158+1,LEN(W158)-(R158)))</f>
        <v>4496</v>
      </c>
      <c r="L158" s="4">
        <f>SEARCH(",",W158,X158)</f>
        <v>15</v>
      </c>
      <c r="M158" s="4">
        <f>SEARCH(",",$W158,L158+1)</f>
        <v>21</v>
      </c>
      <c r="N158" s="4">
        <f>SEARCH(",",$W158,M158+1)</f>
        <v>27</v>
      </c>
      <c r="O158" s="4">
        <f>SEARCH(",",$W158,N158+1)</f>
        <v>32</v>
      </c>
      <c r="P158" s="4">
        <f>SEARCH(",",$W158,O158+1)</f>
        <v>38</v>
      </c>
      <c r="Q158" s="4">
        <f>SEARCH(",",$W158,P158+1)</f>
        <v>44</v>
      </c>
      <c r="R158" s="4">
        <f>SEARCH(",",$W158,Q158+1)</f>
        <v>50</v>
      </c>
      <c r="T158" t="s">
        <v>777</v>
      </c>
      <c r="U158">
        <f>SEARCH(":",T158)</f>
        <v>6</v>
      </c>
      <c r="V158" t="str">
        <f>MID(T158,U158+1,LEN(T158)-(U158))</f>
        <v xml:space="preserve"> 491273 ** -315, -774, 4402, 325, 1314, 3168, 4743, 4496</v>
      </c>
      <c r="W158" t="str">
        <f>TRIM(V158)</f>
        <v>491273 ** -315, -774, 4402, 325, 1314, 3168, 4743, 4496</v>
      </c>
      <c r="X158">
        <f>SEARCH("~*",W158)</f>
        <v>8</v>
      </c>
      <c r="Y158" t="str">
        <f>LEFT(W158,X158-1)</f>
        <v xml:space="preserve">491273 </v>
      </c>
      <c r="AA158" t="str">
        <f>CONCATENATE(A158,",",D158,",",E158,",",F158,",",G158,",",H158,",",I158,",",J158,",",K158)</f>
        <v>491273,-315,-774,4402,325,1314,3168,4743,4496</v>
      </c>
    </row>
    <row r="159" spans="1:27">
      <c r="A159" s="1">
        <f>IF(ISBLANK(T159),"",VALUE(Y159))</f>
        <v>490812</v>
      </c>
      <c r="B159" s="1">
        <f>A159*4/10 -18</f>
        <v>196306.8</v>
      </c>
      <c r="C159" s="3">
        <f>B159/7000000</f>
        <v>2.8043828571428571E-2</v>
      </c>
      <c r="D159" s="6">
        <f>VALUE(MID(W159,$X159+2,L159-(X159+2)))</f>
        <v>-320</v>
      </c>
      <c r="E159" s="6">
        <f>VALUE(MID($W159,L159+1,M159-(L159+1)))</f>
        <v>-778</v>
      </c>
      <c r="F159" s="6">
        <f>VALUE(MID($W159,M159+1,N159-(M159+1)))</f>
        <v>4401</v>
      </c>
      <c r="G159" s="6">
        <f>VALUE(MID($W159,N159+1,O159-(N159+1)))</f>
        <v>329</v>
      </c>
      <c r="H159" s="6">
        <f>VALUE(MID($W159,O159+1,P159-(O159+1)))</f>
        <v>1312</v>
      </c>
      <c r="I159" s="6">
        <f>VALUE(MID($W159,P159+1,Q159-(P159+1)))</f>
        <v>3173</v>
      </c>
      <c r="J159" s="6">
        <f>VALUE(MID($W159,Q159+1,R159-(Q159+1)))</f>
        <v>4743</v>
      </c>
      <c r="K159" s="4">
        <f>VALUE(MID(W159,R159+1,LEN(W159)-(R159)))</f>
        <v>4496</v>
      </c>
      <c r="L159" s="4">
        <f>SEARCH(",",W159,X159)</f>
        <v>15</v>
      </c>
      <c r="M159" s="4">
        <f>SEARCH(",",$W159,L159+1)</f>
        <v>21</v>
      </c>
      <c r="N159" s="4">
        <f>SEARCH(",",$W159,M159+1)</f>
        <v>27</v>
      </c>
      <c r="O159" s="4">
        <f>SEARCH(",",$W159,N159+1)</f>
        <v>32</v>
      </c>
      <c r="P159" s="4">
        <f>SEARCH(",",$W159,O159+1)</f>
        <v>38</v>
      </c>
      <c r="Q159" s="4">
        <f>SEARCH(",",$W159,P159+1)</f>
        <v>44</v>
      </c>
      <c r="R159" s="4">
        <f>SEARCH(",",$W159,Q159+1)</f>
        <v>50</v>
      </c>
      <c r="T159" t="s">
        <v>681</v>
      </c>
      <c r="U159">
        <f>SEARCH(":",T159)</f>
        <v>6</v>
      </c>
      <c r="V159" t="str">
        <f>MID(T159,U159+1,LEN(T159)-(U159))</f>
        <v xml:space="preserve"> 490812 ** -320, -778, 4401, 329, 1312, 3173, 4743, 4496</v>
      </c>
      <c r="W159" t="str">
        <f>TRIM(V159)</f>
        <v>490812 ** -320, -778, 4401, 329, 1312, 3173, 4743, 4496</v>
      </c>
      <c r="X159">
        <f>SEARCH("~*",W159)</f>
        <v>8</v>
      </c>
      <c r="Y159" t="str">
        <f>LEFT(W159,X159-1)</f>
        <v xml:space="preserve">490812 </v>
      </c>
      <c r="AA159" t="str">
        <f>CONCATENATE(A159,",",D159,",",E159,",",F159,",",G159,",",H159,",",I159,",",J159,",",K159)</f>
        <v>490812,-320,-778,4401,329,1312,3173,4743,4496</v>
      </c>
    </row>
    <row r="160" spans="1:27">
      <c r="A160" s="1">
        <f>IF(ISBLANK(T160),"",VALUE(Y160))</f>
        <v>488281</v>
      </c>
      <c r="B160" s="1">
        <f>A160*4/10 -18</f>
        <v>195294.4</v>
      </c>
      <c r="C160" s="3">
        <f>B160/7000000</f>
        <v>2.7899199999999999E-2</v>
      </c>
      <c r="D160" s="6">
        <f>VALUE(MID(W160,$X160+2,L160-(X160+2)))</f>
        <v>-319</v>
      </c>
      <c r="E160" s="6">
        <f>VALUE(MID($W160,L160+1,M160-(L160+1)))</f>
        <v>-775</v>
      </c>
      <c r="F160" s="6">
        <f>VALUE(MID($W160,M160+1,N160-(M160+1)))</f>
        <v>4407</v>
      </c>
      <c r="G160" s="6">
        <f>VALUE(MID($W160,N160+1,O160-(N160+1)))</f>
        <v>323</v>
      </c>
      <c r="H160" s="6">
        <f>VALUE(MID($W160,O160+1,P160-(O160+1)))</f>
        <v>1316</v>
      </c>
      <c r="I160" s="6">
        <f>VALUE(MID($W160,P160+1,Q160-(P160+1)))</f>
        <v>3167</v>
      </c>
      <c r="J160" s="6">
        <f>VALUE(MID($W160,Q160+1,R160-(Q160+1)))</f>
        <v>4739</v>
      </c>
      <c r="K160" s="4">
        <f>VALUE(MID(W160,R160+1,LEN(W160)-(R160)))</f>
        <v>4499</v>
      </c>
      <c r="L160" s="4">
        <f>SEARCH(",",W160,X160)</f>
        <v>15</v>
      </c>
      <c r="M160" s="4">
        <f>SEARCH(",",$W160,L160+1)</f>
        <v>21</v>
      </c>
      <c r="N160" s="4">
        <f>SEARCH(",",$W160,M160+1)</f>
        <v>27</v>
      </c>
      <c r="O160" s="4">
        <f>SEARCH(",",$W160,N160+1)</f>
        <v>32</v>
      </c>
      <c r="P160" s="4">
        <f>SEARCH(",",$W160,O160+1)</f>
        <v>38</v>
      </c>
      <c r="Q160" s="4">
        <f>SEARCH(",",$W160,P160+1)</f>
        <v>44</v>
      </c>
      <c r="R160" s="4">
        <f>SEARCH(",",$W160,Q160+1)</f>
        <v>50</v>
      </c>
      <c r="T160" t="s">
        <v>722</v>
      </c>
      <c r="U160">
        <f>SEARCH(":",T160)</f>
        <v>6</v>
      </c>
      <c r="V160" t="str">
        <f>MID(T160,U160+1,LEN(T160)-(U160))</f>
        <v xml:space="preserve"> 488281 ** -319, -775, 4407, 323, 1316, 3167, 4739, 4499</v>
      </c>
      <c r="W160" t="str">
        <f>TRIM(V160)</f>
        <v>488281 ** -319, -775, 4407, 323, 1316, 3167, 4739, 4499</v>
      </c>
      <c r="X160">
        <f>SEARCH("~*",W160)</f>
        <v>8</v>
      </c>
      <c r="Y160" t="str">
        <f>LEFT(W160,X160-1)</f>
        <v xml:space="preserve">488281 </v>
      </c>
      <c r="AA160" t="str">
        <f>CONCATENATE(A160,",",D160,",",E160,",",F160,",",G160,",",H160,",",I160,",",J160,",",K160)</f>
        <v>488281,-319,-775,4407,323,1316,3167,4739,4499</v>
      </c>
    </row>
    <row r="161" spans="1:27">
      <c r="A161" s="1">
        <f>IF(ISBLANK(T161),"",VALUE(Y161))</f>
        <v>487209</v>
      </c>
      <c r="B161" s="1">
        <f>A161*4/10 -18</f>
        <v>194865.6</v>
      </c>
      <c r="C161" s="3">
        <f>B161/7000000</f>
        <v>2.7837942857142858E-2</v>
      </c>
      <c r="D161" s="6">
        <f>VALUE(MID(W161,$X161+2,L161-(X161+2)))</f>
        <v>-323</v>
      </c>
      <c r="E161" s="6">
        <f>VALUE(MID($W161,L161+1,M161-(L161+1)))</f>
        <v>-778</v>
      </c>
      <c r="F161" s="6">
        <f>VALUE(MID($W161,M161+1,N161-(M161+1)))</f>
        <v>4406</v>
      </c>
      <c r="G161" s="6">
        <f>VALUE(MID($W161,N161+1,O161-(N161+1)))</f>
        <v>329</v>
      </c>
      <c r="H161" s="6">
        <f>VALUE(MID($W161,O161+1,P161-(O161+1)))</f>
        <v>1314</v>
      </c>
      <c r="I161" s="6">
        <f>VALUE(MID($W161,P161+1,Q161-(P161+1)))</f>
        <v>3170</v>
      </c>
      <c r="J161" s="6">
        <f>VALUE(MID($W161,Q161+1,R161-(Q161+1)))</f>
        <v>4739</v>
      </c>
      <c r="K161" s="4">
        <f>VALUE(MID(W161,R161+1,LEN(W161)-(R161)))</f>
        <v>4496</v>
      </c>
      <c r="L161" s="4">
        <f>SEARCH(",",W161,X161)</f>
        <v>15</v>
      </c>
      <c r="M161" s="4">
        <f>SEARCH(",",$W161,L161+1)</f>
        <v>21</v>
      </c>
      <c r="N161" s="4">
        <f>SEARCH(",",$W161,M161+1)</f>
        <v>27</v>
      </c>
      <c r="O161" s="4">
        <f>SEARCH(",",$W161,N161+1)</f>
        <v>32</v>
      </c>
      <c r="P161" s="4">
        <f>SEARCH(",",$W161,O161+1)</f>
        <v>38</v>
      </c>
      <c r="Q161" s="4">
        <f>SEARCH(",",$W161,P161+1)</f>
        <v>44</v>
      </c>
      <c r="R161" s="4">
        <f>SEARCH(",",$W161,Q161+1)</f>
        <v>50</v>
      </c>
      <c r="T161" t="s">
        <v>606</v>
      </c>
      <c r="U161">
        <f>SEARCH(":",T161)</f>
        <v>6</v>
      </c>
      <c r="V161" t="str">
        <f>MID(T161,U161+1,LEN(T161)-(U161))</f>
        <v xml:space="preserve"> 487209 ** -323, -778, 4406, 329, 1314, 3170, 4739, 4496</v>
      </c>
      <c r="W161" t="str">
        <f>TRIM(V161)</f>
        <v>487209 ** -323, -778, 4406, 329, 1314, 3170, 4739, 4496</v>
      </c>
      <c r="X161">
        <f>SEARCH("~*",W161)</f>
        <v>8</v>
      </c>
      <c r="Y161" t="str">
        <f>LEFT(W161,X161-1)</f>
        <v xml:space="preserve">487209 </v>
      </c>
      <c r="AA161" t="str">
        <f>CONCATENATE(A161,",",D161,",",E161,",",F161,",",G161,",",H161,",",I161,",",J161,",",K161)</f>
        <v>487209,-323,-778,4406,329,1314,3170,4739,4496</v>
      </c>
    </row>
    <row r="162" spans="1:27">
      <c r="A162" s="1">
        <f>IF(ISBLANK(T162),"",VALUE(Y162))</f>
        <v>486621</v>
      </c>
      <c r="B162" s="1">
        <f>A162*4/10 -18</f>
        <v>194630.39999999999</v>
      </c>
      <c r="C162" s="3">
        <f>B162/7000000</f>
        <v>2.7804342857142856E-2</v>
      </c>
      <c r="D162" s="6">
        <f>VALUE(MID(W162,$X162+2,L162-(X162+2)))</f>
        <v>-318</v>
      </c>
      <c r="E162" s="6">
        <f>VALUE(MID($W162,L162+1,M162-(L162+1)))</f>
        <v>-775</v>
      </c>
      <c r="F162" s="6">
        <f>VALUE(MID($W162,M162+1,N162-(M162+1)))</f>
        <v>4406</v>
      </c>
      <c r="G162" s="6">
        <f>VALUE(MID($W162,N162+1,O162-(N162+1)))</f>
        <v>325</v>
      </c>
      <c r="H162" s="6">
        <f>VALUE(MID($W162,O162+1,P162-(O162+1)))</f>
        <v>1312</v>
      </c>
      <c r="I162" s="6">
        <f>VALUE(MID($W162,P162+1,Q162-(P162+1)))</f>
        <v>3170</v>
      </c>
      <c r="J162" s="6">
        <f>VALUE(MID($W162,Q162+1,R162-(Q162+1)))</f>
        <v>4746</v>
      </c>
      <c r="K162" s="4">
        <f>VALUE(MID(W162,R162+1,LEN(W162)-(R162)))</f>
        <v>4491</v>
      </c>
      <c r="L162" s="4">
        <f>SEARCH(",",W162,X162)</f>
        <v>15</v>
      </c>
      <c r="M162" s="4">
        <f>SEARCH(",",$W162,L162+1)</f>
        <v>21</v>
      </c>
      <c r="N162" s="4">
        <f>SEARCH(",",$W162,M162+1)</f>
        <v>27</v>
      </c>
      <c r="O162" s="4">
        <f>SEARCH(",",$W162,N162+1)</f>
        <v>32</v>
      </c>
      <c r="P162" s="4">
        <f>SEARCH(",",$W162,O162+1)</f>
        <v>38</v>
      </c>
      <c r="Q162" s="4">
        <f>SEARCH(",",$W162,P162+1)</f>
        <v>44</v>
      </c>
      <c r="R162" s="4">
        <f>SEARCH(",",$W162,Q162+1)</f>
        <v>50</v>
      </c>
      <c r="T162" t="s">
        <v>655</v>
      </c>
      <c r="U162">
        <f>SEARCH(":",T162)</f>
        <v>6</v>
      </c>
      <c r="V162" t="str">
        <f>MID(T162,U162+1,LEN(T162)-(U162))</f>
        <v xml:space="preserve"> 486621 ** -318, -775, 4406, 325, 1312, 3170, 4746, 4491</v>
      </c>
      <c r="W162" t="str">
        <f>TRIM(V162)</f>
        <v>486621 ** -318, -775, 4406, 325, 1312, 3170, 4746, 4491</v>
      </c>
      <c r="X162">
        <f>SEARCH("~*",W162)</f>
        <v>8</v>
      </c>
      <c r="Y162" t="str">
        <f>LEFT(W162,X162-1)</f>
        <v xml:space="preserve">486621 </v>
      </c>
      <c r="AA162" t="str">
        <f>CONCATENATE(A162,",",D162,",",E162,",",F162,",",G162,",",H162,",",I162,",",J162,",",K162)</f>
        <v>486621,-318,-775,4406,325,1312,3170,4746,4491</v>
      </c>
    </row>
    <row r="163" spans="1:27">
      <c r="A163" s="1">
        <f>IF(ISBLANK(T163),"",VALUE(Y163))</f>
        <v>477334</v>
      </c>
      <c r="B163" s="1">
        <f>A163*4/10 -18</f>
        <v>190915.6</v>
      </c>
      <c r="C163" s="3">
        <f>B163/7000000</f>
        <v>2.7273657142857143E-2</v>
      </c>
      <c r="D163" s="6">
        <f>VALUE(MID(W163,$X163+2,L163-(X163+2)))</f>
        <v>-320</v>
      </c>
      <c r="E163" s="6">
        <f>VALUE(MID($W163,L163+1,M163-(L163+1)))</f>
        <v>-774</v>
      </c>
      <c r="F163" s="6">
        <f>VALUE(MID($W163,M163+1,N163-(M163+1)))</f>
        <v>4408</v>
      </c>
      <c r="G163" s="6">
        <f>VALUE(MID($W163,N163+1,O163-(N163+1)))</f>
        <v>324</v>
      </c>
      <c r="H163" s="6">
        <f>VALUE(MID($W163,O163+1,P163-(O163+1)))</f>
        <v>1315</v>
      </c>
      <c r="I163" s="6">
        <f>VALUE(MID($W163,P163+1,Q163-(P163+1)))</f>
        <v>3169</v>
      </c>
      <c r="J163" s="6">
        <f>VALUE(MID($W163,Q163+1,R163-(Q163+1)))</f>
        <v>4741</v>
      </c>
      <c r="K163" s="4">
        <f>VALUE(MID(W163,R163+1,LEN(W163)-(R163)))</f>
        <v>4495</v>
      </c>
      <c r="L163" s="4">
        <f>SEARCH(",",W163,X163)</f>
        <v>15</v>
      </c>
      <c r="M163" s="4">
        <f>SEARCH(",",$W163,L163+1)</f>
        <v>21</v>
      </c>
      <c r="N163" s="4">
        <f>SEARCH(",",$W163,M163+1)</f>
        <v>27</v>
      </c>
      <c r="O163" s="4">
        <f>SEARCH(",",$W163,N163+1)</f>
        <v>32</v>
      </c>
      <c r="P163" s="4">
        <f>SEARCH(",",$W163,O163+1)</f>
        <v>38</v>
      </c>
      <c r="Q163" s="4">
        <f>SEARCH(",",$W163,P163+1)</f>
        <v>44</v>
      </c>
      <c r="R163" s="4">
        <f>SEARCH(",",$W163,Q163+1)</f>
        <v>50</v>
      </c>
      <c r="T163" t="s">
        <v>734</v>
      </c>
      <c r="U163">
        <f>SEARCH(":",T163)</f>
        <v>6</v>
      </c>
      <c r="V163" t="str">
        <f>MID(T163,U163+1,LEN(T163)-(U163))</f>
        <v xml:space="preserve"> 477334 ** -320, -774, 4408, 324, 1315, 3169, 4741, 4495</v>
      </c>
      <c r="W163" t="str">
        <f>TRIM(V163)</f>
        <v>477334 ** -320, -774, 4408, 324, 1315, 3169, 4741, 4495</v>
      </c>
      <c r="X163">
        <f>SEARCH("~*",W163)</f>
        <v>8</v>
      </c>
      <c r="Y163" t="str">
        <f>LEFT(W163,X163-1)</f>
        <v xml:space="preserve">477334 </v>
      </c>
      <c r="AA163" t="str">
        <f>CONCATENATE(A163,",",D163,",",E163,",",F163,",",G163,",",H163,",",I163,",",J163,",",K163)</f>
        <v>477334,-320,-774,4408,324,1315,3169,4741,4495</v>
      </c>
    </row>
    <row r="164" spans="1:27">
      <c r="A164" s="1">
        <f>IF(ISBLANK(T164),"",VALUE(Y164))</f>
        <v>474563</v>
      </c>
      <c r="B164" s="1">
        <f>A164*4/10 -18</f>
        <v>189807.2</v>
      </c>
      <c r="C164" s="3">
        <f>B164/7000000</f>
        <v>2.7115314285714287E-2</v>
      </c>
      <c r="D164" s="6">
        <f>VALUE(MID(W164,$X164+2,L164-(X164+2)))</f>
        <v>-323</v>
      </c>
      <c r="E164" s="6">
        <f>VALUE(MID($W164,L164+1,M164-(L164+1)))</f>
        <v>-781</v>
      </c>
      <c r="F164" s="6">
        <f>VALUE(MID($W164,M164+1,N164-(M164+1)))</f>
        <v>4401</v>
      </c>
      <c r="G164" s="6">
        <f>VALUE(MID($W164,N164+1,O164-(N164+1)))</f>
        <v>325</v>
      </c>
      <c r="H164" s="6">
        <f>VALUE(MID($W164,O164+1,P164-(O164+1)))</f>
        <v>1320</v>
      </c>
      <c r="I164" s="6">
        <f>VALUE(MID($W164,P164+1,Q164-(P164+1)))</f>
        <v>3166</v>
      </c>
      <c r="J164" s="6">
        <f>VALUE(MID($W164,Q164+1,R164-(Q164+1)))</f>
        <v>4746</v>
      </c>
      <c r="K164" s="4">
        <f>VALUE(MID(W164,R164+1,LEN(W164)-(R164)))</f>
        <v>4496</v>
      </c>
      <c r="L164" s="4">
        <f>SEARCH(",",W164,X164)</f>
        <v>15</v>
      </c>
      <c r="M164" s="4">
        <f>SEARCH(",",$W164,L164+1)</f>
        <v>21</v>
      </c>
      <c r="N164" s="4">
        <f>SEARCH(",",$W164,M164+1)</f>
        <v>27</v>
      </c>
      <c r="O164" s="4">
        <f>SEARCH(",",$W164,N164+1)</f>
        <v>32</v>
      </c>
      <c r="P164" s="4">
        <f>SEARCH(",",$W164,O164+1)</f>
        <v>38</v>
      </c>
      <c r="Q164" s="4">
        <f>SEARCH(",",$W164,P164+1)</f>
        <v>44</v>
      </c>
      <c r="R164" s="4">
        <f>SEARCH(",",$W164,Q164+1)</f>
        <v>50</v>
      </c>
      <c r="T164" t="s">
        <v>762</v>
      </c>
      <c r="U164">
        <f>SEARCH(":",T164)</f>
        <v>6</v>
      </c>
      <c r="V164" t="str">
        <f>MID(T164,U164+1,LEN(T164)-(U164))</f>
        <v xml:space="preserve"> 474563 ** -323, -781, 4401, 325, 1320, 3166, 4746, 4496</v>
      </c>
      <c r="W164" t="str">
        <f>TRIM(V164)</f>
        <v>474563 ** -323, -781, 4401, 325, 1320, 3166, 4746, 4496</v>
      </c>
      <c r="X164">
        <f>SEARCH("~*",W164)</f>
        <v>8</v>
      </c>
      <c r="Y164" t="str">
        <f>LEFT(W164,X164-1)</f>
        <v xml:space="preserve">474563 </v>
      </c>
      <c r="AA164" t="str">
        <f>CONCATENATE(A164,",",D164,",",E164,",",F164,",",G164,",",H164,",",I164,",",J164,",",K164)</f>
        <v>474563,-323,-781,4401,325,1320,3166,4746,4496</v>
      </c>
    </row>
    <row r="165" spans="1:27">
      <c r="A165" s="1">
        <f>IF(ISBLANK(T165),"",VALUE(Y165))</f>
        <v>469423</v>
      </c>
      <c r="B165" s="1">
        <f>A165*4/10 -18</f>
        <v>187751.2</v>
      </c>
      <c r="C165" s="3">
        <f>B165/7000000</f>
        <v>2.6821600000000001E-2</v>
      </c>
      <c r="D165" s="6">
        <f>VALUE(MID(W165,$X165+2,L165-(X165+2)))</f>
        <v>-321</v>
      </c>
      <c r="E165" s="6">
        <f>VALUE(MID($W165,L165+1,M165-(L165+1)))</f>
        <v>-781</v>
      </c>
      <c r="F165" s="6">
        <f>VALUE(MID($W165,M165+1,N165-(M165+1)))</f>
        <v>4403</v>
      </c>
      <c r="G165" s="6">
        <f>VALUE(MID($W165,N165+1,O165-(N165+1)))</f>
        <v>324</v>
      </c>
      <c r="H165" s="6">
        <f>VALUE(MID($W165,O165+1,P165-(O165+1)))</f>
        <v>1316</v>
      </c>
      <c r="I165" s="6">
        <f>VALUE(MID($W165,P165+1,Q165-(P165+1)))</f>
        <v>3175</v>
      </c>
      <c r="J165" s="6">
        <f>VALUE(MID($W165,Q165+1,R165-(Q165+1)))</f>
        <v>4741</v>
      </c>
      <c r="K165" s="4">
        <f>VALUE(MID(W165,R165+1,LEN(W165)-(R165)))</f>
        <v>4498</v>
      </c>
      <c r="L165" s="4">
        <f>SEARCH(",",W165,X165)</f>
        <v>15</v>
      </c>
      <c r="M165" s="4">
        <f>SEARCH(",",$W165,L165+1)</f>
        <v>21</v>
      </c>
      <c r="N165" s="4">
        <f>SEARCH(",",$W165,M165+1)</f>
        <v>27</v>
      </c>
      <c r="O165" s="4">
        <f>SEARCH(",",$W165,N165+1)</f>
        <v>32</v>
      </c>
      <c r="P165" s="4">
        <f>SEARCH(",",$W165,O165+1)</f>
        <v>38</v>
      </c>
      <c r="Q165" s="4">
        <f>SEARCH(",",$W165,P165+1)</f>
        <v>44</v>
      </c>
      <c r="R165" s="4">
        <f>SEARCH(",",$W165,Q165+1)</f>
        <v>50</v>
      </c>
      <c r="T165" t="s">
        <v>797</v>
      </c>
      <c r="U165">
        <f>SEARCH(":",T165)</f>
        <v>6</v>
      </c>
      <c r="V165" t="str">
        <f>MID(T165,U165+1,LEN(T165)-(U165))</f>
        <v xml:space="preserve"> 469423 ** -321, -781, 4403, 324, 1316, 3175, 4741, 4498</v>
      </c>
      <c r="W165" t="str">
        <f>TRIM(V165)</f>
        <v>469423 ** -321, -781, 4403, 324, 1316, 3175, 4741, 4498</v>
      </c>
      <c r="X165">
        <f>SEARCH("~*",W165)</f>
        <v>8</v>
      </c>
      <c r="Y165" t="str">
        <f>LEFT(W165,X165-1)</f>
        <v xml:space="preserve">469423 </v>
      </c>
      <c r="AA165" t="str">
        <f>CONCATENATE(A165,",",D165,",",E165,",",F165,",",G165,",",H165,",",I165,",",J165,",",K165)</f>
        <v>469423,-321,-781,4403,324,1316,3175,4741,4498</v>
      </c>
    </row>
    <row r="166" spans="1:27">
      <c r="A166" s="1">
        <f>IF(ISBLANK(T166),"",VALUE(Y166))</f>
        <v>468227</v>
      </c>
      <c r="B166" s="1">
        <f>A166*4/10 -18</f>
        <v>187272.8</v>
      </c>
      <c r="C166" s="3">
        <f>B166/7000000</f>
        <v>2.6753257142857142E-2</v>
      </c>
      <c r="D166" s="6">
        <f>VALUE(MID(W166,$X166+2,L166-(X166+2)))</f>
        <v>-317</v>
      </c>
      <c r="E166" s="6">
        <f>VALUE(MID($W166,L166+1,M166-(L166+1)))</f>
        <v>-775</v>
      </c>
      <c r="F166" s="6">
        <f>VALUE(MID($W166,M166+1,N166-(M166+1)))</f>
        <v>4401</v>
      </c>
      <c r="G166" s="6">
        <f>VALUE(MID($W166,N166+1,O166-(N166+1)))</f>
        <v>321</v>
      </c>
      <c r="H166" s="6">
        <f>VALUE(MID($W166,O166+1,P166-(O166+1)))</f>
        <v>1315</v>
      </c>
      <c r="I166" s="6">
        <f>VALUE(MID($W166,P166+1,Q166-(P166+1)))</f>
        <v>3173</v>
      </c>
      <c r="J166" s="6">
        <f>VALUE(MID($W166,Q166+1,R166-(Q166+1)))</f>
        <v>4747</v>
      </c>
      <c r="K166" s="4">
        <f>VALUE(MID(W166,R166+1,LEN(W166)-(R166)))</f>
        <v>4495</v>
      </c>
      <c r="L166" s="4">
        <f>SEARCH(",",W166,X166)</f>
        <v>15</v>
      </c>
      <c r="M166" s="4">
        <f>SEARCH(",",$W166,L166+1)</f>
        <v>21</v>
      </c>
      <c r="N166" s="4">
        <f>SEARCH(",",$W166,M166+1)</f>
        <v>27</v>
      </c>
      <c r="O166" s="4">
        <f>SEARCH(",",$W166,N166+1)</f>
        <v>32</v>
      </c>
      <c r="P166" s="4">
        <f>SEARCH(",",$W166,O166+1)</f>
        <v>38</v>
      </c>
      <c r="Q166" s="4">
        <f>SEARCH(",",$W166,P166+1)</f>
        <v>44</v>
      </c>
      <c r="R166" s="4">
        <f>SEARCH(",",$W166,Q166+1)</f>
        <v>50</v>
      </c>
      <c r="T166" t="s">
        <v>590</v>
      </c>
      <c r="U166">
        <f>SEARCH(":",T166)</f>
        <v>6</v>
      </c>
      <c r="V166" t="str">
        <f>MID(T166,U166+1,LEN(T166)-(U166))</f>
        <v xml:space="preserve"> 468227 ** -317, -775, 4401, 321, 1315, 3173, 4747, 4495</v>
      </c>
      <c r="W166" t="str">
        <f>TRIM(V166)</f>
        <v>468227 ** -317, -775, 4401, 321, 1315, 3173, 4747, 4495</v>
      </c>
      <c r="X166">
        <f>SEARCH("~*",W166)</f>
        <v>8</v>
      </c>
      <c r="Y166" t="str">
        <f>LEFT(W166,X166-1)</f>
        <v xml:space="preserve">468227 </v>
      </c>
      <c r="AA166" t="str">
        <f>CONCATENATE(A166,",",D166,",",E166,",",F166,",",G166,",",H166,",",I166,",",J166,",",K166)</f>
        <v>468227,-317,-775,4401,321,1315,3173,4747,4495</v>
      </c>
    </row>
    <row r="167" spans="1:27">
      <c r="A167" s="1">
        <f>IF(ISBLANK(T167),"",VALUE(Y167))</f>
        <v>461037</v>
      </c>
      <c r="B167" s="1">
        <f>A167*4/10 -18</f>
        <v>184396.79999999999</v>
      </c>
      <c r="C167" s="3">
        <f>B167/7000000</f>
        <v>2.6342399999999998E-2</v>
      </c>
      <c r="D167" s="6">
        <f>VALUE(MID(W167,$X167+2,L167-(X167+2)))</f>
        <v>-320</v>
      </c>
      <c r="E167" s="6">
        <f>VALUE(MID($W167,L167+1,M167-(L167+1)))</f>
        <v>-778</v>
      </c>
      <c r="F167" s="6">
        <f>VALUE(MID($W167,M167+1,N167-(M167+1)))</f>
        <v>4402</v>
      </c>
      <c r="G167" s="6">
        <f>VALUE(MID($W167,N167+1,O167-(N167+1)))</f>
        <v>324</v>
      </c>
      <c r="H167" s="6">
        <f>VALUE(MID($W167,O167+1,P167-(O167+1)))</f>
        <v>1312</v>
      </c>
      <c r="I167" s="6">
        <f>VALUE(MID($W167,P167+1,Q167-(P167+1)))</f>
        <v>3167</v>
      </c>
      <c r="J167" s="6">
        <f>VALUE(MID($W167,Q167+1,R167-(Q167+1)))</f>
        <v>4746</v>
      </c>
      <c r="K167" s="4">
        <f>VALUE(MID(W167,R167+1,LEN(W167)-(R167)))</f>
        <v>4498</v>
      </c>
      <c r="L167" s="4">
        <f>SEARCH(",",W167,X167)</f>
        <v>15</v>
      </c>
      <c r="M167" s="4">
        <f>SEARCH(",",$W167,L167+1)</f>
        <v>21</v>
      </c>
      <c r="N167" s="4">
        <f>SEARCH(",",$W167,M167+1)</f>
        <v>27</v>
      </c>
      <c r="O167" s="4">
        <f>SEARCH(",",$W167,N167+1)</f>
        <v>32</v>
      </c>
      <c r="P167" s="4">
        <f>SEARCH(",",$W167,O167+1)</f>
        <v>38</v>
      </c>
      <c r="Q167" s="4">
        <f>SEARCH(",",$W167,P167+1)</f>
        <v>44</v>
      </c>
      <c r="R167" s="4">
        <f>SEARCH(",",$W167,Q167+1)</f>
        <v>50</v>
      </c>
      <c r="T167" t="s">
        <v>753</v>
      </c>
      <c r="U167">
        <f>SEARCH(":",T167)</f>
        <v>6</v>
      </c>
      <c r="V167" t="str">
        <f>MID(T167,U167+1,LEN(T167)-(U167))</f>
        <v xml:space="preserve"> 461037 ** -320, -778, 4402, 324, 1312, 3167, 4746, 4498</v>
      </c>
      <c r="W167" t="str">
        <f>TRIM(V167)</f>
        <v>461037 ** -320, -778, 4402, 324, 1312, 3167, 4746, 4498</v>
      </c>
      <c r="X167">
        <f>SEARCH("~*",W167)</f>
        <v>8</v>
      </c>
      <c r="Y167" t="str">
        <f>LEFT(W167,X167-1)</f>
        <v xml:space="preserve">461037 </v>
      </c>
      <c r="AA167" t="str">
        <f>CONCATENATE(A167,",",D167,",",E167,",",F167,",",G167,",",H167,",",I167,",",J167,",",K167)</f>
        <v>461037,-320,-778,4402,324,1312,3167,4746,4498</v>
      </c>
    </row>
    <row r="168" spans="1:27">
      <c r="A168" s="1">
        <f>IF(ISBLANK(T168),"",VALUE(Y168))</f>
        <v>460875</v>
      </c>
      <c r="B168" s="1">
        <f>A168*4/10 -18</f>
        <v>184332</v>
      </c>
      <c r="C168" s="3">
        <f>B168/7000000</f>
        <v>2.6333142857142857E-2</v>
      </c>
      <c r="D168" s="6">
        <f>VALUE(MID(W168,$X168+2,L168-(X168+2)))</f>
        <v>-323</v>
      </c>
      <c r="E168" s="6">
        <f>VALUE(MID($W168,L168+1,M168-(L168+1)))</f>
        <v>-781</v>
      </c>
      <c r="F168" s="6">
        <f>VALUE(MID($W168,M168+1,N168-(M168+1)))</f>
        <v>4403</v>
      </c>
      <c r="G168" s="6">
        <f>VALUE(MID($W168,N168+1,O168-(N168+1)))</f>
        <v>322</v>
      </c>
      <c r="H168" s="6">
        <f>VALUE(MID($W168,O168+1,P168-(O168+1)))</f>
        <v>1318</v>
      </c>
      <c r="I168" s="6">
        <f>VALUE(MID($W168,P168+1,Q168-(P168+1)))</f>
        <v>3166</v>
      </c>
      <c r="J168" s="6">
        <f>VALUE(MID($W168,Q168+1,R168-(Q168+1)))</f>
        <v>4747</v>
      </c>
      <c r="K168" s="4">
        <f>VALUE(MID(W168,R168+1,LEN(W168)-(R168)))</f>
        <v>4494</v>
      </c>
      <c r="L168" s="4">
        <f>SEARCH(",",W168,X168)</f>
        <v>15</v>
      </c>
      <c r="M168" s="4">
        <f>SEARCH(",",$W168,L168+1)</f>
        <v>21</v>
      </c>
      <c r="N168" s="4">
        <f>SEARCH(",",$W168,M168+1)</f>
        <v>27</v>
      </c>
      <c r="O168" s="4">
        <f>SEARCH(",",$W168,N168+1)</f>
        <v>32</v>
      </c>
      <c r="P168" s="4">
        <f>SEARCH(",",$W168,O168+1)</f>
        <v>38</v>
      </c>
      <c r="Q168" s="4">
        <f>SEARCH(",",$W168,P168+1)</f>
        <v>44</v>
      </c>
      <c r="R168" s="4">
        <f>SEARCH(",",$W168,Q168+1)</f>
        <v>50</v>
      </c>
      <c r="T168" t="s">
        <v>863</v>
      </c>
      <c r="U168">
        <f>SEARCH(":",T168)</f>
        <v>6</v>
      </c>
      <c r="V168" t="str">
        <f>MID(T168,U168+1,LEN(T168)-(U168))</f>
        <v xml:space="preserve"> 460875 ** -323, -781, 4403, 322, 1318, 3166, 4747, 4494</v>
      </c>
      <c r="W168" t="str">
        <f>TRIM(V168)</f>
        <v>460875 ** -323, -781, 4403, 322, 1318, 3166, 4747, 4494</v>
      </c>
      <c r="X168">
        <f>SEARCH("~*",W168)</f>
        <v>8</v>
      </c>
      <c r="Y168" t="str">
        <f>LEFT(W168,X168-1)</f>
        <v xml:space="preserve">460875 </v>
      </c>
      <c r="AA168" t="str">
        <f>CONCATENATE(A168,",",D168,",",E168,",",F168,",",G168,",",H168,",",I168,",",J168,",",K168)</f>
        <v>460875,-323,-781,4403,322,1318,3166,4747,4494</v>
      </c>
    </row>
    <row r="169" spans="1:27">
      <c r="A169" s="1">
        <f>IF(ISBLANK(T169),"",VALUE(Y169))</f>
        <v>458011</v>
      </c>
      <c r="B169" s="1">
        <f>A169*4/10 -18</f>
        <v>183186.4</v>
      </c>
      <c r="C169" s="3">
        <f>B169/7000000</f>
        <v>2.6169485714285713E-2</v>
      </c>
      <c r="D169" s="6">
        <f>VALUE(MID(W169,$X169+2,L169-(X169+2)))</f>
        <v>-319</v>
      </c>
      <c r="E169" s="6">
        <f>VALUE(MID($W169,L169+1,M169-(L169+1)))</f>
        <v>-778</v>
      </c>
      <c r="F169" s="6">
        <f>VALUE(MID($W169,M169+1,N169-(M169+1)))</f>
        <v>4406</v>
      </c>
      <c r="G169" s="6">
        <f>VALUE(MID($W169,N169+1,O169-(N169+1)))</f>
        <v>323</v>
      </c>
      <c r="H169" s="6">
        <f>VALUE(MID($W169,O169+1,P169-(O169+1)))</f>
        <v>1316</v>
      </c>
      <c r="I169" s="6">
        <f>VALUE(MID($W169,P169+1,Q169-(P169+1)))</f>
        <v>3170</v>
      </c>
      <c r="J169" s="6">
        <f>VALUE(MID($W169,Q169+1,R169-(Q169+1)))</f>
        <v>4746</v>
      </c>
      <c r="K169" s="4">
        <f>VALUE(MID(W169,R169+1,LEN(W169)-(R169)))</f>
        <v>4496</v>
      </c>
      <c r="L169" s="4">
        <f>SEARCH(",",W169,X169)</f>
        <v>15</v>
      </c>
      <c r="M169" s="4">
        <f>SEARCH(",",$W169,L169+1)</f>
        <v>21</v>
      </c>
      <c r="N169" s="4">
        <f>SEARCH(",",$W169,M169+1)</f>
        <v>27</v>
      </c>
      <c r="O169" s="4">
        <f>SEARCH(",",$W169,N169+1)</f>
        <v>32</v>
      </c>
      <c r="P169" s="4">
        <f>SEARCH(",",$W169,O169+1)</f>
        <v>38</v>
      </c>
      <c r="Q169" s="4">
        <f>SEARCH(",",$W169,P169+1)</f>
        <v>44</v>
      </c>
      <c r="R169" s="4">
        <f>SEARCH(",",$W169,Q169+1)</f>
        <v>50</v>
      </c>
      <c r="T169" t="s">
        <v>716</v>
      </c>
      <c r="U169">
        <f>SEARCH(":",T169)</f>
        <v>6</v>
      </c>
      <c r="V169" t="str">
        <f>MID(T169,U169+1,LEN(T169)-(U169))</f>
        <v xml:space="preserve"> 458011 ** -319, -778, 4406, 323, 1316, 3170, 4746, 4496</v>
      </c>
      <c r="W169" t="str">
        <f>TRIM(V169)</f>
        <v>458011 ** -319, -778, 4406, 323, 1316, 3170, 4746, 4496</v>
      </c>
      <c r="X169">
        <f>SEARCH("~*",W169)</f>
        <v>8</v>
      </c>
      <c r="Y169" t="str">
        <f>LEFT(W169,X169-1)</f>
        <v xml:space="preserve">458011 </v>
      </c>
      <c r="AA169" t="str">
        <f>CONCATENATE(A169,",",D169,",",E169,",",F169,",",G169,",",H169,",",I169,",",J169,",",K169)</f>
        <v>458011,-319,-778,4406,323,1316,3170,4746,4496</v>
      </c>
    </row>
    <row r="170" spans="1:27">
      <c r="A170" s="1">
        <f>IF(ISBLANK(T170),"",VALUE(Y170))</f>
        <v>456878</v>
      </c>
      <c r="B170" s="1">
        <f>A170*4/10 -18</f>
        <v>182733.2</v>
      </c>
      <c r="C170" s="3">
        <f>B170/7000000</f>
        <v>2.610474285714286E-2</v>
      </c>
      <c r="D170" s="6">
        <f>VALUE(MID(W170,$X170+2,L170-(X170+2)))</f>
        <v>-316</v>
      </c>
      <c r="E170" s="6">
        <f>VALUE(MID($W170,L170+1,M170-(L170+1)))</f>
        <v>-777</v>
      </c>
      <c r="F170" s="6">
        <f>VALUE(MID($W170,M170+1,N170-(M170+1)))</f>
        <v>4402</v>
      </c>
      <c r="G170" s="6">
        <f>VALUE(MID($W170,N170+1,O170-(N170+1)))</f>
        <v>324</v>
      </c>
      <c r="H170" s="6">
        <f>VALUE(MID($W170,O170+1,P170-(O170+1)))</f>
        <v>1315</v>
      </c>
      <c r="I170" s="6">
        <f>VALUE(MID($W170,P170+1,Q170-(P170+1)))</f>
        <v>3173</v>
      </c>
      <c r="J170" s="6">
        <f>VALUE(MID($W170,Q170+1,R170-(Q170+1)))</f>
        <v>4741</v>
      </c>
      <c r="K170" s="4">
        <f>VALUE(MID(W170,R170+1,LEN(W170)-(R170)))</f>
        <v>4499</v>
      </c>
      <c r="L170" s="4">
        <f>SEARCH(",",W170,X170)</f>
        <v>15</v>
      </c>
      <c r="M170" s="4">
        <f>SEARCH(",",$W170,L170+1)</f>
        <v>21</v>
      </c>
      <c r="N170" s="4">
        <f>SEARCH(",",$W170,M170+1)</f>
        <v>27</v>
      </c>
      <c r="O170" s="4">
        <f>SEARCH(",",$W170,N170+1)</f>
        <v>32</v>
      </c>
      <c r="P170" s="4">
        <f>SEARCH(",",$W170,O170+1)</f>
        <v>38</v>
      </c>
      <c r="Q170" s="4">
        <f>SEARCH(",",$W170,P170+1)</f>
        <v>44</v>
      </c>
      <c r="R170" s="4">
        <f>SEARCH(",",$W170,Q170+1)</f>
        <v>50</v>
      </c>
      <c r="T170" t="s">
        <v>632</v>
      </c>
      <c r="U170">
        <f>SEARCH(":",T170)</f>
        <v>6</v>
      </c>
      <c r="V170" t="str">
        <f>MID(T170,U170+1,LEN(T170)-(U170))</f>
        <v xml:space="preserve"> 456878 ** -316, -777, 4402, 324, 1315, 3173, 4741, 4499</v>
      </c>
      <c r="W170" t="str">
        <f>TRIM(V170)</f>
        <v>456878 ** -316, -777, 4402, 324, 1315, 3173, 4741, 4499</v>
      </c>
      <c r="X170">
        <f>SEARCH("~*",W170)</f>
        <v>8</v>
      </c>
      <c r="Y170" t="str">
        <f>LEFT(W170,X170-1)</f>
        <v xml:space="preserve">456878 </v>
      </c>
      <c r="AA170" t="str">
        <f>CONCATENATE(A170,",",D170,",",E170,",",F170,",",G170,",",H170,",",I170,",",J170,",",K170)</f>
        <v>456878,-316,-777,4402,324,1315,3173,4741,4499</v>
      </c>
    </row>
    <row r="171" spans="1:27">
      <c r="A171" s="1">
        <f>IF(ISBLANK(T171),"",VALUE(Y171))</f>
        <v>451578</v>
      </c>
      <c r="B171" s="1">
        <f>A171*4/10 -18</f>
        <v>180613.2</v>
      </c>
      <c r="C171" s="3">
        <f>B171/7000000</f>
        <v>2.5801885714285717E-2</v>
      </c>
      <c r="D171" s="6">
        <f>VALUE(MID(W171,$X171+2,L171-(X171+2)))</f>
        <v>-317</v>
      </c>
      <c r="E171" s="6">
        <f>VALUE(MID($W171,L171+1,M171-(L171+1)))</f>
        <v>-778</v>
      </c>
      <c r="F171" s="6">
        <f>VALUE(MID($W171,M171+1,N171-(M171+1)))</f>
        <v>4402</v>
      </c>
      <c r="G171" s="6">
        <f>VALUE(MID($W171,N171+1,O171-(N171+1)))</f>
        <v>325</v>
      </c>
      <c r="H171" s="6">
        <f>VALUE(MID($W171,O171+1,P171-(O171+1)))</f>
        <v>1315</v>
      </c>
      <c r="I171" s="6">
        <f>VALUE(MID($W171,P171+1,Q171-(P171+1)))</f>
        <v>3167</v>
      </c>
      <c r="J171" s="6">
        <f>VALUE(MID($W171,Q171+1,R171-(Q171+1)))</f>
        <v>4743</v>
      </c>
      <c r="K171" s="4">
        <f>VALUE(MID(W171,R171+1,LEN(W171)-(R171)))</f>
        <v>4498</v>
      </c>
      <c r="L171" s="4">
        <f>SEARCH(",",W171,X171)</f>
        <v>15</v>
      </c>
      <c r="M171" s="4">
        <f>SEARCH(",",$W171,L171+1)</f>
        <v>21</v>
      </c>
      <c r="N171" s="4">
        <f>SEARCH(",",$W171,M171+1)</f>
        <v>27</v>
      </c>
      <c r="O171" s="4">
        <f>SEARCH(",",$W171,N171+1)</f>
        <v>32</v>
      </c>
      <c r="P171" s="4">
        <f>SEARCH(",",$W171,O171+1)</f>
        <v>38</v>
      </c>
      <c r="Q171" s="4">
        <f>SEARCH(",",$W171,P171+1)</f>
        <v>44</v>
      </c>
      <c r="R171" s="4">
        <f>SEARCH(",",$W171,Q171+1)</f>
        <v>50</v>
      </c>
      <c r="T171" t="s">
        <v>633</v>
      </c>
      <c r="U171">
        <f>SEARCH(":",T171)</f>
        <v>6</v>
      </c>
      <c r="V171" t="str">
        <f>MID(T171,U171+1,LEN(T171)-(U171))</f>
        <v xml:space="preserve"> 451578 ** -317, -778, 4402, 325, 1315, 3167, 4743, 4498</v>
      </c>
      <c r="W171" t="str">
        <f>TRIM(V171)</f>
        <v>451578 ** -317, -778, 4402, 325, 1315, 3167, 4743, 4498</v>
      </c>
      <c r="X171">
        <f>SEARCH("~*",W171)</f>
        <v>8</v>
      </c>
      <c r="Y171" t="str">
        <f>LEFT(W171,X171-1)</f>
        <v xml:space="preserve">451578 </v>
      </c>
      <c r="AA171" t="str">
        <f>CONCATENATE(A171,",",D171,",",E171,",",F171,",",G171,",",H171,",",I171,",",J171,",",K171)</f>
        <v>451578,-317,-778,4402,325,1315,3167,4743,4498</v>
      </c>
    </row>
    <row r="172" spans="1:27">
      <c r="A172" s="1">
        <f>IF(ISBLANK(T172),"",VALUE(Y172))</f>
        <v>446372</v>
      </c>
      <c r="B172" s="1">
        <f>A172*4/10 -18</f>
        <v>178530.8</v>
      </c>
      <c r="C172" s="3">
        <f>B172/7000000</f>
        <v>2.55044E-2</v>
      </c>
      <c r="D172" s="6">
        <f>VALUE(MID(W172,$X172+2,L172-(X172+2)))</f>
        <v>-317</v>
      </c>
      <c r="E172" s="6">
        <f>VALUE(MID($W172,L172+1,M172-(L172+1)))</f>
        <v>-773</v>
      </c>
      <c r="F172" s="6">
        <f>VALUE(MID($W172,M172+1,N172-(M172+1)))</f>
        <v>4403</v>
      </c>
      <c r="G172" s="6">
        <f>VALUE(MID($W172,N172+1,O172-(N172+1)))</f>
        <v>327</v>
      </c>
      <c r="H172" s="6">
        <f>VALUE(MID($W172,O172+1,P172-(O172+1)))</f>
        <v>1315</v>
      </c>
      <c r="I172" s="6">
        <f>VALUE(MID($W172,P172+1,Q172-(P172+1)))</f>
        <v>3172</v>
      </c>
      <c r="J172" s="6">
        <f>VALUE(MID($W172,Q172+1,R172-(Q172+1)))</f>
        <v>4742</v>
      </c>
      <c r="K172" s="4">
        <f>VALUE(MID(W172,R172+1,LEN(W172)-(R172)))</f>
        <v>4500</v>
      </c>
      <c r="L172" s="4">
        <f>SEARCH(",",W172,X172)</f>
        <v>15</v>
      </c>
      <c r="M172" s="4">
        <f>SEARCH(",",$W172,L172+1)</f>
        <v>21</v>
      </c>
      <c r="N172" s="4">
        <f>SEARCH(",",$W172,M172+1)</f>
        <v>27</v>
      </c>
      <c r="O172" s="4">
        <f>SEARCH(",",$W172,N172+1)</f>
        <v>32</v>
      </c>
      <c r="P172" s="4">
        <f>SEARCH(",",$W172,O172+1)</f>
        <v>38</v>
      </c>
      <c r="Q172" s="4">
        <f>SEARCH(",",$W172,P172+1)</f>
        <v>44</v>
      </c>
      <c r="R172" s="4">
        <f>SEARCH(",",$W172,Q172+1)</f>
        <v>50</v>
      </c>
      <c r="T172" t="s">
        <v>810</v>
      </c>
      <c r="U172">
        <f>SEARCH(":",T172)</f>
        <v>6</v>
      </c>
      <c r="V172" t="str">
        <f>MID(T172,U172+1,LEN(T172)-(U172))</f>
        <v xml:space="preserve"> 446372 ** -317, -773, 4403, 327, 1315, 3172, 4742, 4500</v>
      </c>
      <c r="W172" t="str">
        <f>TRIM(V172)</f>
        <v>446372 ** -317, -773, 4403, 327, 1315, 3172, 4742, 4500</v>
      </c>
      <c r="X172">
        <f>SEARCH("~*",W172)</f>
        <v>8</v>
      </c>
      <c r="Y172" t="str">
        <f>LEFT(W172,X172-1)</f>
        <v xml:space="preserve">446372 </v>
      </c>
      <c r="AA172" t="str">
        <f>CONCATENATE(A172,",",D172,",",E172,",",F172,",",G172,",",H172,",",I172,",",J172,",",K172)</f>
        <v>446372,-317,-773,4403,327,1315,3172,4742,4500</v>
      </c>
    </row>
    <row r="173" spans="1:27">
      <c r="A173" s="1">
        <f>IF(ISBLANK(T173),"",VALUE(Y173))</f>
        <v>444539</v>
      </c>
      <c r="B173" s="1">
        <f>A173*4/10 -18</f>
        <v>177797.6</v>
      </c>
      <c r="C173" s="3">
        <f>B173/7000000</f>
        <v>2.5399657142857145E-2</v>
      </c>
      <c r="D173" s="6">
        <f>VALUE(MID(W173,$X173+2,L173-(X173+2)))</f>
        <v>-320</v>
      </c>
      <c r="E173" s="6">
        <f>VALUE(MID($W173,L173+1,M173-(L173+1)))</f>
        <v>-780</v>
      </c>
      <c r="F173" s="6">
        <f>VALUE(MID($W173,M173+1,N173-(M173+1)))</f>
        <v>4399</v>
      </c>
      <c r="G173" s="6">
        <f>VALUE(MID($W173,N173+1,O173-(N173+1)))</f>
        <v>324</v>
      </c>
      <c r="H173" s="6">
        <f>VALUE(MID($W173,O173+1,P173-(O173+1)))</f>
        <v>1321</v>
      </c>
      <c r="I173" s="6">
        <f>VALUE(MID($W173,P173+1,Q173-(P173+1)))</f>
        <v>3167</v>
      </c>
      <c r="J173" s="6">
        <f>VALUE(MID($W173,Q173+1,R173-(Q173+1)))</f>
        <v>4747</v>
      </c>
      <c r="K173" s="4">
        <f>VALUE(MID(W173,R173+1,LEN(W173)-(R173)))</f>
        <v>4495</v>
      </c>
      <c r="L173" s="4">
        <f>SEARCH(",",W173,X173)</f>
        <v>15</v>
      </c>
      <c r="M173" s="4">
        <f>SEARCH(",",$W173,L173+1)</f>
        <v>21</v>
      </c>
      <c r="N173" s="4">
        <f>SEARCH(",",$W173,M173+1)</f>
        <v>27</v>
      </c>
      <c r="O173" s="4">
        <f>SEARCH(",",$W173,N173+1)</f>
        <v>32</v>
      </c>
      <c r="P173" s="4">
        <f>SEARCH(",",$W173,O173+1)</f>
        <v>38</v>
      </c>
      <c r="Q173" s="4">
        <f>SEARCH(",",$W173,P173+1)</f>
        <v>44</v>
      </c>
      <c r="R173" s="4">
        <f>SEARCH(",",$W173,Q173+1)</f>
        <v>50</v>
      </c>
      <c r="T173" t="s">
        <v>657</v>
      </c>
      <c r="U173">
        <f>SEARCH(":",T173)</f>
        <v>6</v>
      </c>
      <c r="V173" t="str">
        <f>MID(T173,U173+1,LEN(T173)-(U173))</f>
        <v xml:space="preserve"> 444539 ** -320, -780, 4399, 324, 1321, 3167, 4747, 4495</v>
      </c>
      <c r="W173" t="str">
        <f>TRIM(V173)</f>
        <v>444539 ** -320, -780, 4399, 324, 1321, 3167, 4747, 4495</v>
      </c>
      <c r="X173">
        <f>SEARCH("~*",W173)</f>
        <v>8</v>
      </c>
      <c r="Y173" t="str">
        <f>LEFT(W173,X173-1)</f>
        <v xml:space="preserve">444539 </v>
      </c>
      <c r="AA173" t="str">
        <f>CONCATENATE(A173,",",D173,",",E173,",",F173,",",G173,",",H173,",",I173,",",J173,",",K173)</f>
        <v>444539,-320,-780,4399,324,1321,3167,4747,4495</v>
      </c>
    </row>
    <row r="174" spans="1:27">
      <c r="A174" s="1">
        <f>IF(ISBLANK(T174),"",VALUE(Y174))</f>
        <v>441672</v>
      </c>
      <c r="B174" s="1">
        <f>A174*4/10 -18</f>
        <v>176650.8</v>
      </c>
      <c r="C174" s="3">
        <f>B174/7000000</f>
        <v>2.5235828571428569E-2</v>
      </c>
      <c r="D174" s="6">
        <f>VALUE(MID(W174,$X174+2,L174-(X174+2)))</f>
        <v>-322</v>
      </c>
      <c r="E174" s="6">
        <f>VALUE(MID($W174,L174+1,M174-(L174+1)))</f>
        <v>-779</v>
      </c>
      <c r="F174" s="6">
        <f>VALUE(MID($W174,M174+1,N174-(M174+1)))</f>
        <v>4406</v>
      </c>
      <c r="G174" s="6">
        <f>VALUE(MID($W174,N174+1,O174-(N174+1)))</f>
        <v>321</v>
      </c>
      <c r="H174" s="6">
        <f>VALUE(MID($W174,O174+1,P174-(O174+1)))</f>
        <v>1314</v>
      </c>
      <c r="I174" s="6">
        <f>VALUE(MID($W174,P174+1,Q174-(P174+1)))</f>
        <v>3167</v>
      </c>
      <c r="J174" s="6">
        <f>VALUE(MID($W174,Q174+1,R174-(Q174+1)))</f>
        <v>4739</v>
      </c>
      <c r="K174" s="4">
        <f>VALUE(MID(W174,R174+1,LEN(W174)-(R174)))</f>
        <v>4496</v>
      </c>
      <c r="L174" s="4">
        <f>SEARCH(",",W174,X174)</f>
        <v>15</v>
      </c>
      <c r="M174" s="4">
        <f>SEARCH(",",$W174,L174+1)</f>
        <v>21</v>
      </c>
      <c r="N174" s="4">
        <f>SEARCH(",",$W174,M174+1)</f>
        <v>27</v>
      </c>
      <c r="O174" s="4">
        <f>SEARCH(",",$W174,N174+1)</f>
        <v>32</v>
      </c>
      <c r="P174" s="4">
        <f>SEARCH(",",$W174,O174+1)</f>
        <v>38</v>
      </c>
      <c r="Q174" s="4">
        <f>SEARCH(",",$W174,P174+1)</f>
        <v>44</v>
      </c>
      <c r="R174" s="4">
        <f>SEARCH(",",$W174,Q174+1)</f>
        <v>50</v>
      </c>
      <c r="T174" t="s">
        <v>728</v>
      </c>
      <c r="U174">
        <f>SEARCH(":",T174)</f>
        <v>6</v>
      </c>
      <c r="V174" t="str">
        <f>MID(T174,U174+1,LEN(T174)-(U174))</f>
        <v xml:space="preserve"> 441672 ** -322, -779, 4406, 321, 1314, 3167, 4739, 4496</v>
      </c>
      <c r="W174" t="str">
        <f>TRIM(V174)</f>
        <v>441672 ** -322, -779, 4406, 321, 1314, 3167, 4739, 4496</v>
      </c>
      <c r="X174">
        <f>SEARCH("~*",W174)</f>
        <v>8</v>
      </c>
      <c r="Y174" t="str">
        <f>LEFT(W174,X174-1)</f>
        <v xml:space="preserve">441672 </v>
      </c>
      <c r="AA174" t="str">
        <f>CONCATENATE(A174,",",D174,",",E174,",",F174,",",G174,",",H174,",",I174,",",J174,",",K174)</f>
        <v>441672,-322,-779,4406,321,1314,3167,4739,4496</v>
      </c>
    </row>
    <row r="175" spans="1:27">
      <c r="A175" s="1">
        <f>IF(ISBLANK(T175),"",VALUE(Y175))</f>
        <v>434896</v>
      </c>
      <c r="B175" s="1">
        <f>A175*4/10 -18</f>
        <v>173940.4</v>
      </c>
      <c r="C175" s="3">
        <f>B175/7000000</f>
        <v>2.4848628571428572E-2</v>
      </c>
      <c r="D175" s="6">
        <f>VALUE(MID(W175,$X175+2,L175-(X175+2)))</f>
        <v>-317</v>
      </c>
      <c r="E175" s="6">
        <f>VALUE(MID($W175,L175+1,M175-(L175+1)))</f>
        <v>-779</v>
      </c>
      <c r="F175" s="6">
        <f>VALUE(MID($W175,M175+1,N175-(M175+1)))</f>
        <v>4400</v>
      </c>
      <c r="G175" s="6">
        <f>VALUE(MID($W175,N175+1,O175-(N175+1)))</f>
        <v>326</v>
      </c>
      <c r="H175" s="6">
        <f>VALUE(MID($W175,O175+1,P175-(O175+1)))</f>
        <v>1318</v>
      </c>
      <c r="I175" s="6">
        <f>VALUE(MID($W175,P175+1,Q175-(P175+1)))</f>
        <v>3166</v>
      </c>
      <c r="J175" s="6">
        <f>VALUE(MID($W175,Q175+1,R175-(Q175+1)))</f>
        <v>4740</v>
      </c>
      <c r="K175" s="4">
        <f>VALUE(MID(W175,R175+1,LEN(W175)-(R175)))</f>
        <v>4495</v>
      </c>
      <c r="L175" s="4">
        <f>SEARCH(",",W175,X175)</f>
        <v>15</v>
      </c>
      <c r="M175" s="4">
        <f>SEARCH(",",$W175,L175+1)</f>
        <v>21</v>
      </c>
      <c r="N175" s="4">
        <f>SEARCH(",",$W175,M175+1)</f>
        <v>27</v>
      </c>
      <c r="O175" s="4">
        <f>SEARCH(",",$W175,N175+1)</f>
        <v>32</v>
      </c>
      <c r="P175" s="4">
        <f>SEARCH(",",$W175,O175+1)</f>
        <v>38</v>
      </c>
      <c r="Q175" s="4">
        <f>SEARCH(",",$W175,P175+1)</f>
        <v>44</v>
      </c>
      <c r="R175" s="4">
        <f>SEARCH(",",$W175,Q175+1)</f>
        <v>50</v>
      </c>
      <c r="T175" t="s">
        <v>765</v>
      </c>
      <c r="U175">
        <f>SEARCH(":",T175)</f>
        <v>6</v>
      </c>
      <c r="V175" t="str">
        <f>MID(T175,U175+1,LEN(T175)-(U175))</f>
        <v xml:space="preserve"> 434896 ** -317, -779, 4400, 326, 1318, 3166, 4740, 4495</v>
      </c>
      <c r="W175" t="str">
        <f>TRIM(V175)</f>
        <v>434896 ** -317, -779, 4400, 326, 1318, 3166, 4740, 4495</v>
      </c>
      <c r="X175">
        <f>SEARCH("~*",W175)</f>
        <v>8</v>
      </c>
      <c r="Y175" t="str">
        <f>LEFT(W175,X175-1)</f>
        <v xml:space="preserve">434896 </v>
      </c>
      <c r="AA175" t="str">
        <f>CONCATENATE(A175,",",D175,",",E175,",",F175,",",G175,",",H175,",",I175,",",J175,",",K175)</f>
        <v>434896,-317,-779,4400,326,1318,3166,4740,4495</v>
      </c>
    </row>
    <row r="176" spans="1:27">
      <c r="A176" s="1">
        <f>IF(ISBLANK(T176),"",VALUE(Y176))</f>
        <v>433128</v>
      </c>
      <c r="B176" s="1">
        <f>A176*4/10 -18</f>
        <v>173233.2</v>
      </c>
      <c r="C176" s="3">
        <f>B176/7000000</f>
        <v>2.4747600000000002E-2</v>
      </c>
      <c r="D176" s="6">
        <f>VALUE(MID(W176,$X176+2,L176-(X176+2)))</f>
        <v>-315</v>
      </c>
      <c r="E176" s="6">
        <f>VALUE(MID($W176,L176+1,M176-(L176+1)))</f>
        <v>-777</v>
      </c>
      <c r="F176" s="6">
        <f>VALUE(MID($W176,M176+1,N176-(M176+1)))</f>
        <v>4406</v>
      </c>
      <c r="G176" s="6">
        <f>VALUE(MID($W176,N176+1,O176-(N176+1)))</f>
        <v>326</v>
      </c>
      <c r="H176" s="6">
        <f>VALUE(MID($W176,O176+1,P176-(O176+1)))</f>
        <v>1318</v>
      </c>
      <c r="I176" s="6">
        <f>VALUE(MID($W176,P176+1,Q176-(P176+1)))</f>
        <v>3167</v>
      </c>
      <c r="J176" s="6">
        <f>VALUE(MID($W176,Q176+1,R176-(Q176+1)))</f>
        <v>4741</v>
      </c>
      <c r="K176" s="4">
        <f>VALUE(MID(W176,R176+1,LEN(W176)-(R176)))</f>
        <v>4491</v>
      </c>
      <c r="L176" s="4">
        <f>SEARCH(",",W176,X176)</f>
        <v>15</v>
      </c>
      <c r="M176" s="4">
        <f>SEARCH(",",$W176,L176+1)</f>
        <v>21</v>
      </c>
      <c r="N176" s="4">
        <f>SEARCH(",",$W176,M176+1)</f>
        <v>27</v>
      </c>
      <c r="O176" s="4">
        <f>SEARCH(",",$W176,N176+1)</f>
        <v>32</v>
      </c>
      <c r="P176" s="4">
        <f>SEARCH(",",$W176,O176+1)</f>
        <v>38</v>
      </c>
      <c r="Q176" s="4">
        <f>SEARCH(",",$W176,P176+1)</f>
        <v>44</v>
      </c>
      <c r="R176" s="4">
        <f>SEARCH(",",$W176,Q176+1)</f>
        <v>50</v>
      </c>
      <c r="T176" t="s">
        <v>706</v>
      </c>
      <c r="U176">
        <f>SEARCH(":",T176)</f>
        <v>6</v>
      </c>
      <c r="V176" t="str">
        <f>MID(T176,U176+1,LEN(T176)-(U176))</f>
        <v xml:space="preserve"> 433128 ** -315, -777, 4406, 326, 1318, 3167, 4741, 4491</v>
      </c>
      <c r="W176" t="str">
        <f>TRIM(V176)</f>
        <v>433128 ** -315, -777, 4406, 326, 1318, 3167, 4741, 4491</v>
      </c>
      <c r="X176">
        <f>SEARCH("~*",W176)</f>
        <v>8</v>
      </c>
      <c r="Y176" t="str">
        <f>LEFT(W176,X176-1)</f>
        <v xml:space="preserve">433128 </v>
      </c>
      <c r="AA176" t="str">
        <f>CONCATENATE(A176,",",D176,",",E176,",",F176,",",G176,",",H176,",",I176,",",J176,",",K176)</f>
        <v>433128,-315,-777,4406,326,1318,3167,4741,4491</v>
      </c>
    </row>
    <row r="177" spans="1:27">
      <c r="A177" s="1">
        <f>IF(ISBLANK(T177),"",VALUE(Y177))</f>
        <v>433026</v>
      </c>
      <c r="B177" s="1">
        <f>A177*4/10 -18</f>
        <v>173192.4</v>
      </c>
      <c r="C177" s="3">
        <f>B177/7000000</f>
        <v>2.4741771428571428E-2</v>
      </c>
      <c r="D177" s="6">
        <f>VALUE(MID(W177,$X177+2,L177-(X177+2)))</f>
        <v>-316</v>
      </c>
      <c r="E177" s="6">
        <f>VALUE(MID($W177,L177+1,M177-(L177+1)))</f>
        <v>-782</v>
      </c>
      <c r="F177" s="6">
        <f>VALUE(MID($W177,M177+1,N177-(M177+1)))</f>
        <v>4403</v>
      </c>
      <c r="G177" s="6">
        <f>VALUE(MID($W177,N177+1,O177-(N177+1)))</f>
        <v>324</v>
      </c>
      <c r="H177" s="6">
        <f>VALUE(MID($W177,O177+1,P177-(O177+1)))</f>
        <v>1314</v>
      </c>
      <c r="I177" s="6">
        <f>VALUE(MID($W177,P177+1,Q177-(P177+1)))</f>
        <v>3170</v>
      </c>
      <c r="J177" s="6">
        <f>VALUE(MID($W177,Q177+1,R177-(Q177+1)))</f>
        <v>4748</v>
      </c>
      <c r="K177" s="4">
        <f>VALUE(MID(W177,R177+1,LEN(W177)-(R177)))</f>
        <v>4493</v>
      </c>
      <c r="L177" s="4">
        <f>SEARCH(",",W177,X177)</f>
        <v>15</v>
      </c>
      <c r="M177" s="4">
        <f>SEARCH(",",$W177,L177+1)</f>
        <v>21</v>
      </c>
      <c r="N177" s="4">
        <f>SEARCH(",",$W177,M177+1)</f>
        <v>27</v>
      </c>
      <c r="O177" s="4">
        <f>SEARCH(",",$W177,N177+1)</f>
        <v>32</v>
      </c>
      <c r="P177" s="4">
        <f>SEARCH(",",$W177,O177+1)</f>
        <v>38</v>
      </c>
      <c r="Q177" s="4">
        <f>SEARCH(",",$W177,P177+1)</f>
        <v>44</v>
      </c>
      <c r="R177" s="4">
        <f>SEARCH(",",$W177,Q177+1)</f>
        <v>50</v>
      </c>
      <c r="T177" t="s">
        <v>764</v>
      </c>
      <c r="U177">
        <f>SEARCH(":",T177)</f>
        <v>6</v>
      </c>
      <c r="V177" t="str">
        <f>MID(T177,U177+1,LEN(T177)-(U177))</f>
        <v xml:space="preserve"> 433026 ** -316, -782, 4403, 324, 1314, 3170, 4748, 4493</v>
      </c>
      <c r="W177" t="str">
        <f>TRIM(V177)</f>
        <v>433026 ** -316, -782, 4403, 324, 1314, 3170, 4748, 4493</v>
      </c>
      <c r="X177">
        <f>SEARCH("~*",W177)</f>
        <v>8</v>
      </c>
      <c r="Y177" t="str">
        <f>LEFT(W177,X177-1)</f>
        <v xml:space="preserve">433026 </v>
      </c>
      <c r="AA177" t="str">
        <f>CONCATENATE(A177,",",D177,",",E177,",",F177,",",G177,",",H177,",",I177,",",J177,",",K177)</f>
        <v>433026,-316,-782,4403,324,1314,3170,4748,4493</v>
      </c>
    </row>
    <row r="178" spans="1:27">
      <c r="A178" s="1">
        <f>IF(ISBLANK(T178),"",VALUE(Y178))</f>
        <v>427526</v>
      </c>
      <c r="B178" s="1">
        <f>A178*4/10 -18</f>
        <v>170992.4</v>
      </c>
      <c r="C178" s="3">
        <f>B178/7000000</f>
        <v>2.4427485714285713E-2</v>
      </c>
      <c r="D178" s="6">
        <f>VALUE(MID(W178,$X178+2,L178-(X178+2)))</f>
        <v>-318</v>
      </c>
      <c r="E178" s="6">
        <f>VALUE(MID($W178,L178+1,M178-(L178+1)))</f>
        <v>-774</v>
      </c>
      <c r="F178" s="6">
        <f>VALUE(MID($W178,M178+1,N178-(M178+1)))</f>
        <v>4407</v>
      </c>
      <c r="G178" s="6">
        <f>VALUE(MID($W178,N178+1,O178-(N178+1)))</f>
        <v>329</v>
      </c>
      <c r="H178" s="6">
        <f>VALUE(MID($W178,O178+1,P178-(O178+1)))</f>
        <v>1315</v>
      </c>
      <c r="I178" s="6">
        <f>VALUE(MID($W178,P178+1,Q178-(P178+1)))</f>
        <v>3172</v>
      </c>
      <c r="J178" s="6">
        <f>VALUE(MID($W178,Q178+1,R178-(Q178+1)))</f>
        <v>4743</v>
      </c>
      <c r="K178" s="4">
        <f>VALUE(MID(W178,R178+1,LEN(W178)-(R178)))</f>
        <v>4491</v>
      </c>
      <c r="L178" s="4">
        <f>SEARCH(",",W178,X178)</f>
        <v>15</v>
      </c>
      <c r="M178" s="4">
        <f>SEARCH(",",$W178,L178+1)</f>
        <v>21</v>
      </c>
      <c r="N178" s="4">
        <f>SEARCH(",",$W178,M178+1)</f>
        <v>27</v>
      </c>
      <c r="O178" s="4">
        <f>SEARCH(",",$W178,N178+1)</f>
        <v>32</v>
      </c>
      <c r="P178" s="4">
        <f>SEARCH(",",$W178,O178+1)</f>
        <v>38</v>
      </c>
      <c r="Q178" s="4">
        <f>SEARCH(",",$W178,P178+1)</f>
        <v>44</v>
      </c>
      <c r="R178" s="4">
        <f>SEARCH(",",$W178,Q178+1)</f>
        <v>50</v>
      </c>
      <c r="T178" t="s">
        <v>672</v>
      </c>
      <c r="U178">
        <f>SEARCH(":",T178)</f>
        <v>6</v>
      </c>
      <c r="V178" t="str">
        <f>MID(T178,U178+1,LEN(T178)-(U178))</f>
        <v xml:space="preserve"> 427526 ** -318, -774, 4407, 329, 1315, 3172, 4743, 4491</v>
      </c>
      <c r="W178" t="str">
        <f>TRIM(V178)</f>
        <v>427526 ** -318, -774, 4407, 329, 1315, 3172, 4743, 4491</v>
      </c>
      <c r="X178">
        <f>SEARCH("~*",W178)</f>
        <v>8</v>
      </c>
      <c r="Y178" t="str">
        <f>LEFT(W178,X178-1)</f>
        <v xml:space="preserve">427526 </v>
      </c>
      <c r="AA178" t="str">
        <f>CONCATENATE(A178,",",D178,",",E178,",",F178,",",G178,",",H178,",",I178,",",J178,",",K178)</f>
        <v>427526,-318,-774,4407,329,1315,3172,4743,4491</v>
      </c>
    </row>
    <row r="179" spans="1:27">
      <c r="A179" s="1">
        <f>IF(ISBLANK(T179),"",VALUE(Y179))</f>
        <v>425275</v>
      </c>
      <c r="B179" s="1">
        <f>A179*4/10 -18</f>
        <v>170092</v>
      </c>
      <c r="C179" s="3">
        <f>B179/7000000</f>
        <v>2.4298857142857143E-2</v>
      </c>
      <c r="D179" s="6">
        <f>VALUE(MID(W179,$X179+2,L179-(X179+2)))</f>
        <v>-320</v>
      </c>
      <c r="E179" s="6">
        <f>VALUE(MID($W179,L179+1,M179-(L179+1)))</f>
        <v>-782</v>
      </c>
      <c r="F179" s="6">
        <f>VALUE(MID($W179,M179+1,N179-(M179+1)))</f>
        <v>4407</v>
      </c>
      <c r="G179" s="6">
        <f>VALUE(MID($W179,N179+1,O179-(N179+1)))</f>
        <v>324</v>
      </c>
      <c r="H179" s="6">
        <f>VALUE(MID($W179,O179+1,P179-(O179+1)))</f>
        <v>1314</v>
      </c>
      <c r="I179" s="6">
        <f>VALUE(MID($W179,P179+1,Q179-(P179+1)))</f>
        <v>3168</v>
      </c>
      <c r="J179" s="6">
        <f>VALUE(MID($W179,Q179+1,R179-(Q179+1)))</f>
        <v>4740</v>
      </c>
      <c r="K179" s="4">
        <f>VALUE(MID(W179,R179+1,LEN(W179)-(R179)))</f>
        <v>4495</v>
      </c>
      <c r="L179" s="4">
        <f>SEARCH(",",W179,X179)</f>
        <v>15</v>
      </c>
      <c r="M179" s="4">
        <f>SEARCH(",",$W179,L179+1)</f>
        <v>21</v>
      </c>
      <c r="N179" s="4">
        <f>SEARCH(",",$W179,M179+1)</f>
        <v>27</v>
      </c>
      <c r="O179" s="4">
        <f>SEARCH(",",$W179,N179+1)</f>
        <v>32</v>
      </c>
      <c r="P179" s="4">
        <f>SEARCH(",",$W179,O179+1)</f>
        <v>38</v>
      </c>
      <c r="Q179" s="4">
        <f>SEARCH(",",$W179,P179+1)</f>
        <v>44</v>
      </c>
      <c r="R179" s="4">
        <f>SEARCH(",",$W179,Q179+1)</f>
        <v>50</v>
      </c>
      <c r="T179" t="s">
        <v>836</v>
      </c>
      <c r="U179">
        <f>SEARCH(":",T179)</f>
        <v>6</v>
      </c>
      <c r="V179" t="str">
        <f>MID(T179,U179+1,LEN(T179)-(U179))</f>
        <v xml:space="preserve"> 425275 ** -320, -782, 4407, 324, 1314, 3168, 4740, 4495</v>
      </c>
      <c r="W179" t="str">
        <f>TRIM(V179)</f>
        <v>425275 ** -320, -782, 4407, 324, 1314, 3168, 4740, 4495</v>
      </c>
      <c r="X179">
        <f>SEARCH("~*",W179)</f>
        <v>8</v>
      </c>
      <c r="Y179" t="str">
        <f>LEFT(W179,X179-1)</f>
        <v xml:space="preserve">425275 </v>
      </c>
      <c r="AA179" t="str">
        <f>CONCATENATE(A179,",",D179,",",E179,",",F179,",",G179,",",H179,",",I179,",",J179,",",K179)</f>
        <v>425275,-320,-782,4407,324,1314,3168,4740,4495</v>
      </c>
    </row>
    <row r="180" spans="1:27">
      <c r="A180" s="1">
        <f>IF(ISBLANK(T180),"",VALUE(Y180))</f>
        <v>420604</v>
      </c>
      <c r="B180" s="1">
        <f>A180*4/10 -18</f>
        <v>168223.6</v>
      </c>
      <c r="C180" s="3">
        <f>B180/7000000</f>
        <v>2.4031942857142857E-2</v>
      </c>
      <c r="D180" s="6">
        <f>VALUE(MID(W180,$X180+2,L180-(X180+2)))</f>
        <v>-321</v>
      </c>
      <c r="E180" s="6">
        <f>VALUE(MID($W180,L180+1,M180-(L180+1)))</f>
        <v>-778</v>
      </c>
      <c r="F180" s="6">
        <f>VALUE(MID($W180,M180+1,N180-(M180+1)))</f>
        <v>4399</v>
      </c>
      <c r="G180" s="6">
        <f>VALUE(MID($W180,N180+1,O180-(N180+1)))</f>
        <v>325</v>
      </c>
      <c r="H180" s="6">
        <f>VALUE(MID($W180,O180+1,P180-(O180+1)))</f>
        <v>1320</v>
      </c>
      <c r="I180" s="6">
        <f>VALUE(MID($W180,P180+1,Q180-(P180+1)))</f>
        <v>3173</v>
      </c>
      <c r="J180" s="6">
        <f>VALUE(MID($W180,Q180+1,R180-(Q180+1)))</f>
        <v>4743</v>
      </c>
      <c r="K180" s="4">
        <f>VALUE(MID(W180,R180+1,LEN(W180)-(R180)))</f>
        <v>4494</v>
      </c>
      <c r="L180" s="4">
        <f>SEARCH(",",W180,X180)</f>
        <v>15</v>
      </c>
      <c r="M180" s="4">
        <f>SEARCH(",",$W180,L180+1)</f>
        <v>21</v>
      </c>
      <c r="N180" s="4">
        <f>SEARCH(",",$W180,M180+1)</f>
        <v>27</v>
      </c>
      <c r="O180" s="4">
        <f>SEARCH(",",$W180,N180+1)</f>
        <v>32</v>
      </c>
      <c r="P180" s="4">
        <f>SEARCH(",",$W180,O180+1)</f>
        <v>38</v>
      </c>
      <c r="Q180" s="4">
        <f>SEARCH(",",$W180,P180+1)</f>
        <v>44</v>
      </c>
      <c r="R180" s="4">
        <f>SEARCH(",",$W180,Q180+1)</f>
        <v>50</v>
      </c>
      <c r="T180" t="s">
        <v>625</v>
      </c>
      <c r="U180">
        <f>SEARCH(":",T180)</f>
        <v>6</v>
      </c>
      <c r="V180" t="str">
        <f>MID(T180,U180+1,LEN(T180)-(U180))</f>
        <v xml:space="preserve"> 420604 ** -321, -778, 4399, 325, 1320, 3173, 4743, 4494</v>
      </c>
      <c r="W180" t="str">
        <f>TRIM(V180)</f>
        <v>420604 ** -321, -778, 4399, 325, 1320, 3173, 4743, 4494</v>
      </c>
      <c r="X180">
        <f>SEARCH("~*",W180)</f>
        <v>8</v>
      </c>
      <c r="Y180" t="str">
        <f>LEFT(W180,X180-1)</f>
        <v xml:space="preserve">420604 </v>
      </c>
      <c r="AA180" t="str">
        <f>CONCATENATE(A180,",",D180,",",E180,",",F180,",",G180,",",H180,",",I180,",",J180,",",K180)</f>
        <v>420604,-321,-778,4399,325,1320,3173,4743,4494</v>
      </c>
    </row>
    <row r="181" spans="1:27">
      <c r="A181" s="1">
        <f>IF(ISBLANK(T181),"",VALUE(Y181))</f>
        <v>413182</v>
      </c>
      <c r="B181" s="1">
        <f>A181*4/10 -18</f>
        <v>165254.79999999999</v>
      </c>
      <c r="C181" s="3">
        <f>B181/7000000</f>
        <v>2.3607828571428568E-2</v>
      </c>
      <c r="D181" s="6">
        <f>VALUE(MID(W181,$X181+2,L181-(X181+2)))</f>
        <v>-317</v>
      </c>
      <c r="E181" s="6">
        <f>VALUE(MID($W181,L181+1,M181-(L181+1)))</f>
        <v>-778</v>
      </c>
      <c r="F181" s="6">
        <f>VALUE(MID($W181,M181+1,N181-(M181+1)))</f>
        <v>4401</v>
      </c>
      <c r="G181" s="6">
        <f>VALUE(MID($W181,N181+1,O181-(N181+1)))</f>
        <v>320</v>
      </c>
      <c r="H181" s="6">
        <f>VALUE(MID($W181,O181+1,P181-(O181+1)))</f>
        <v>1318</v>
      </c>
      <c r="I181" s="6">
        <f>VALUE(MID($W181,P181+1,Q181-(P181+1)))</f>
        <v>3172</v>
      </c>
      <c r="J181" s="6">
        <f>VALUE(MID($W181,Q181+1,R181-(Q181+1)))</f>
        <v>4747</v>
      </c>
      <c r="K181" s="4">
        <f>VALUE(MID(W181,R181+1,LEN(W181)-(R181)))</f>
        <v>4500</v>
      </c>
      <c r="L181" s="4">
        <f>SEARCH(",",W181,X181)</f>
        <v>15</v>
      </c>
      <c r="M181" s="4">
        <f>SEARCH(",",$W181,L181+1)</f>
        <v>21</v>
      </c>
      <c r="N181" s="4">
        <f>SEARCH(",",$W181,M181+1)</f>
        <v>27</v>
      </c>
      <c r="O181" s="4">
        <f>SEARCH(",",$W181,N181+1)</f>
        <v>32</v>
      </c>
      <c r="P181" s="4">
        <f>SEARCH(",",$W181,O181+1)</f>
        <v>38</v>
      </c>
      <c r="Q181" s="4">
        <f>SEARCH(",",$W181,P181+1)</f>
        <v>44</v>
      </c>
      <c r="R181" s="4">
        <f>SEARCH(",",$W181,Q181+1)</f>
        <v>50</v>
      </c>
      <c r="T181" t="s">
        <v>727</v>
      </c>
      <c r="U181">
        <f>SEARCH(":",T181)</f>
        <v>6</v>
      </c>
      <c r="V181" t="str">
        <f>MID(T181,U181+1,LEN(T181)-(U181))</f>
        <v xml:space="preserve"> 413182 ** -317, -778, 4401, 320, 1318, 3172, 4747, 4500</v>
      </c>
      <c r="W181" t="str">
        <f>TRIM(V181)</f>
        <v>413182 ** -317, -778, 4401, 320, 1318, 3172, 4747, 4500</v>
      </c>
      <c r="X181">
        <f>SEARCH("~*",W181)</f>
        <v>8</v>
      </c>
      <c r="Y181" t="str">
        <f>LEFT(W181,X181-1)</f>
        <v xml:space="preserve">413182 </v>
      </c>
      <c r="AA181" t="str">
        <f>CONCATENATE(A181,",",D181,",",E181,",",F181,",",G181,",",H181,",",I181,",",J181,",",K181)</f>
        <v>413182,-317,-778,4401,320,1318,3172,4747,4500</v>
      </c>
    </row>
    <row r="182" spans="1:27">
      <c r="A182" s="1">
        <f>IF(ISBLANK(T182),"",VALUE(Y182))</f>
        <v>409920</v>
      </c>
      <c r="B182" s="1">
        <f>A182*4/10 -18</f>
        <v>163950</v>
      </c>
      <c r="C182" s="3">
        <f>B182/7000000</f>
        <v>2.3421428571428572E-2</v>
      </c>
      <c r="D182" s="6">
        <f>VALUE(MID(W182,$X182+2,L182-(X182+2)))</f>
        <v>-320</v>
      </c>
      <c r="E182" s="6">
        <f>VALUE(MID($W182,L182+1,M182-(L182+1)))</f>
        <v>-782</v>
      </c>
      <c r="F182" s="6">
        <f>VALUE(MID($W182,M182+1,N182-(M182+1)))</f>
        <v>4399</v>
      </c>
      <c r="G182" s="6">
        <f>VALUE(MID($W182,N182+1,O182-(N182+1)))</f>
        <v>321</v>
      </c>
      <c r="H182" s="6">
        <f>VALUE(MID($W182,O182+1,P182-(O182+1)))</f>
        <v>1312</v>
      </c>
      <c r="I182" s="6">
        <f>VALUE(MID($W182,P182+1,Q182-(P182+1)))</f>
        <v>3172</v>
      </c>
      <c r="J182" s="6">
        <f>VALUE(MID($W182,Q182+1,R182-(Q182+1)))</f>
        <v>4743</v>
      </c>
      <c r="K182" s="4">
        <f>VALUE(MID(W182,R182+1,LEN(W182)-(R182)))</f>
        <v>4498</v>
      </c>
      <c r="L182" s="4">
        <f>SEARCH(",",W182,X182)</f>
        <v>15</v>
      </c>
      <c r="M182" s="4">
        <f>SEARCH(",",$W182,L182+1)</f>
        <v>21</v>
      </c>
      <c r="N182" s="4">
        <f>SEARCH(",",$W182,M182+1)</f>
        <v>27</v>
      </c>
      <c r="O182" s="4">
        <f>SEARCH(",",$W182,N182+1)</f>
        <v>32</v>
      </c>
      <c r="P182" s="4">
        <f>SEARCH(",",$W182,O182+1)</f>
        <v>38</v>
      </c>
      <c r="Q182" s="4">
        <f>SEARCH(",",$W182,P182+1)</f>
        <v>44</v>
      </c>
      <c r="R182" s="4">
        <f>SEARCH(",",$W182,Q182+1)</f>
        <v>50</v>
      </c>
      <c r="T182" t="s">
        <v>732</v>
      </c>
      <c r="U182">
        <f>SEARCH(":",T182)</f>
        <v>6</v>
      </c>
      <c r="V182" t="str">
        <f>MID(T182,U182+1,LEN(T182)-(U182))</f>
        <v xml:space="preserve"> 409920 ** -320, -782, 4399, 321, 1312, 3172, 4743, 4498</v>
      </c>
      <c r="W182" t="str">
        <f>TRIM(V182)</f>
        <v>409920 ** -320, -782, 4399, 321, 1312, 3172, 4743, 4498</v>
      </c>
      <c r="X182">
        <f>SEARCH("~*",W182)</f>
        <v>8</v>
      </c>
      <c r="Y182" t="str">
        <f>LEFT(W182,X182-1)</f>
        <v xml:space="preserve">409920 </v>
      </c>
      <c r="AA182" t="str">
        <f>CONCATENATE(A182,",",D182,",",E182,",",F182,",",G182,",",H182,",",I182,",",J182,",",K182)</f>
        <v>409920,-320,-782,4399,321,1312,3172,4743,4498</v>
      </c>
    </row>
    <row r="183" spans="1:27">
      <c r="A183" s="1">
        <f>IF(ISBLANK(T183),"",VALUE(Y183))</f>
        <v>407127</v>
      </c>
      <c r="B183" s="1">
        <f>A183*4/10 -18</f>
        <v>162832.79999999999</v>
      </c>
      <c r="C183" s="3">
        <f>B183/7000000</f>
        <v>2.3261828571428569E-2</v>
      </c>
      <c r="D183" s="6">
        <f>VALUE(MID(W183,$X183+2,L183-(X183+2)))</f>
        <v>-319</v>
      </c>
      <c r="E183" s="6">
        <f>VALUE(MID($W183,L183+1,M183-(L183+1)))</f>
        <v>-780</v>
      </c>
      <c r="F183" s="6">
        <f>VALUE(MID($W183,M183+1,N183-(M183+1)))</f>
        <v>4402</v>
      </c>
      <c r="G183" s="6">
        <f>VALUE(MID($W183,N183+1,O183-(N183+1)))</f>
        <v>327</v>
      </c>
      <c r="H183" s="6">
        <f>VALUE(MID($W183,O183+1,P183-(O183+1)))</f>
        <v>1312</v>
      </c>
      <c r="I183" s="6">
        <f>VALUE(MID($W183,P183+1,Q183-(P183+1)))</f>
        <v>3171</v>
      </c>
      <c r="J183" s="6">
        <f>VALUE(MID($W183,Q183+1,R183-(Q183+1)))</f>
        <v>4747</v>
      </c>
      <c r="K183" s="4">
        <f>VALUE(MID(W183,R183+1,LEN(W183)-(R183)))</f>
        <v>4491</v>
      </c>
      <c r="L183" s="4">
        <f>SEARCH(",",W183,X183)</f>
        <v>15</v>
      </c>
      <c r="M183" s="4">
        <f>SEARCH(",",$W183,L183+1)</f>
        <v>21</v>
      </c>
      <c r="N183" s="4">
        <f>SEARCH(",",$W183,M183+1)</f>
        <v>27</v>
      </c>
      <c r="O183" s="4">
        <f>SEARCH(",",$W183,N183+1)</f>
        <v>32</v>
      </c>
      <c r="P183" s="4">
        <f>SEARCH(",",$W183,O183+1)</f>
        <v>38</v>
      </c>
      <c r="Q183" s="4">
        <f>SEARCH(",",$W183,P183+1)</f>
        <v>44</v>
      </c>
      <c r="R183" s="4">
        <f>SEARCH(",",$W183,Q183+1)</f>
        <v>50</v>
      </c>
      <c r="T183" t="s">
        <v>720</v>
      </c>
      <c r="U183">
        <f>SEARCH(":",T183)</f>
        <v>6</v>
      </c>
      <c r="V183" t="str">
        <f>MID(T183,U183+1,LEN(T183)-(U183))</f>
        <v xml:space="preserve"> 407127 ** -319, -780, 4402, 327, 1312, 3171, 4747, 4491</v>
      </c>
      <c r="W183" t="str">
        <f>TRIM(V183)</f>
        <v>407127 ** -319, -780, 4402, 327, 1312, 3171, 4747, 4491</v>
      </c>
      <c r="X183">
        <f>SEARCH("~*",W183)</f>
        <v>8</v>
      </c>
      <c r="Y183" t="str">
        <f>LEFT(W183,X183-1)</f>
        <v xml:space="preserve">407127 </v>
      </c>
      <c r="AA183" t="str">
        <f>CONCATENATE(A183,",",D183,",",E183,",",F183,",",G183,",",H183,",",I183,",",J183,",",K183)</f>
        <v>407127,-319,-780,4402,327,1312,3171,4747,4491</v>
      </c>
    </row>
    <row r="184" spans="1:27">
      <c r="A184" s="1">
        <f>IF(ISBLANK(T184),"",VALUE(Y184))</f>
        <v>404010</v>
      </c>
      <c r="B184" s="1">
        <f>A184*4/10 -18</f>
        <v>161586</v>
      </c>
      <c r="C184" s="3">
        <f>B184/7000000</f>
        <v>2.3083714285714287E-2</v>
      </c>
      <c r="D184" s="6">
        <f>VALUE(MID(W184,$X184+2,L184-(X184+2)))</f>
        <v>-320</v>
      </c>
      <c r="E184" s="6">
        <f>VALUE(MID($W184,L184+1,M184-(L184+1)))</f>
        <v>-778</v>
      </c>
      <c r="F184" s="6">
        <f>VALUE(MID($W184,M184+1,N184-(M184+1)))</f>
        <v>4401</v>
      </c>
      <c r="G184" s="6">
        <f>VALUE(MID($W184,N184+1,O184-(N184+1)))</f>
        <v>321</v>
      </c>
      <c r="H184" s="6">
        <f>VALUE(MID($W184,O184+1,P184-(O184+1)))</f>
        <v>1321</v>
      </c>
      <c r="I184" s="6">
        <f>VALUE(MID($W184,P184+1,Q184-(P184+1)))</f>
        <v>3175</v>
      </c>
      <c r="J184" s="6">
        <f>VALUE(MID($W184,Q184+1,R184-(Q184+1)))</f>
        <v>4744</v>
      </c>
      <c r="K184" s="4">
        <f>VALUE(MID(W184,R184+1,LEN(W184)-(R184)))</f>
        <v>4496</v>
      </c>
      <c r="L184" s="4">
        <f>SEARCH(",",W184,X184)</f>
        <v>15</v>
      </c>
      <c r="M184" s="4">
        <f>SEARCH(",",$W184,L184+1)</f>
        <v>21</v>
      </c>
      <c r="N184" s="4">
        <f>SEARCH(",",$W184,M184+1)</f>
        <v>27</v>
      </c>
      <c r="O184" s="4">
        <f>SEARCH(",",$W184,N184+1)</f>
        <v>32</v>
      </c>
      <c r="P184" s="4">
        <f>SEARCH(",",$W184,O184+1)</f>
        <v>38</v>
      </c>
      <c r="Q184" s="4">
        <f>SEARCH(",",$W184,P184+1)</f>
        <v>44</v>
      </c>
      <c r="R184" s="4">
        <f>SEARCH(",",$W184,Q184+1)</f>
        <v>50</v>
      </c>
      <c r="T184" t="s">
        <v>591</v>
      </c>
      <c r="U184">
        <f>SEARCH(":",T184)</f>
        <v>6</v>
      </c>
      <c r="V184" t="str">
        <f>MID(T184,U184+1,LEN(T184)-(U184))</f>
        <v xml:space="preserve"> 404010 ** -320, -778, 4401, 321, 1321, 3175, 4744, 4496</v>
      </c>
      <c r="W184" t="str">
        <f>TRIM(V184)</f>
        <v>404010 ** -320, -778, 4401, 321, 1321, 3175, 4744, 4496</v>
      </c>
      <c r="X184">
        <f>SEARCH("~*",W184)</f>
        <v>8</v>
      </c>
      <c r="Y184" t="str">
        <f>LEFT(W184,X184-1)</f>
        <v xml:space="preserve">404010 </v>
      </c>
      <c r="AA184" t="str">
        <f>CONCATENATE(A184,",",D184,",",E184,",",F184,",",G184,",",H184,",",I184,",",J184,",",K184)</f>
        <v>404010,-320,-778,4401,321,1321,3175,4744,4496</v>
      </c>
    </row>
    <row r="185" spans="1:27">
      <c r="A185" s="1">
        <f>IF(ISBLANK(T185),"",VALUE(Y185))</f>
        <v>396706</v>
      </c>
      <c r="B185" s="1">
        <f>A185*4/10 -18</f>
        <v>158664.4</v>
      </c>
      <c r="C185" s="3">
        <f>B185/7000000</f>
        <v>2.2666342857142856E-2</v>
      </c>
      <c r="D185" s="6">
        <f>VALUE(MID(W185,$X185+2,L185-(X185+2)))</f>
        <v>-320</v>
      </c>
      <c r="E185" s="6">
        <f>VALUE(MID($W185,L185+1,M185-(L185+1)))</f>
        <v>-782</v>
      </c>
      <c r="F185" s="6">
        <f>VALUE(MID($W185,M185+1,N185-(M185+1)))</f>
        <v>4399</v>
      </c>
      <c r="G185" s="6">
        <f>VALUE(MID($W185,N185+1,O185-(N185+1)))</f>
        <v>322</v>
      </c>
      <c r="H185" s="6">
        <f>VALUE(MID($W185,O185+1,P185-(O185+1)))</f>
        <v>1312</v>
      </c>
      <c r="I185" s="6">
        <f>VALUE(MID($W185,P185+1,Q185-(P185+1)))</f>
        <v>3175</v>
      </c>
      <c r="J185" s="6">
        <f>VALUE(MID($W185,Q185+1,R185-(Q185+1)))</f>
        <v>4743</v>
      </c>
      <c r="K185" s="4">
        <f>VALUE(MID(W185,R185+1,LEN(W185)-(R185)))</f>
        <v>4492</v>
      </c>
      <c r="L185" s="4">
        <f>SEARCH(",",W185,X185)</f>
        <v>15</v>
      </c>
      <c r="M185" s="4">
        <f>SEARCH(",",$W185,L185+1)</f>
        <v>21</v>
      </c>
      <c r="N185" s="4">
        <f>SEARCH(",",$W185,M185+1)</f>
        <v>27</v>
      </c>
      <c r="O185" s="4">
        <f>SEARCH(",",$W185,N185+1)</f>
        <v>32</v>
      </c>
      <c r="P185" s="4">
        <f>SEARCH(",",$W185,O185+1)</f>
        <v>38</v>
      </c>
      <c r="Q185" s="4">
        <f>SEARCH(",",$W185,P185+1)</f>
        <v>44</v>
      </c>
      <c r="R185" s="4">
        <f>SEARCH(",",$W185,Q185+1)</f>
        <v>50</v>
      </c>
      <c r="T185" t="s">
        <v>690</v>
      </c>
      <c r="U185">
        <f>SEARCH(":",T185)</f>
        <v>6</v>
      </c>
      <c r="V185" t="str">
        <f>MID(T185,U185+1,LEN(T185)-(U185))</f>
        <v xml:space="preserve"> 396706 ** -320, -782, 4399, 322, 1312, 3175, 4743, 4492</v>
      </c>
      <c r="W185" t="str">
        <f>TRIM(V185)</f>
        <v>396706 ** -320, -782, 4399, 322, 1312, 3175, 4743, 4492</v>
      </c>
      <c r="X185">
        <f>SEARCH("~*",W185)</f>
        <v>8</v>
      </c>
      <c r="Y185" t="str">
        <f>LEFT(W185,X185-1)</f>
        <v xml:space="preserve">396706 </v>
      </c>
      <c r="AA185" t="str">
        <f>CONCATENATE(A185,",",D185,",",E185,",",F185,",",G185,",",H185,",",I185,",",J185,",",K185)</f>
        <v>396706,-320,-782,4399,322,1312,3175,4743,4492</v>
      </c>
    </row>
    <row r="186" spans="1:27">
      <c r="A186" s="1">
        <f>IF(ISBLANK(T186),"",VALUE(Y186))</f>
        <v>392947</v>
      </c>
      <c r="B186" s="1">
        <f>A186*4/10 -18</f>
        <v>157160.79999999999</v>
      </c>
      <c r="C186" s="3">
        <f>B186/7000000</f>
        <v>2.2451542857142855E-2</v>
      </c>
      <c r="D186" s="6">
        <f>VALUE(MID(W186,$X186+2,L186-(X186+2)))</f>
        <v>-320</v>
      </c>
      <c r="E186" s="6">
        <f>VALUE(MID($W186,L186+1,M186-(L186+1)))</f>
        <v>-782</v>
      </c>
      <c r="F186" s="6">
        <f>VALUE(MID($W186,M186+1,N186-(M186+1)))</f>
        <v>4404</v>
      </c>
      <c r="G186" s="6">
        <f>VALUE(MID($W186,N186+1,O186-(N186+1)))</f>
        <v>320</v>
      </c>
      <c r="H186" s="6">
        <f>VALUE(MID($W186,O186+1,P186-(O186+1)))</f>
        <v>1314</v>
      </c>
      <c r="I186" s="6">
        <f>VALUE(MID($W186,P186+1,Q186-(P186+1)))</f>
        <v>3170</v>
      </c>
      <c r="J186" s="6">
        <f>VALUE(MID($W186,Q186+1,R186-(Q186+1)))</f>
        <v>4743</v>
      </c>
      <c r="K186" s="4">
        <f>VALUE(MID(W186,R186+1,LEN(W186)-(R186)))</f>
        <v>4499</v>
      </c>
      <c r="L186" s="4">
        <f>SEARCH(",",W186,X186)</f>
        <v>15</v>
      </c>
      <c r="M186" s="4">
        <f>SEARCH(",",$W186,L186+1)</f>
        <v>21</v>
      </c>
      <c r="N186" s="4">
        <f>SEARCH(",",$W186,M186+1)</f>
        <v>27</v>
      </c>
      <c r="O186" s="4">
        <f>SEARCH(",",$W186,N186+1)</f>
        <v>32</v>
      </c>
      <c r="P186" s="4">
        <f>SEARCH(",",$W186,O186+1)</f>
        <v>38</v>
      </c>
      <c r="Q186" s="4">
        <f>SEARCH(",",$W186,P186+1)</f>
        <v>44</v>
      </c>
      <c r="R186" s="4">
        <f>SEARCH(",",$W186,Q186+1)</f>
        <v>50</v>
      </c>
      <c r="T186" t="s">
        <v>629</v>
      </c>
      <c r="U186">
        <f>SEARCH(":",T186)</f>
        <v>6</v>
      </c>
      <c r="V186" t="str">
        <f>MID(T186,U186+1,LEN(T186)-(U186))</f>
        <v xml:space="preserve"> 392947 ** -320, -782, 4404, 320, 1314, 3170, 4743, 4499</v>
      </c>
      <c r="W186" t="str">
        <f>TRIM(V186)</f>
        <v>392947 ** -320, -782, 4404, 320, 1314, 3170, 4743, 4499</v>
      </c>
      <c r="X186">
        <f>SEARCH("~*",W186)</f>
        <v>8</v>
      </c>
      <c r="Y186" t="str">
        <f>LEFT(W186,X186-1)</f>
        <v xml:space="preserve">392947 </v>
      </c>
      <c r="AA186" t="str">
        <f>CONCATENATE(A186,",",D186,",",E186,",",F186,",",G186,",",H186,",",I186,",",J186,",",K186)</f>
        <v>392947,-320,-782,4404,320,1314,3170,4743,4499</v>
      </c>
    </row>
    <row r="187" spans="1:27">
      <c r="A187" s="1">
        <f>IF(ISBLANK(T187),"",VALUE(Y187))</f>
        <v>391016</v>
      </c>
      <c r="B187" s="1">
        <f>A187*4/10 -18</f>
        <v>156388.4</v>
      </c>
      <c r="C187" s="3">
        <f>B187/7000000</f>
        <v>2.2341199999999999E-2</v>
      </c>
      <c r="D187" s="6">
        <f>VALUE(MID(W187,$X187+2,L187-(X187+2)))</f>
        <v>-317</v>
      </c>
      <c r="E187" s="6">
        <f>VALUE(MID($W187,L187+1,M187-(L187+1)))</f>
        <v>-774</v>
      </c>
      <c r="F187" s="6">
        <f>VALUE(MID($W187,M187+1,N187-(M187+1)))</f>
        <v>4401</v>
      </c>
      <c r="G187" s="6">
        <f>VALUE(MID($W187,N187+1,O187-(N187+1)))</f>
        <v>326</v>
      </c>
      <c r="H187" s="6">
        <f>VALUE(MID($W187,O187+1,P187-(O187+1)))</f>
        <v>1321</v>
      </c>
      <c r="I187" s="6">
        <f>VALUE(MID($W187,P187+1,Q187-(P187+1)))</f>
        <v>3166</v>
      </c>
      <c r="J187" s="6">
        <f>VALUE(MID($W187,Q187+1,R187-(Q187+1)))</f>
        <v>4747</v>
      </c>
      <c r="K187" s="4">
        <f>VALUE(MID(W187,R187+1,LEN(W187)-(R187)))</f>
        <v>4493</v>
      </c>
      <c r="L187" s="4">
        <f>SEARCH(",",W187,X187)</f>
        <v>15</v>
      </c>
      <c r="M187" s="4">
        <f>SEARCH(",",$W187,L187+1)</f>
        <v>21</v>
      </c>
      <c r="N187" s="4">
        <f>SEARCH(",",$W187,M187+1)</f>
        <v>27</v>
      </c>
      <c r="O187" s="4">
        <f>SEARCH(",",$W187,N187+1)</f>
        <v>32</v>
      </c>
      <c r="P187" s="4">
        <f>SEARCH(",",$W187,O187+1)</f>
        <v>38</v>
      </c>
      <c r="Q187" s="4">
        <f>SEARCH(",",$W187,P187+1)</f>
        <v>44</v>
      </c>
      <c r="R187" s="4">
        <f>SEARCH(",",$W187,Q187+1)</f>
        <v>50</v>
      </c>
      <c r="T187" t="s">
        <v>642</v>
      </c>
      <c r="U187">
        <f>SEARCH(":",T187)</f>
        <v>6</v>
      </c>
      <c r="V187" t="str">
        <f>MID(T187,U187+1,LEN(T187)-(U187))</f>
        <v xml:space="preserve"> 391016 ** -317, -774, 4401, 326, 1321, 3166, 4747, 4493</v>
      </c>
      <c r="W187" t="str">
        <f>TRIM(V187)</f>
        <v>391016 ** -317, -774, 4401, 326, 1321, 3166, 4747, 4493</v>
      </c>
      <c r="X187">
        <f>SEARCH("~*",W187)</f>
        <v>8</v>
      </c>
      <c r="Y187" t="str">
        <f>LEFT(W187,X187-1)</f>
        <v xml:space="preserve">391016 </v>
      </c>
      <c r="AA187" t="str">
        <f>CONCATENATE(A187,",",D187,",",E187,",",F187,",",G187,",",H187,",",I187,",",J187,",",K187)</f>
        <v>391016,-317,-774,4401,326,1321,3166,4747,4493</v>
      </c>
    </row>
    <row r="188" spans="1:27">
      <c r="A188" s="1">
        <f>IF(ISBLANK(T188),"",VALUE(Y188))</f>
        <v>389551</v>
      </c>
      <c r="B188" s="1">
        <f>A188*4/10 -18</f>
        <v>155802.4</v>
      </c>
      <c r="C188" s="3">
        <f>B188/7000000</f>
        <v>2.2257485714285714E-2</v>
      </c>
      <c r="D188" s="6">
        <f>VALUE(MID(W188,$X188+2,L188-(X188+2)))</f>
        <v>-317</v>
      </c>
      <c r="E188" s="6">
        <f>VALUE(MID($W188,L188+1,M188-(L188+1)))</f>
        <v>-781</v>
      </c>
      <c r="F188" s="6">
        <f>VALUE(MID($W188,M188+1,N188-(M188+1)))</f>
        <v>4408</v>
      </c>
      <c r="G188" s="6">
        <f>VALUE(MID($W188,N188+1,O188-(N188+1)))</f>
        <v>321</v>
      </c>
      <c r="H188" s="6">
        <f>VALUE(MID($W188,O188+1,P188-(O188+1)))</f>
        <v>1321</v>
      </c>
      <c r="I188" s="6">
        <f>VALUE(MID($W188,P188+1,Q188-(P188+1)))</f>
        <v>3167</v>
      </c>
      <c r="J188" s="6">
        <f>VALUE(MID($W188,Q188+1,R188-(Q188+1)))</f>
        <v>4744</v>
      </c>
      <c r="K188" s="4">
        <f>VALUE(MID(W188,R188+1,LEN(W188)-(R188)))</f>
        <v>4491</v>
      </c>
      <c r="L188" s="4">
        <f>SEARCH(",",W188,X188)</f>
        <v>15</v>
      </c>
      <c r="M188" s="4">
        <f>SEARCH(",",$W188,L188+1)</f>
        <v>21</v>
      </c>
      <c r="N188" s="4">
        <f>SEARCH(",",$W188,M188+1)</f>
        <v>27</v>
      </c>
      <c r="O188" s="4">
        <f>SEARCH(",",$W188,N188+1)</f>
        <v>32</v>
      </c>
      <c r="P188" s="4">
        <f>SEARCH(",",$W188,O188+1)</f>
        <v>38</v>
      </c>
      <c r="Q188" s="4">
        <f>SEARCH(",",$W188,P188+1)</f>
        <v>44</v>
      </c>
      <c r="R188" s="4">
        <f>SEARCH(",",$W188,Q188+1)</f>
        <v>50</v>
      </c>
      <c r="T188" t="s">
        <v>708</v>
      </c>
      <c r="U188">
        <f>SEARCH(":",T188)</f>
        <v>6</v>
      </c>
      <c r="V188" t="str">
        <f>MID(T188,U188+1,LEN(T188)-(U188))</f>
        <v xml:space="preserve"> 389551 ** -317, -781, 4408, 321, 1321, 3167, 4744, 4491</v>
      </c>
      <c r="W188" t="str">
        <f>TRIM(V188)</f>
        <v>389551 ** -317, -781, 4408, 321, 1321, 3167, 4744, 4491</v>
      </c>
      <c r="X188">
        <f>SEARCH("~*",W188)</f>
        <v>8</v>
      </c>
      <c r="Y188" t="str">
        <f>LEFT(W188,X188-1)</f>
        <v xml:space="preserve">389551 </v>
      </c>
      <c r="AA188" t="str">
        <f>CONCATENATE(A188,",",D188,",",E188,",",F188,",",G188,",",H188,",",I188,",",J188,",",K188)</f>
        <v>389551,-317,-781,4408,321,1321,3167,4744,4491</v>
      </c>
    </row>
    <row r="189" spans="1:27">
      <c r="A189" s="1">
        <f>IF(ISBLANK(T189),"",VALUE(Y189))</f>
        <v>387350</v>
      </c>
      <c r="B189" s="1">
        <f>A189*4/10 -18</f>
        <v>154922</v>
      </c>
      <c r="C189" s="3">
        <f>B189/7000000</f>
        <v>2.2131714285714286E-2</v>
      </c>
      <c r="D189" s="6">
        <f>VALUE(MID(W189,$X189+2,L189-(X189+2)))</f>
        <v>-318</v>
      </c>
      <c r="E189" s="6">
        <f>VALUE(MID($W189,L189+1,M189-(L189+1)))</f>
        <v>-773</v>
      </c>
      <c r="F189" s="6">
        <f>VALUE(MID($W189,M189+1,N189-(M189+1)))</f>
        <v>4407</v>
      </c>
      <c r="G189" s="6">
        <f>VALUE(MID($W189,N189+1,O189-(N189+1)))</f>
        <v>327</v>
      </c>
      <c r="H189" s="6">
        <f>VALUE(MID($W189,O189+1,P189-(O189+1)))</f>
        <v>1313</v>
      </c>
      <c r="I189" s="6">
        <f>VALUE(MID($W189,P189+1,Q189-(P189+1)))</f>
        <v>3175</v>
      </c>
      <c r="J189" s="6">
        <f>VALUE(MID($W189,Q189+1,R189-(Q189+1)))</f>
        <v>4741</v>
      </c>
      <c r="K189" s="4">
        <f>VALUE(MID(W189,R189+1,LEN(W189)-(R189)))</f>
        <v>4499</v>
      </c>
      <c r="L189" s="4">
        <f>SEARCH(",",W189,X189)</f>
        <v>15</v>
      </c>
      <c r="M189" s="4">
        <f>SEARCH(",",$W189,L189+1)</f>
        <v>21</v>
      </c>
      <c r="N189" s="4">
        <f>SEARCH(",",$W189,M189+1)</f>
        <v>27</v>
      </c>
      <c r="O189" s="4">
        <f>SEARCH(",",$W189,N189+1)</f>
        <v>32</v>
      </c>
      <c r="P189" s="4">
        <f>SEARCH(",",$W189,O189+1)</f>
        <v>38</v>
      </c>
      <c r="Q189" s="4">
        <f>SEARCH(",",$W189,P189+1)</f>
        <v>44</v>
      </c>
      <c r="R189" s="4">
        <f>SEARCH(",",$W189,Q189+1)</f>
        <v>50</v>
      </c>
      <c r="T189" t="s">
        <v>730</v>
      </c>
      <c r="U189">
        <f>SEARCH(":",T189)</f>
        <v>6</v>
      </c>
      <c r="V189" t="str">
        <f>MID(T189,U189+1,LEN(T189)-(U189))</f>
        <v xml:space="preserve"> 387350 ** -318, -773, 4407, 327, 1313, 3175, 4741, 4499</v>
      </c>
      <c r="W189" t="str">
        <f>TRIM(V189)</f>
        <v>387350 ** -318, -773, 4407, 327, 1313, 3175, 4741, 4499</v>
      </c>
      <c r="X189">
        <f>SEARCH("~*",W189)</f>
        <v>8</v>
      </c>
      <c r="Y189" t="str">
        <f>LEFT(W189,X189-1)</f>
        <v xml:space="preserve">387350 </v>
      </c>
      <c r="AA189" t="str">
        <f>CONCATENATE(A189,",",D189,",",E189,",",F189,",",G189,",",H189,",",I189,",",J189,",",K189)</f>
        <v>387350,-318,-773,4407,327,1313,3175,4741,4499</v>
      </c>
    </row>
    <row r="190" spans="1:27">
      <c r="A190" s="1">
        <f>IF(ISBLANK(T190),"",VALUE(Y190))</f>
        <v>382035</v>
      </c>
      <c r="B190" s="1">
        <f>A190*4/10 -18</f>
        <v>152796</v>
      </c>
      <c r="C190" s="3">
        <f>B190/7000000</f>
        <v>2.1828E-2</v>
      </c>
      <c r="D190" s="6">
        <f>VALUE(MID(W190,$X190+2,L190-(X190+2)))</f>
        <v>-320</v>
      </c>
      <c r="E190" s="6">
        <f>VALUE(MID($W190,L190+1,M190-(L190+1)))</f>
        <v>-780</v>
      </c>
      <c r="F190" s="6">
        <f>VALUE(MID($W190,M190+1,N190-(M190+1)))</f>
        <v>4403</v>
      </c>
      <c r="G190" s="6">
        <f>VALUE(MID($W190,N190+1,O190-(N190+1)))</f>
        <v>321</v>
      </c>
      <c r="H190" s="6">
        <f>VALUE(MID($W190,O190+1,P190-(O190+1)))</f>
        <v>1316</v>
      </c>
      <c r="I190" s="6">
        <f>VALUE(MID($W190,P190+1,Q190-(P190+1)))</f>
        <v>3171</v>
      </c>
      <c r="J190" s="6">
        <f>VALUE(MID($W190,Q190+1,R190-(Q190+1)))</f>
        <v>4743</v>
      </c>
      <c r="K190" s="4">
        <f>VALUE(MID(W190,R190+1,LEN(W190)-(R190)))</f>
        <v>4494</v>
      </c>
      <c r="L190" s="4">
        <f>SEARCH(",",W190,X190)</f>
        <v>15</v>
      </c>
      <c r="M190" s="4">
        <f>SEARCH(",",$W190,L190+1)</f>
        <v>21</v>
      </c>
      <c r="N190" s="4">
        <f>SEARCH(",",$W190,M190+1)</f>
        <v>27</v>
      </c>
      <c r="O190" s="4">
        <f>SEARCH(",",$W190,N190+1)</f>
        <v>32</v>
      </c>
      <c r="P190" s="4">
        <f>SEARCH(",",$W190,O190+1)</f>
        <v>38</v>
      </c>
      <c r="Q190" s="4">
        <f>SEARCH(",",$W190,P190+1)</f>
        <v>44</v>
      </c>
      <c r="R190" s="4">
        <f>SEARCH(",",$W190,Q190+1)</f>
        <v>50</v>
      </c>
      <c r="T190" t="s">
        <v>711</v>
      </c>
      <c r="U190">
        <f>SEARCH(":",T190)</f>
        <v>6</v>
      </c>
      <c r="V190" t="str">
        <f>MID(T190,U190+1,LEN(T190)-(U190))</f>
        <v xml:space="preserve"> 382035 ** -320, -780, 4403, 321, 1316, 3171, 4743, 4494</v>
      </c>
      <c r="W190" t="str">
        <f>TRIM(V190)</f>
        <v>382035 ** -320, -780, 4403, 321, 1316, 3171, 4743, 4494</v>
      </c>
      <c r="X190">
        <f>SEARCH("~*",W190)</f>
        <v>8</v>
      </c>
      <c r="Y190" t="str">
        <f>LEFT(W190,X190-1)</f>
        <v xml:space="preserve">382035 </v>
      </c>
      <c r="AA190" t="str">
        <f>CONCATENATE(A190,",",D190,",",E190,",",F190,",",G190,",",H190,",",I190,",",J190,",",K190)</f>
        <v>382035,-320,-780,4403,321,1316,3171,4743,4494</v>
      </c>
    </row>
    <row r="191" spans="1:27">
      <c r="A191" s="1">
        <f>IF(ISBLANK(T191),"",VALUE(Y191))</f>
        <v>380794</v>
      </c>
      <c r="B191" s="1">
        <f>A191*4/10 -18</f>
        <v>152299.6</v>
      </c>
      <c r="C191" s="3">
        <f>B191/7000000</f>
        <v>2.1757085714285716E-2</v>
      </c>
      <c r="D191" s="6">
        <f>VALUE(MID(W191,$X191+2,L191-(X191+2)))</f>
        <v>-322</v>
      </c>
      <c r="E191" s="6">
        <f>VALUE(MID($W191,L191+1,M191-(L191+1)))</f>
        <v>-781</v>
      </c>
      <c r="F191" s="6">
        <f>VALUE(MID($W191,M191+1,N191-(M191+1)))</f>
        <v>4406</v>
      </c>
      <c r="G191" s="6">
        <f>VALUE(MID($W191,N191+1,O191-(N191+1)))</f>
        <v>323</v>
      </c>
      <c r="H191" s="6">
        <f>VALUE(MID($W191,O191+1,P191-(O191+1)))</f>
        <v>1321</v>
      </c>
      <c r="I191" s="6">
        <f>VALUE(MID($W191,P191+1,Q191-(P191+1)))</f>
        <v>3172</v>
      </c>
      <c r="J191" s="6">
        <f>VALUE(MID($W191,Q191+1,R191-(Q191+1)))</f>
        <v>4748</v>
      </c>
      <c r="K191" s="4">
        <f>VALUE(MID(W191,R191+1,LEN(W191)-(R191)))</f>
        <v>4500</v>
      </c>
      <c r="L191" s="4">
        <f>SEARCH(",",W191,X191)</f>
        <v>15</v>
      </c>
      <c r="M191" s="4">
        <f>SEARCH(",",$W191,L191+1)</f>
        <v>21</v>
      </c>
      <c r="N191" s="4">
        <f>SEARCH(",",$W191,M191+1)</f>
        <v>27</v>
      </c>
      <c r="O191" s="4">
        <f>SEARCH(",",$W191,N191+1)</f>
        <v>32</v>
      </c>
      <c r="P191" s="4">
        <f>SEARCH(",",$W191,O191+1)</f>
        <v>38</v>
      </c>
      <c r="Q191" s="4">
        <f>SEARCH(",",$W191,P191+1)</f>
        <v>44</v>
      </c>
      <c r="R191" s="4">
        <f>SEARCH(",",$W191,Q191+1)</f>
        <v>50</v>
      </c>
      <c r="T191" t="s">
        <v>845</v>
      </c>
      <c r="U191">
        <f>SEARCH(":",T191)</f>
        <v>6</v>
      </c>
      <c r="V191" t="str">
        <f>MID(T191,U191+1,LEN(T191)-(U191))</f>
        <v xml:space="preserve"> 380794 ** -322, -781, 4406, 323, 1321, 3172, 4748, 4500</v>
      </c>
      <c r="W191" t="str">
        <f>TRIM(V191)</f>
        <v>380794 ** -322, -781, 4406, 323, 1321, 3172, 4748, 4500</v>
      </c>
      <c r="X191">
        <f>SEARCH("~*",W191)</f>
        <v>8</v>
      </c>
      <c r="Y191" t="str">
        <f>LEFT(W191,X191-1)</f>
        <v xml:space="preserve">380794 </v>
      </c>
      <c r="AA191" t="str">
        <f>CONCATENATE(A191,",",D191,",",E191,",",F191,",",G191,",",H191,",",I191,",",J191,",",K191)</f>
        <v>380794,-322,-781,4406,323,1321,3172,4748,4500</v>
      </c>
    </row>
    <row r="192" spans="1:27">
      <c r="A192" s="1">
        <f>IF(ISBLANK(T192),"",VALUE(Y192))</f>
        <v>380107</v>
      </c>
      <c r="B192" s="1">
        <f>A192*4/10 -18</f>
        <v>152024.79999999999</v>
      </c>
      <c r="C192" s="3">
        <f>B192/7000000</f>
        <v>2.1717828571428569E-2</v>
      </c>
      <c r="D192" s="6">
        <f>VALUE(MID(W192,$X192+2,L192-(X192+2)))</f>
        <v>-320</v>
      </c>
      <c r="E192" s="6">
        <f>VALUE(MID($W192,L192+1,M192-(L192+1)))</f>
        <v>-777</v>
      </c>
      <c r="F192" s="6">
        <f>VALUE(MID($W192,M192+1,N192-(M192+1)))</f>
        <v>4408</v>
      </c>
      <c r="G192" s="6">
        <f>VALUE(MID($W192,N192+1,O192-(N192+1)))</f>
        <v>323</v>
      </c>
      <c r="H192" s="6">
        <f>VALUE(MID($W192,O192+1,P192-(O192+1)))</f>
        <v>1316</v>
      </c>
      <c r="I192" s="6">
        <f>VALUE(MID($W192,P192+1,Q192-(P192+1)))</f>
        <v>3171</v>
      </c>
      <c r="J192" s="6">
        <f>VALUE(MID($W192,Q192+1,R192-(Q192+1)))</f>
        <v>4742</v>
      </c>
      <c r="K192" s="4">
        <f>VALUE(MID(W192,R192+1,LEN(W192)-(R192)))</f>
        <v>4492</v>
      </c>
      <c r="L192" s="4">
        <f>SEARCH(",",W192,X192)</f>
        <v>15</v>
      </c>
      <c r="M192" s="4">
        <f>SEARCH(",",$W192,L192+1)</f>
        <v>21</v>
      </c>
      <c r="N192" s="4">
        <f>SEARCH(",",$W192,M192+1)</f>
        <v>27</v>
      </c>
      <c r="O192" s="4">
        <f>SEARCH(",",$W192,N192+1)</f>
        <v>32</v>
      </c>
      <c r="P192" s="4">
        <f>SEARCH(",",$W192,O192+1)</f>
        <v>38</v>
      </c>
      <c r="Q192" s="4">
        <f>SEARCH(",",$W192,P192+1)</f>
        <v>44</v>
      </c>
      <c r="R192" s="4">
        <f>SEARCH(",",$W192,Q192+1)</f>
        <v>50</v>
      </c>
      <c r="T192" t="s">
        <v>773</v>
      </c>
      <c r="U192">
        <f>SEARCH(":",T192)</f>
        <v>6</v>
      </c>
      <c r="V192" t="str">
        <f>MID(T192,U192+1,LEN(T192)-(U192))</f>
        <v xml:space="preserve"> 380107 ** -320, -777, 4408, 323, 1316, 3171, 4742, 4492</v>
      </c>
      <c r="W192" t="str">
        <f>TRIM(V192)</f>
        <v>380107 ** -320, -777, 4408, 323, 1316, 3171, 4742, 4492</v>
      </c>
      <c r="X192">
        <f>SEARCH("~*",W192)</f>
        <v>8</v>
      </c>
      <c r="Y192" t="str">
        <f>LEFT(W192,X192-1)</f>
        <v xml:space="preserve">380107 </v>
      </c>
      <c r="AA192" t="str">
        <f>CONCATENATE(A192,",",D192,",",E192,",",F192,",",G192,",",H192,",",I192,",",J192,",",K192)</f>
        <v>380107,-320,-777,4408,323,1316,3171,4742,4492</v>
      </c>
    </row>
    <row r="193" spans="1:27">
      <c r="A193" s="1">
        <f>IF(ISBLANK(T193),"",VALUE(Y193))</f>
        <v>373735</v>
      </c>
      <c r="B193" s="1">
        <f>A193*4/10 -18</f>
        <v>149476</v>
      </c>
      <c r="C193" s="3">
        <f>B193/7000000</f>
        <v>2.1353714285714285E-2</v>
      </c>
      <c r="D193" s="6">
        <f>VALUE(MID(W193,$X193+2,L193-(X193+2)))</f>
        <v>-322</v>
      </c>
      <c r="E193" s="6">
        <f>VALUE(MID($W193,L193+1,M193-(L193+1)))</f>
        <v>-775</v>
      </c>
      <c r="F193" s="6">
        <f>VALUE(MID($W193,M193+1,N193-(M193+1)))</f>
        <v>4405</v>
      </c>
      <c r="G193" s="6">
        <f>VALUE(MID($W193,N193+1,O193-(N193+1)))</f>
        <v>327</v>
      </c>
      <c r="H193" s="6">
        <f>VALUE(MID($W193,O193+1,P193-(O193+1)))</f>
        <v>1313</v>
      </c>
      <c r="I193" s="6">
        <f>VALUE(MID($W193,P193+1,Q193-(P193+1)))</f>
        <v>3172</v>
      </c>
      <c r="J193" s="6">
        <f>VALUE(MID($W193,Q193+1,R193-(Q193+1)))</f>
        <v>4744</v>
      </c>
      <c r="K193" s="4">
        <f>VALUE(MID(W193,R193+1,LEN(W193)-(R193)))</f>
        <v>4495</v>
      </c>
      <c r="L193" s="4">
        <f>SEARCH(",",W193,X193)</f>
        <v>15</v>
      </c>
      <c r="M193" s="4">
        <f>SEARCH(",",$W193,L193+1)</f>
        <v>21</v>
      </c>
      <c r="N193" s="4">
        <f>SEARCH(",",$W193,M193+1)</f>
        <v>27</v>
      </c>
      <c r="O193" s="4">
        <f>SEARCH(",",$W193,N193+1)</f>
        <v>32</v>
      </c>
      <c r="P193" s="4">
        <f>SEARCH(",",$W193,O193+1)</f>
        <v>38</v>
      </c>
      <c r="Q193" s="4">
        <f>SEARCH(",",$W193,P193+1)</f>
        <v>44</v>
      </c>
      <c r="R193" s="4">
        <f>SEARCH(",",$W193,Q193+1)</f>
        <v>50</v>
      </c>
      <c r="T193" t="s">
        <v>831</v>
      </c>
      <c r="U193">
        <f>SEARCH(":",T193)</f>
        <v>6</v>
      </c>
      <c r="V193" t="str">
        <f>MID(T193,U193+1,LEN(T193)-(U193))</f>
        <v xml:space="preserve"> 373735 ** -322, -775, 4405, 327, 1313, 3172, 4744, 4495</v>
      </c>
      <c r="W193" t="str">
        <f>TRIM(V193)</f>
        <v>373735 ** -322, -775, 4405, 327, 1313, 3172, 4744, 4495</v>
      </c>
      <c r="X193">
        <f>SEARCH("~*",W193)</f>
        <v>8</v>
      </c>
      <c r="Y193" t="str">
        <f>LEFT(W193,X193-1)</f>
        <v xml:space="preserve">373735 </v>
      </c>
      <c r="AA193" t="str">
        <f>CONCATENATE(A193,",",D193,",",E193,",",F193,",",G193,",",H193,",",I193,",",J193,",",K193)</f>
        <v>373735,-322,-775,4405,327,1313,3172,4744,4495</v>
      </c>
    </row>
    <row r="194" spans="1:27">
      <c r="A194" s="1">
        <f>IF(ISBLANK(T194),"",VALUE(Y194))</f>
        <v>351453</v>
      </c>
      <c r="B194" s="1">
        <f>A194*4/10 -18</f>
        <v>140563.20000000001</v>
      </c>
      <c r="C194" s="3">
        <f>B194/7000000</f>
        <v>2.0080457142857146E-2</v>
      </c>
      <c r="D194" s="6">
        <f>VALUE(MID(W194,$X194+2,L194-(X194+2)))</f>
        <v>-321</v>
      </c>
      <c r="E194" s="6">
        <f>VALUE(MID($W194,L194+1,M194-(L194+1)))</f>
        <v>-779</v>
      </c>
      <c r="F194" s="6">
        <f>VALUE(MID($W194,M194+1,N194-(M194+1)))</f>
        <v>4406</v>
      </c>
      <c r="G194" s="6">
        <f>VALUE(MID($W194,N194+1,O194-(N194+1)))</f>
        <v>327</v>
      </c>
      <c r="H194" s="6">
        <f>VALUE(MID($W194,O194+1,P194-(O194+1)))</f>
        <v>1314</v>
      </c>
      <c r="I194" s="6">
        <f>VALUE(MID($W194,P194+1,Q194-(P194+1)))</f>
        <v>3170</v>
      </c>
      <c r="J194" s="6">
        <f>VALUE(MID($W194,Q194+1,R194-(Q194+1)))</f>
        <v>4740</v>
      </c>
      <c r="K194" s="4">
        <f>VALUE(MID(W194,R194+1,LEN(W194)-(R194)))</f>
        <v>4497</v>
      </c>
      <c r="L194" s="4">
        <f>SEARCH(",",W194,X194)</f>
        <v>15</v>
      </c>
      <c r="M194" s="4">
        <f>SEARCH(",",$W194,L194+1)</f>
        <v>21</v>
      </c>
      <c r="N194" s="4">
        <f>SEARCH(",",$W194,M194+1)</f>
        <v>27</v>
      </c>
      <c r="O194" s="4">
        <f>SEARCH(",",$W194,N194+1)</f>
        <v>32</v>
      </c>
      <c r="P194" s="4">
        <f>SEARCH(",",$W194,O194+1)</f>
        <v>38</v>
      </c>
      <c r="Q194" s="4">
        <f>SEARCH(",",$W194,P194+1)</f>
        <v>44</v>
      </c>
      <c r="R194" s="4">
        <f>SEARCH(",",$W194,Q194+1)</f>
        <v>50</v>
      </c>
      <c r="T194" t="s">
        <v>816</v>
      </c>
      <c r="U194">
        <f>SEARCH(":",T194)</f>
        <v>6</v>
      </c>
      <c r="V194" t="str">
        <f>MID(T194,U194+1,LEN(T194)-(U194))</f>
        <v xml:space="preserve"> 351453 ** -321, -779, 4406, 327, 1314, 3170, 4740, 4497</v>
      </c>
      <c r="W194" t="str">
        <f>TRIM(V194)</f>
        <v>351453 ** -321, -779, 4406, 327, 1314, 3170, 4740, 4497</v>
      </c>
      <c r="X194">
        <f>SEARCH("~*",W194)</f>
        <v>8</v>
      </c>
      <c r="Y194" t="str">
        <f>LEFT(W194,X194-1)</f>
        <v xml:space="preserve">351453 </v>
      </c>
      <c r="AA194" t="str">
        <f>CONCATENATE(A194,",",D194,",",E194,",",F194,",",G194,",",H194,",",I194,",",J194,",",K194)</f>
        <v>351453,-321,-779,4406,327,1314,3170,4740,4497</v>
      </c>
    </row>
    <row r="195" spans="1:27">
      <c r="A195" s="1">
        <f>IF(ISBLANK(T195),"",VALUE(Y195))</f>
        <v>350793</v>
      </c>
      <c r="B195" s="1">
        <f>A195*4/10 -18</f>
        <v>140299.20000000001</v>
      </c>
      <c r="C195" s="3">
        <f>B195/7000000</f>
        <v>2.0042742857142859E-2</v>
      </c>
      <c r="D195" s="6">
        <f>VALUE(MID(W195,$X195+2,L195-(X195+2)))</f>
        <v>-324</v>
      </c>
      <c r="E195" s="6">
        <f>VALUE(MID($W195,L195+1,M195-(L195+1)))</f>
        <v>-778</v>
      </c>
      <c r="F195" s="6">
        <f>VALUE(MID($W195,M195+1,N195-(M195+1)))</f>
        <v>4408</v>
      </c>
      <c r="G195" s="6">
        <f>VALUE(MID($W195,N195+1,O195-(N195+1)))</f>
        <v>321</v>
      </c>
      <c r="H195" s="6">
        <f>VALUE(MID($W195,O195+1,P195-(O195+1)))</f>
        <v>1317</v>
      </c>
      <c r="I195" s="6">
        <f>VALUE(MID($W195,P195+1,Q195-(P195+1)))</f>
        <v>3173</v>
      </c>
      <c r="J195" s="6">
        <f>VALUE(MID($W195,Q195+1,R195-(Q195+1)))</f>
        <v>4740</v>
      </c>
      <c r="K195" s="4">
        <f>VALUE(MID(W195,R195+1,LEN(W195)-(R195)))</f>
        <v>4494</v>
      </c>
      <c r="L195" s="4">
        <f>SEARCH(",",W195,X195)</f>
        <v>15</v>
      </c>
      <c r="M195" s="4">
        <f>SEARCH(",",$W195,L195+1)</f>
        <v>21</v>
      </c>
      <c r="N195" s="4">
        <f>SEARCH(",",$W195,M195+1)</f>
        <v>27</v>
      </c>
      <c r="O195" s="4">
        <f>SEARCH(",",$W195,N195+1)</f>
        <v>32</v>
      </c>
      <c r="P195" s="4">
        <f>SEARCH(",",$W195,O195+1)</f>
        <v>38</v>
      </c>
      <c r="Q195" s="4">
        <f>SEARCH(",",$W195,P195+1)</f>
        <v>44</v>
      </c>
      <c r="R195" s="4">
        <f>SEARCH(",",$W195,Q195+1)</f>
        <v>50</v>
      </c>
      <c r="T195" t="s">
        <v>865</v>
      </c>
      <c r="U195">
        <f>SEARCH(":",T195)</f>
        <v>6</v>
      </c>
      <c r="V195" t="str">
        <f>MID(T195,U195+1,LEN(T195)-(U195))</f>
        <v xml:space="preserve"> 350793 ** -324, -778, 4408, 321, 1317, 3173, 4740, 4494</v>
      </c>
      <c r="W195" t="str">
        <f>TRIM(V195)</f>
        <v>350793 ** -324, -778, 4408, 321, 1317, 3173, 4740, 4494</v>
      </c>
      <c r="X195">
        <f>SEARCH("~*",W195)</f>
        <v>8</v>
      </c>
      <c r="Y195" t="str">
        <f>LEFT(W195,X195-1)</f>
        <v xml:space="preserve">350793 </v>
      </c>
      <c r="AA195" t="str">
        <f>CONCATENATE(A195,",",D195,",",E195,",",F195,",",G195,",",H195,",",I195,",",J195,",",K195)</f>
        <v>350793,-324,-778,4408,321,1317,3173,4740,4494</v>
      </c>
    </row>
    <row r="196" spans="1:27">
      <c r="A196" s="1">
        <f>IF(ISBLANK(T196),"",VALUE(Y196))</f>
        <v>343315</v>
      </c>
      <c r="B196" s="1">
        <f>A196*4/10 -18</f>
        <v>137308</v>
      </c>
      <c r="C196" s="3">
        <f>B196/7000000</f>
        <v>1.9615428571428572E-2</v>
      </c>
      <c r="D196" s="6">
        <f>VALUE(MID(W196,$X196+2,L196-(X196+2)))</f>
        <v>-324</v>
      </c>
      <c r="E196" s="6">
        <f>VALUE(MID($W196,L196+1,M196-(L196+1)))</f>
        <v>-782</v>
      </c>
      <c r="F196" s="6">
        <f>VALUE(MID($W196,M196+1,N196-(M196+1)))</f>
        <v>4403</v>
      </c>
      <c r="G196" s="6">
        <f>VALUE(MID($W196,N196+1,O196-(N196+1)))</f>
        <v>326</v>
      </c>
      <c r="H196" s="6">
        <f>VALUE(MID($W196,O196+1,P196-(O196+1)))</f>
        <v>1320</v>
      </c>
      <c r="I196" s="6">
        <f>VALUE(MID($W196,P196+1,Q196-(P196+1)))</f>
        <v>3168</v>
      </c>
      <c r="J196" s="6">
        <f>VALUE(MID($W196,Q196+1,R196-(Q196+1)))</f>
        <v>4741</v>
      </c>
      <c r="K196" s="4">
        <f>VALUE(MID(W196,R196+1,LEN(W196)-(R196)))</f>
        <v>4496</v>
      </c>
      <c r="L196" s="4">
        <f>SEARCH(",",W196,X196)</f>
        <v>15</v>
      </c>
      <c r="M196" s="4">
        <f>SEARCH(",",$W196,L196+1)</f>
        <v>21</v>
      </c>
      <c r="N196" s="4">
        <f>SEARCH(",",$W196,M196+1)</f>
        <v>27</v>
      </c>
      <c r="O196" s="4">
        <f>SEARCH(",",$W196,N196+1)</f>
        <v>32</v>
      </c>
      <c r="P196" s="4">
        <f>SEARCH(",",$W196,O196+1)</f>
        <v>38</v>
      </c>
      <c r="Q196" s="4">
        <f>SEARCH(",",$W196,P196+1)</f>
        <v>44</v>
      </c>
      <c r="R196" s="4">
        <f>SEARCH(",",$W196,Q196+1)</f>
        <v>50</v>
      </c>
      <c r="T196" t="s">
        <v>851</v>
      </c>
      <c r="U196">
        <f>SEARCH(":",T196)</f>
        <v>6</v>
      </c>
      <c r="V196" t="str">
        <f>MID(T196,U196+1,LEN(T196)-(U196))</f>
        <v xml:space="preserve"> 343315 ** -324, -782, 4403, 326, 1320, 3168, 4741, 4496</v>
      </c>
      <c r="W196" t="str">
        <f>TRIM(V196)</f>
        <v>343315 ** -324, -782, 4403, 326, 1320, 3168, 4741, 4496</v>
      </c>
      <c r="X196">
        <f>SEARCH("~*",W196)</f>
        <v>8</v>
      </c>
      <c r="Y196" t="str">
        <f>LEFT(W196,X196-1)</f>
        <v xml:space="preserve">343315 </v>
      </c>
      <c r="AA196" t="str">
        <f>CONCATENATE(A196,",",D196,",",E196,",",F196,",",G196,",",H196,",",I196,",",J196,",",K196)</f>
        <v>343315,-324,-782,4403,326,1320,3168,4741,4496</v>
      </c>
    </row>
    <row r="197" spans="1:27">
      <c r="A197" s="1">
        <f>IF(ISBLANK(T197),"",VALUE(Y197))</f>
        <v>331375</v>
      </c>
      <c r="B197" s="1">
        <f>A197*4/10 -18</f>
        <v>132532</v>
      </c>
      <c r="C197" s="3">
        <f>B197/7000000</f>
        <v>1.8933142857142857E-2</v>
      </c>
      <c r="D197" s="6">
        <f>VALUE(MID(W197,$X197+2,L197-(X197+2)))</f>
        <v>-317</v>
      </c>
      <c r="E197" s="6">
        <f>VALUE(MID($W197,L197+1,M197-(L197+1)))</f>
        <v>-777</v>
      </c>
      <c r="F197" s="6">
        <f>VALUE(MID($W197,M197+1,N197-(M197+1)))</f>
        <v>4406</v>
      </c>
      <c r="G197" s="6">
        <f>VALUE(MID($W197,N197+1,O197-(N197+1)))</f>
        <v>324</v>
      </c>
      <c r="H197" s="6">
        <f>VALUE(MID($W197,O197+1,P197-(O197+1)))</f>
        <v>1321</v>
      </c>
      <c r="I197" s="6">
        <f>VALUE(MID($W197,P197+1,Q197-(P197+1)))</f>
        <v>3169</v>
      </c>
      <c r="J197" s="6">
        <f>VALUE(MID($W197,Q197+1,R197-(Q197+1)))</f>
        <v>4741</v>
      </c>
      <c r="K197" s="4">
        <f>VALUE(MID(W197,R197+1,LEN(W197)-(R197)))</f>
        <v>4495</v>
      </c>
      <c r="L197" s="4">
        <f>SEARCH(",",W197,X197)</f>
        <v>15</v>
      </c>
      <c r="M197" s="4">
        <f>SEARCH(",",$W197,L197+1)</f>
        <v>21</v>
      </c>
      <c r="N197" s="4">
        <f>SEARCH(",",$W197,M197+1)</f>
        <v>27</v>
      </c>
      <c r="O197" s="4">
        <f>SEARCH(",",$W197,N197+1)</f>
        <v>32</v>
      </c>
      <c r="P197" s="4">
        <f>SEARCH(",",$W197,O197+1)</f>
        <v>38</v>
      </c>
      <c r="Q197" s="4">
        <f>SEARCH(",",$W197,P197+1)</f>
        <v>44</v>
      </c>
      <c r="R197" s="4">
        <f>SEARCH(",",$W197,Q197+1)</f>
        <v>50</v>
      </c>
      <c r="T197" t="s">
        <v>663</v>
      </c>
      <c r="U197">
        <f>SEARCH(":",T197)</f>
        <v>6</v>
      </c>
      <c r="V197" t="str">
        <f>MID(T197,U197+1,LEN(T197)-(U197))</f>
        <v xml:space="preserve"> 331375 ** -317, -777, 4406, 324, 1321, 3169, 4741, 4495</v>
      </c>
      <c r="W197" t="str">
        <f>TRIM(V197)</f>
        <v>331375 ** -317, -777, 4406, 324, 1321, 3169, 4741, 4495</v>
      </c>
      <c r="X197">
        <f>SEARCH("~*",W197)</f>
        <v>8</v>
      </c>
      <c r="Y197" t="str">
        <f>LEFT(W197,X197-1)</f>
        <v xml:space="preserve">331375 </v>
      </c>
      <c r="AA197" t="str">
        <f>CONCATENATE(A197,",",D197,",",E197,",",F197,",",G197,",",H197,",",I197,",",J197,",",K197)</f>
        <v>331375,-317,-777,4406,324,1321,3169,4741,4495</v>
      </c>
    </row>
    <row r="198" spans="1:27">
      <c r="A198" s="1">
        <f>IF(ISBLANK(T198),"",VALUE(Y198))</f>
        <v>324212</v>
      </c>
      <c r="B198" s="1">
        <f>A198*4/10 -18</f>
        <v>129666.8</v>
      </c>
      <c r="C198" s="3">
        <f>B198/7000000</f>
        <v>1.852382857142857E-2</v>
      </c>
      <c r="D198" s="6">
        <f>VALUE(MID(W198,$X198+2,L198-(X198+2)))</f>
        <v>-315</v>
      </c>
      <c r="E198" s="6">
        <f>VALUE(MID($W198,L198+1,M198-(L198+1)))</f>
        <v>-774</v>
      </c>
      <c r="F198" s="6">
        <f>VALUE(MID($W198,M198+1,N198-(M198+1)))</f>
        <v>4405</v>
      </c>
      <c r="G198" s="6">
        <f>VALUE(MID($W198,N198+1,O198-(N198+1)))</f>
        <v>320</v>
      </c>
      <c r="H198" s="6">
        <f>VALUE(MID($W198,O198+1,P198-(O198+1)))</f>
        <v>1320</v>
      </c>
      <c r="I198" s="6">
        <f>VALUE(MID($W198,P198+1,Q198-(P198+1)))</f>
        <v>3172</v>
      </c>
      <c r="J198" s="6">
        <f>VALUE(MID($W198,Q198+1,R198-(Q198+1)))</f>
        <v>4739</v>
      </c>
      <c r="K198" s="4">
        <f>VALUE(MID(W198,R198+1,LEN(W198)-(R198)))</f>
        <v>4498</v>
      </c>
      <c r="L198" s="4">
        <f>SEARCH(",",W198,X198)</f>
        <v>15</v>
      </c>
      <c r="M198" s="4">
        <f>SEARCH(",",$W198,L198+1)</f>
        <v>21</v>
      </c>
      <c r="N198" s="4">
        <f>SEARCH(",",$W198,M198+1)</f>
        <v>27</v>
      </c>
      <c r="O198" s="4">
        <f>SEARCH(",",$W198,N198+1)</f>
        <v>32</v>
      </c>
      <c r="P198" s="4">
        <f>SEARCH(",",$W198,O198+1)</f>
        <v>38</v>
      </c>
      <c r="Q198" s="4">
        <f>SEARCH(",",$W198,P198+1)</f>
        <v>44</v>
      </c>
      <c r="R198" s="4">
        <f>SEARCH(",",$W198,Q198+1)</f>
        <v>50</v>
      </c>
      <c r="T198" t="s">
        <v>667</v>
      </c>
      <c r="U198">
        <f>SEARCH(":",T198)</f>
        <v>6</v>
      </c>
      <c r="V198" t="str">
        <f>MID(T198,U198+1,LEN(T198)-(U198))</f>
        <v xml:space="preserve"> 324212 ** -315, -774, 4405, 320, 1320, 3172, 4739, 4498</v>
      </c>
      <c r="W198" t="str">
        <f>TRIM(V198)</f>
        <v>324212 ** -315, -774, 4405, 320, 1320, 3172, 4739, 4498</v>
      </c>
      <c r="X198">
        <f>SEARCH("~*",W198)</f>
        <v>8</v>
      </c>
      <c r="Y198" t="str">
        <f>LEFT(W198,X198-1)</f>
        <v xml:space="preserve">324212 </v>
      </c>
      <c r="AA198" t="str">
        <f>CONCATENATE(A198,",",D198,",",E198,",",F198,",",G198,",",H198,",",I198,",",J198,",",K198)</f>
        <v>324212,-315,-774,4405,320,1320,3172,4739,4498</v>
      </c>
    </row>
    <row r="199" spans="1:27">
      <c r="A199" s="1">
        <f>IF(ISBLANK(T199),"",VALUE(Y199))</f>
        <v>318611</v>
      </c>
      <c r="B199" s="1">
        <f>A199*4/10 -18</f>
        <v>127426.4</v>
      </c>
      <c r="C199" s="3">
        <f>B199/7000000</f>
        <v>1.8203771428571429E-2</v>
      </c>
      <c r="D199" s="6">
        <f>VALUE(MID(W199,$X199+2,L199-(X199+2)))</f>
        <v>-316</v>
      </c>
      <c r="E199" s="6">
        <f>VALUE(MID($W199,L199+1,M199-(L199+1)))</f>
        <v>-776</v>
      </c>
      <c r="F199" s="6">
        <f>VALUE(MID($W199,M199+1,N199-(M199+1)))</f>
        <v>4404</v>
      </c>
      <c r="G199" s="6">
        <f>VALUE(MID($W199,N199+1,O199-(N199+1)))</f>
        <v>324</v>
      </c>
      <c r="H199" s="6">
        <f>VALUE(MID($W199,O199+1,P199-(O199+1)))</f>
        <v>1314</v>
      </c>
      <c r="I199" s="6">
        <f>VALUE(MID($W199,P199+1,Q199-(P199+1)))</f>
        <v>3168</v>
      </c>
      <c r="J199" s="6">
        <f>VALUE(MID($W199,Q199+1,R199-(Q199+1)))</f>
        <v>4739</v>
      </c>
      <c r="K199" s="4">
        <f>VALUE(MID(W199,R199+1,LEN(W199)-(R199)))</f>
        <v>4497</v>
      </c>
      <c r="L199" s="4">
        <f>SEARCH(",",W199,X199)</f>
        <v>15</v>
      </c>
      <c r="M199" s="4">
        <f>SEARCH(",",$W199,L199+1)</f>
        <v>21</v>
      </c>
      <c r="N199" s="4">
        <f>SEARCH(",",$W199,M199+1)</f>
        <v>27</v>
      </c>
      <c r="O199" s="4">
        <f>SEARCH(",",$W199,N199+1)</f>
        <v>32</v>
      </c>
      <c r="P199" s="4">
        <f>SEARCH(",",$W199,O199+1)</f>
        <v>38</v>
      </c>
      <c r="Q199" s="4">
        <f>SEARCH(",",$W199,P199+1)</f>
        <v>44</v>
      </c>
      <c r="R199" s="4">
        <f>SEARCH(",",$W199,Q199+1)</f>
        <v>50</v>
      </c>
      <c r="T199" t="s">
        <v>669</v>
      </c>
      <c r="U199">
        <f>SEARCH(":",T199)</f>
        <v>6</v>
      </c>
      <c r="V199" t="str">
        <f>MID(T199,U199+1,LEN(T199)-(U199))</f>
        <v xml:space="preserve"> 318611 ** -316, -776, 4404, 324, 1314, 3168, 4739, 4497</v>
      </c>
      <c r="W199" t="str">
        <f>TRIM(V199)</f>
        <v>318611 ** -316, -776, 4404, 324, 1314, 3168, 4739, 4497</v>
      </c>
      <c r="X199">
        <f>SEARCH("~*",W199)</f>
        <v>8</v>
      </c>
      <c r="Y199" t="str">
        <f>LEFT(W199,X199-1)</f>
        <v xml:space="preserve">318611 </v>
      </c>
      <c r="AA199" t="str">
        <f>CONCATENATE(A199,",",D199,",",E199,",",F199,",",G199,",",H199,",",I199,",",J199,",",K199)</f>
        <v>318611,-316,-776,4404,324,1314,3168,4739,4497</v>
      </c>
    </row>
    <row r="200" spans="1:27">
      <c r="A200" s="1">
        <f>IF(ISBLANK(T200),"",VALUE(Y200))</f>
        <v>316472</v>
      </c>
      <c r="B200" s="1">
        <f>A200*4/10 -18</f>
        <v>126570.8</v>
      </c>
      <c r="C200" s="3">
        <f>B200/7000000</f>
        <v>1.8081542857142859E-2</v>
      </c>
      <c r="D200" s="6">
        <f>VALUE(MID(W200,$X200+2,L200-(X200+2)))</f>
        <v>-317</v>
      </c>
      <c r="E200" s="6">
        <f>VALUE(MID($W200,L200+1,M200-(L200+1)))</f>
        <v>-774</v>
      </c>
      <c r="F200" s="6">
        <f>VALUE(MID($W200,M200+1,N200-(M200+1)))</f>
        <v>4408</v>
      </c>
      <c r="G200" s="6">
        <f>VALUE(MID($W200,N200+1,O200-(N200+1)))</f>
        <v>329</v>
      </c>
      <c r="H200" s="6">
        <f>VALUE(MID($W200,O200+1,P200-(O200+1)))</f>
        <v>1316</v>
      </c>
      <c r="I200" s="6">
        <f>VALUE(MID($W200,P200+1,Q200-(P200+1)))</f>
        <v>3171</v>
      </c>
      <c r="J200" s="6">
        <f>VALUE(MID($W200,Q200+1,R200-(Q200+1)))</f>
        <v>4742</v>
      </c>
      <c r="K200" s="4">
        <f>VALUE(MID(W200,R200+1,LEN(W200)-(R200)))</f>
        <v>4498</v>
      </c>
      <c r="L200" s="4">
        <f>SEARCH(",",W200,X200)</f>
        <v>15</v>
      </c>
      <c r="M200" s="4">
        <f>SEARCH(",",$W200,L200+1)</f>
        <v>21</v>
      </c>
      <c r="N200" s="4">
        <f>SEARCH(",",$W200,M200+1)</f>
        <v>27</v>
      </c>
      <c r="O200" s="4">
        <f>SEARCH(",",$W200,N200+1)</f>
        <v>32</v>
      </c>
      <c r="P200" s="4">
        <f>SEARCH(",",$W200,O200+1)</f>
        <v>38</v>
      </c>
      <c r="Q200" s="4">
        <f>SEARCH(",",$W200,P200+1)</f>
        <v>44</v>
      </c>
      <c r="R200" s="4">
        <f>SEARCH(",",$W200,Q200+1)</f>
        <v>50</v>
      </c>
      <c r="T200" t="s">
        <v>803</v>
      </c>
      <c r="U200">
        <f>SEARCH(":",T200)</f>
        <v>6</v>
      </c>
      <c r="V200" t="str">
        <f>MID(T200,U200+1,LEN(T200)-(U200))</f>
        <v xml:space="preserve"> 316472 ** -317, -774, 4408, 329, 1316, 3171, 4742, 4498</v>
      </c>
      <c r="W200" t="str">
        <f>TRIM(V200)</f>
        <v>316472 ** -317, -774, 4408, 329, 1316, 3171, 4742, 4498</v>
      </c>
      <c r="X200">
        <f>SEARCH("~*",W200)</f>
        <v>8</v>
      </c>
      <c r="Y200" t="str">
        <f>LEFT(W200,X200-1)</f>
        <v xml:space="preserve">316472 </v>
      </c>
      <c r="AA200" t="str">
        <f>CONCATENATE(A200,",",D200,",",E200,",",F200,",",G200,",",H200,",",I200,",",J200,",",K200)</f>
        <v>316472,-317,-774,4408,329,1316,3171,4742,4498</v>
      </c>
    </row>
    <row r="201" spans="1:27">
      <c r="A201" s="1">
        <f>IF(ISBLANK(T201),"",VALUE(Y201))</f>
        <v>314817</v>
      </c>
      <c r="B201" s="1">
        <f>A201*4/10 -18</f>
        <v>125908.8</v>
      </c>
      <c r="C201" s="3">
        <f>B201/7000000</f>
        <v>1.7986971428571429E-2</v>
      </c>
      <c r="D201" s="6">
        <f>VALUE(MID(W201,$X201+2,L201-(X201+2)))</f>
        <v>-317</v>
      </c>
      <c r="E201" s="6">
        <f>VALUE(MID($W201,L201+1,M201-(L201+1)))</f>
        <v>-774</v>
      </c>
      <c r="F201" s="6">
        <f>VALUE(MID($W201,M201+1,N201-(M201+1)))</f>
        <v>4399</v>
      </c>
      <c r="G201" s="6">
        <f>VALUE(MID($W201,N201+1,O201-(N201+1)))</f>
        <v>320</v>
      </c>
      <c r="H201" s="6">
        <f>VALUE(MID($W201,O201+1,P201-(O201+1)))</f>
        <v>1321</v>
      </c>
      <c r="I201" s="6">
        <f>VALUE(MID($W201,P201+1,Q201-(P201+1)))</f>
        <v>3167</v>
      </c>
      <c r="J201" s="6">
        <f>VALUE(MID($W201,Q201+1,R201-(Q201+1)))</f>
        <v>4745</v>
      </c>
      <c r="K201" s="4">
        <f>VALUE(MID(W201,R201+1,LEN(W201)-(R201)))</f>
        <v>4498</v>
      </c>
      <c r="L201" s="4">
        <f>SEARCH(",",W201,X201)</f>
        <v>15</v>
      </c>
      <c r="M201" s="4">
        <f>SEARCH(",",$W201,L201+1)</f>
        <v>21</v>
      </c>
      <c r="N201" s="4">
        <f>SEARCH(",",$W201,M201+1)</f>
        <v>27</v>
      </c>
      <c r="O201" s="4">
        <f>SEARCH(",",$W201,N201+1)</f>
        <v>32</v>
      </c>
      <c r="P201" s="4">
        <f>SEARCH(",",$W201,O201+1)</f>
        <v>38</v>
      </c>
      <c r="Q201" s="4">
        <f>SEARCH(",",$W201,P201+1)</f>
        <v>44</v>
      </c>
      <c r="R201" s="4">
        <f>SEARCH(",",$W201,Q201+1)</f>
        <v>50</v>
      </c>
      <c r="T201" t="s">
        <v>823</v>
      </c>
      <c r="U201">
        <f>SEARCH(":",T201)</f>
        <v>6</v>
      </c>
      <c r="V201" t="str">
        <f>MID(T201,U201+1,LEN(T201)-(U201))</f>
        <v xml:space="preserve"> 314817 ** -317, -774, 4399, 320, 1321, 3167, 4745, 4498</v>
      </c>
      <c r="W201" t="str">
        <f>TRIM(V201)</f>
        <v>314817 ** -317, -774, 4399, 320, 1321, 3167, 4745, 4498</v>
      </c>
      <c r="X201">
        <f>SEARCH("~*",W201)</f>
        <v>8</v>
      </c>
      <c r="Y201" t="str">
        <f>LEFT(W201,X201-1)</f>
        <v xml:space="preserve">314817 </v>
      </c>
      <c r="AA201" t="str">
        <f>CONCATENATE(A201,",",D201,",",E201,",",F201,",",G201,",",H201,",",I201,",",J201,",",K201)</f>
        <v>314817,-317,-774,4399,320,1321,3167,4745,4498</v>
      </c>
    </row>
    <row r="202" spans="1:27">
      <c r="A202" s="1">
        <f>IF(ISBLANK(T202),"",VALUE(Y202))</f>
        <v>311117</v>
      </c>
      <c r="B202" s="1">
        <f>A202*4/10 -18</f>
        <v>124428.8</v>
      </c>
      <c r="C202" s="3">
        <f>B202/7000000</f>
        <v>1.7775542857142859E-2</v>
      </c>
      <c r="D202" s="6">
        <f>VALUE(MID(W202,$X202+2,L202-(X202+2)))</f>
        <v>-315</v>
      </c>
      <c r="E202" s="6">
        <f>VALUE(MID($W202,L202+1,M202-(L202+1)))</f>
        <v>-782</v>
      </c>
      <c r="F202" s="6">
        <f>VALUE(MID($W202,M202+1,N202-(M202+1)))</f>
        <v>4400</v>
      </c>
      <c r="G202" s="6">
        <f>VALUE(MID($W202,N202+1,O202-(N202+1)))</f>
        <v>320</v>
      </c>
      <c r="H202" s="6">
        <f>VALUE(MID($W202,O202+1,P202-(O202+1)))</f>
        <v>1316</v>
      </c>
      <c r="I202" s="6">
        <f>VALUE(MID($W202,P202+1,Q202-(P202+1)))</f>
        <v>3171</v>
      </c>
      <c r="J202" s="6">
        <f>VALUE(MID($W202,Q202+1,R202-(Q202+1)))</f>
        <v>4741</v>
      </c>
      <c r="K202" s="4">
        <f>VALUE(MID(W202,R202+1,LEN(W202)-(R202)))</f>
        <v>4499</v>
      </c>
      <c r="L202" s="4">
        <f>SEARCH(",",W202,X202)</f>
        <v>15</v>
      </c>
      <c r="M202" s="4">
        <f>SEARCH(",",$W202,L202+1)</f>
        <v>21</v>
      </c>
      <c r="N202" s="4">
        <f>SEARCH(",",$W202,M202+1)</f>
        <v>27</v>
      </c>
      <c r="O202" s="4">
        <f>SEARCH(",",$W202,N202+1)</f>
        <v>32</v>
      </c>
      <c r="P202" s="4">
        <f>SEARCH(",",$W202,O202+1)</f>
        <v>38</v>
      </c>
      <c r="Q202" s="4">
        <f>SEARCH(",",$W202,P202+1)</f>
        <v>44</v>
      </c>
      <c r="R202" s="4">
        <f>SEARCH(",",$W202,Q202+1)</f>
        <v>50</v>
      </c>
      <c r="T202" t="s">
        <v>748</v>
      </c>
      <c r="U202">
        <f>SEARCH(":",T202)</f>
        <v>6</v>
      </c>
      <c r="V202" t="str">
        <f>MID(T202,U202+1,LEN(T202)-(U202))</f>
        <v xml:space="preserve"> 311117 ** -315, -782, 4400, 320, 1316, 3171, 4741, 4499</v>
      </c>
      <c r="W202" t="str">
        <f>TRIM(V202)</f>
        <v>311117 ** -315, -782, 4400, 320, 1316, 3171, 4741, 4499</v>
      </c>
      <c r="X202">
        <f>SEARCH("~*",W202)</f>
        <v>8</v>
      </c>
      <c r="Y202" t="str">
        <f>LEFT(W202,X202-1)</f>
        <v xml:space="preserve">311117 </v>
      </c>
      <c r="AA202" t="str">
        <f>CONCATENATE(A202,",",D202,",",E202,",",F202,",",G202,",",H202,",",I202,",",J202,",",K202)</f>
        <v>311117,-315,-782,4400,320,1316,3171,4741,4499</v>
      </c>
    </row>
    <row r="203" spans="1:27">
      <c r="A203" s="1">
        <f>IF(ISBLANK(T203),"",VALUE(Y203))</f>
        <v>309678</v>
      </c>
      <c r="B203" s="1">
        <f>A203*4/10 -18</f>
        <v>123853.2</v>
      </c>
      <c r="C203" s="3">
        <f>B203/7000000</f>
        <v>1.7693314285714284E-2</v>
      </c>
      <c r="D203" s="6">
        <f>VALUE(MID(W203,$X203+2,L203-(X203+2)))</f>
        <v>-323</v>
      </c>
      <c r="E203" s="6">
        <f>VALUE(MID($W203,L203+1,M203-(L203+1)))</f>
        <v>-775</v>
      </c>
      <c r="F203" s="6">
        <f>VALUE(MID($W203,M203+1,N203-(M203+1)))</f>
        <v>4404</v>
      </c>
      <c r="G203" s="6">
        <f>VALUE(MID($W203,N203+1,O203-(N203+1)))</f>
        <v>327</v>
      </c>
      <c r="H203" s="6">
        <f>VALUE(MID($W203,O203+1,P203-(O203+1)))</f>
        <v>1312</v>
      </c>
      <c r="I203" s="6">
        <f>VALUE(MID($W203,P203+1,Q203-(P203+1)))</f>
        <v>3174</v>
      </c>
      <c r="J203" s="6">
        <f>VALUE(MID($W203,Q203+1,R203-(Q203+1)))</f>
        <v>4739</v>
      </c>
      <c r="K203" s="4">
        <f>VALUE(MID(W203,R203+1,LEN(W203)-(R203)))</f>
        <v>4492</v>
      </c>
      <c r="L203" s="4">
        <f>SEARCH(",",W203,X203)</f>
        <v>15</v>
      </c>
      <c r="M203" s="4">
        <f>SEARCH(",",$W203,L203+1)</f>
        <v>21</v>
      </c>
      <c r="N203" s="4">
        <f>SEARCH(",",$W203,M203+1)</f>
        <v>27</v>
      </c>
      <c r="O203" s="4">
        <f>SEARCH(",",$W203,N203+1)</f>
        <v>32</v>
      </c>
      <c r="P203" s="4">
        <f>SEARCH(",",$W203,O203+1)</f>
        <v>38</v>
      </c>
      <c r="Q203" s="4">
        <f>SEARCH(",",$W203,P203+1)</f>
        <v>44</v>
      </c>
      <c r="R203" s="4">
        <f>SEARCH(",",$W203,Q203+1)</f>
        <v>50</v>
      </c>
      <c r="T203" t="s">
        <v>862</v>
      </c>
      <c r="U203">
        <f>SEARCH(":",T203)</f>
        <v>6</v>
      </c>
      <c r="V203" t="str">
        <f>MID(T203,U203+1,LEN(T203)-(U203))</f>
        <v xml:space="preserve"> 309678 ** -323, -775, 4404, 327, 1312, 3174, 4739, 4492</v>
      </c>
      <c r="W203" t="str">
        <f>TRIM(V203)</f>
        <v>309678 ** -323, -775, 4404, 327, 1312, 3174, 4739, 4492</v>
      </c>
      <c r="X203">
        <f>SEARCH("~*",W203)</f>
        <v>8</v>
      </c>
      <c r="Y203" t="str">
        <f>LEFT(W203,X203-1)</f>
        <v xml:space="preserve">309678 </v>
      </c>
      <c r="AA203" t="str">
        <f>CONCATENATE(A203,",",D203,",",E203,",",F203,",",G203,",",H203,",",I203,",",J203,",",K203)</f>
        <v>309678,-323,-775,4404,327,1312,3174,4739,4492</v>
      </c>
    </row>
    <row r="204" spans="1:27">
      <c r="A204" s="1">
        <f>IF(ISBLANK(T204),"",VALUE(Y204))</f>
        <v>308761</v>
      </c>
      <c r="B204" s="1">
        <f>A204*4/10 -18</f>
        <v>123486.39999999999</v>
      </c>
      <c r="C204" s="3">
        <f>B204/7000000</f>
        <v>1.7640914285714286E-2</v>
      </c>
      <c r="D204" s="6">
        <f>VALUE(MID(W204,$X204+2,L204-(X204+2)))</f>
        <v>-323</v>
      </c>
      <c r="E204" s="6">
        <f>VALUE(MID($W204,L204+1,M204-(L204+1)))</f>
        <v>-777</v>
      </c>
      <c r="F204" s="6">
        <f>VALUE(MID($W204,M204+1,N204-(M204+1)))</f>
        <v>4405</v>
      </c>
      <c r="G204" s="6">
        <f>VALUE(MID($W204,N204+1,O204-(N204+1)))</f>
        <v>326</v>
      </c>
      <c r="H204" s="6">
        <f>VALUE(MID($W204,O204+1,P204-(O204+1)))</f>
        <v>1312</v>
      </c>
      <c r="I204" s="6">
        <f>VALUE(MID($W204,P204+1,Q204-(P204+1)))</f>
        <v>3175</v>
      </c>
      <c r="J204" s="6">
        <f>VALUE(MID($W204,Q204+1,R204-(Q204+1)))</f>
        <v>4744</v>
      </c>
      <c r="K204" s="4">
        <f>VALUE(MID(W204,R204+1,LEN(W204)-(R204)))</f>
        <v>4495</v>
      </c>
      <c r="L204" s="4">
        <f>SEARCH(",",W204,X204)</f>
        <v>15</v>
      </c>
      <c r="M204" s="4">
        <f>SEARCH(",",$W204,L204+1)</f>
        <v>21</v>
      </c>
      <c r="N204" s="4">
        <f>SEARCH(",",$W204,M204+1)</f>
        <v>27</v>
      </c>
      <c r="O204" s="4">
        <f>SEARCH(",",$W204,N204+1)</f>
        <v>32</v>
      </c>
      <c r="P204" s="4">
        <f>SEARCH(",",$W204,O204+1)</f>
        <v>38</v>
      </c>
      <c r="Q204" s="4">
        <f>SEARCH(",",$W204,P204+1)</f>
        <v>44</v>
      </c>
      <c r="R204" s="4">
        <f>SEARCH(",",$W204,Q204+1)</f>
        <v>50</v>
      </c>
      <c r="T204" t="s">
        <v>620</v>
      </c>
      <c r="U204">
        <f>SEARCH(":",T204)</f>
        <v>6</v>
      </c>
      <c r="V204" t="str">
        <f>MID(T204,U204+1,LEN(T204)-(U204))</f>
        <v xml:space="preserve"> 308761 ** -323, -777, 4405, 326, 1312, 3175, 4744, 4495</v>
      </c>
      <c r="W204" t="str">
        <f>TRIM(V204)</f>
        <v>308761 ** -323, -777, 4405, 326, 1312, 3175, 4744, 4495</v>
      </c>
      <c r="X204">
        <f>SEARCH("~*",W204)</f>
        <v>8</v>
      </c>
      <c r="Y204" t="str">
        <f>LEFT(W204,X204-1)</f>
        <v xml:space="preserve">308761 </v>
      </c>
      <c r="AA204" t="str">
        <f>CONCATENATE(A204,",",D204,",",E204,",",F204,",",G204,",",H204,",",I204,",",J204,",",K204)</f>
        <v>308761,-323,-777,4405,326,1312,3175,4744,4495</v>
      </c>
    </row>
    <row r="205" spans="1:27">
      <c r="A205" s="1">
        <f>IF(ISBLANK(T205),"",VALUE(Y205))</f>
        <v>307952</v>
      </c>
      <c r="B205" s="1">
        <f>A205*4/10 -18</f>
        <v>123162.8</v>
      </c>
      <c r="C205" s="3">
        <f>B205/7000000</f>
        <v>1.7594685714285716E-2</v>
      </c>
      <c r="D205" s="6">
        <f>VALUE(MID(W205,$X205+2,L205-(X205+2)))</f>
        <v>-315</v>
      </c>
      <c r="E205" s="6">
        <f>VALUE(MID($W205,L205+1,M205-(L205+1)))</f>
        <v>-777</v>
      </c>
      <c r="F205" s="6">
        <f>VALUE(MID($W205,M205+1,N205-(M205+1)))</f>
        <v>4408</v>
      </c>
      <c r="G205" s="6">
        <f>VALUE(MID($W205,N205+1,O205-(N205+1)))</f>
        <v>321</v>
      </c>
      <c r="H205" s="6">
        <f>VALUE(MID($W205,O205+1,P205-(O205+1)))</f>
        <v>1320</v>
      </c>
      <c r="I205" s="6">
        <f>VALUE(MID($W205,P205+1,Q205-(P205+1)))</f>
        <v>3167</v>
      </c>
      <c r="J205" s="6">
        <f>VALUE(MID($W205,Q205+1,R205-(Q205+1)))</f>
        <v>4748</v>
      </c>
      <c r="K205" s="4">
        <f>VALUE(MID(W205,R205+1,LEN(W205)-(R205)))</f>
        <v>4491</v>
      </c>
      <c r="L205" s="4">
        <f>SEARCH(",",W205,X205)</f>
        <v>15</v>
      </c>
      <c r="M205" s="4">
        <f>SEARCH(",",$W205,L205+1)</f>
        <v>21</v>
      </c>
      <c r="N205" s="4">
        <f>SEARCH(",",$W205,M205+1)</f>
        <v>27</v>
      </c>
      <c r="O205" s="4">
        <f>SEARCH(",",$W205,N205+1)</f>
        <v>32</v>
      </c>
      <c r="P205" s="4">
        <f>SEARCH(",",$W205,O205+1)</f>
        <v>38</v>
      </c>
      <c r="Q205" s="4">
        <f>SEARCH(",",$W205,P205+1)</f>
        <v>44</v>
      </c>
      <c r="R205" s="4">
        <f>SEARCH(",",$W205,Q205+1)</f>
        <v>50</v>
      </c>
      <c r="T205" t="s">
        <v>718</v>
      </c>
      <c r="U205">
        <f>SEARCH(":",T205)</f>
        <v>6</v>
      </c>
      <c r="V205" t="str">
        <f>MID(T205,U205+1,LEN(T205)-(U205))</f>
        <v xml:space="preserve"> 307952 ** -315, -777, 4408, 321, 1320, 3167, 4748, 4491</v>
      </c>
      <c r="W205" t="str">
        <f>TRIM(V205)</f>
        <v>307952 ** -315, -777, 4408, 321, 1320, 3167, 4748, 4491</v>
      </c>
      <c r="X205">
        <f>SEARCH("~*",W205)</f>
        <v>8</v>
      </c>
      <c r="Y205" t="str">
        <f>LEFT(W205,X205-1)</f>
        <v xml:space="preserve">307952 </v>
      </c>
      <c r="AA205" t="str">
        <f>CONCATENATE(A205,",",D205,",",E205,",",F205,",",G205,",",H205,",",I205,",",J205,",",K205)</f>
        <v>307952,-315,-777,4408,321,1320,3167,4748,4491</v>
      </c>
    </row>
    <row r="206" spans="1:27">
      <c r="A206" s="1">
        <f>IF(ISBLANK(T206),"",VALUE(Y206))</f>
        <v>307693</v>
      </c>
      <c r="B206" s="1">
        <f>A206*4/10 -18</f>
        <v>123059.2</v>
      </c>
      <c r="C206" s="3">
        <f>B206/7000000</f>
        <v>1.7579885714285714E-2</v>
      </c>
      <c r="D206" s="6">
        <f>VALUE(MID(W206,$X206+2,L206-(X206+2)))</f>
        <v>-323</v>
      </c>
      <c r="E206" s="6">
        <f>VALUE(MID($W206,L206+1,M206-(L206+1)))</f>
        <v>-780</v>
      </c>
      <c r="F206" s="6">
        <f>VALUE(MID($W206,M206+1,N206-(M206+1)))</f>
        <v>4405</v>
      </c>
      <c r="G206" s="6">
        <f>VALUE(MID($W206,N206+1,O206-(N206+1)))</f>
        <v>328</v>
      </c>
      <c r="H206" s="6">
        <f>VALUE(MID($W206,O206+1,P206-(O206+1)))</f>
        <v>1319</v>
      </c>
      <c r="I206" s="6">
        <f>VALUE(MID($W206,P206+1,Q206-(P206+1)))</f>
        <v>3171</v>
      </c>
      <c r="J206" s="6">
        <f>VALUE(MID($W206,Q206+1,R206-(Q206+1)))</f>
        <v>4746</v>
      </c>
      <c r="K206" s="4">
        <f>VALUE(MID(W206,R206+1,LEN(W206)-(R206)))</f>
        <v>4495</v>
      </c>
      <c r="L206" s="4">
        <f>SEARCH(",",W206,X206)</f>
        <v>15</v>
      </c>
      <c r="M206" s="4">
        <f>SEARCH(",",$W206,L206+1)</f>
        <v>21</v>
      </c>
      <c r="N206" s="4">
        <f>SEARCH(",",$W206,M206+1)</f>
        <v>27</v>
      </c>
      <c r="O206" s="4">
        <f>SEARCH(",",$W206,N206+1)</f>
        <v>32</v>
      </c>
      <c r="P206" s="4">
        <f>SEARCH(",",$W206,O206+1)</f>
        <v>38</v>
      </c>
      <c r="Q206" s="4">
        <f>SEARCH(",",$W206,P206+1)</f>
        <v>44</v>
      </c>
      <c r="R206" s="4">
        <f>SEARCH(",",$W206,Q206+1)</f>
        <v>50</v>
      </c>
      <c r="T206" t="s">
        <v>804</v>
      </c>
      <c r="U206">
        <f>SEARCH(":",T206)</f>
        <v>6</v>
      </c>
      <c r="V206" t="str">
        <f>MID(T206,U206+1,LEN(T206)-(U206))</f>
        <v xml:space="preserve"> 307693 ** -323, -780, 4405, 328, 1319, 3171, 4746, 4495</v>
      </c>
      <c r="W206" t="str">
        <f>TRIM(V206)</f>
        <v>307693 ** -323, -780, 4405, 328, 1319, 3171, 4746, 4495</v>
      </c>
      <c r="X206">
        <f>SEARCH("~*",W206)</f>
        <v>8</v>
      </c>
      <c r="Y206" t="str">
        <f>LEFT(W206,X206-1)</f>
        <v xml:space="preserve">307693 </v>
      </c>
      <c r="AA206" t="str">
        <f>CONCATENATE(A206,",",D206,",",E206,",",F206,",",G206,",",H206,",",I206,",",J206,",",K206)</f>
        <v>307693,-323,-780,4405,328,1319,3171,4746,4495</v>
      </c>
    </row>
    <row r="207" spans="1:27">
      <c r="A207" s="1">
        <f>IF(ISBLANK(T207),"",VALUE(Y207))</f>
        <v>307320</v>
      </c>
      <c r="B207" s="1">
        <f>A207*4/10 -18</f>
        <v>122910</v>
      </c>
      <c r="C207" s="3">
        <f>B207/7000000</f>
        <v>1.7558571428571427E-2</v>
      </c>
      <c r="D207" s="6">
        <f>VALUE(MID(W207,$X207+2,L207-(X207+2)))</f>
        <v>-321</v>
      </c>
      <c r="E207" s="6">
        <f>VALUE(MID($W207,L207+1,M207-(L207+1)))</f>
        <v>-778</v>
      </c>
      <c r="F207" s="6">
        <f>VALUE(MID($W207,M207+1,N207-(M207+1)))</f>
        <v>4403</v>
      </c>
      <c r="G207" s="6">
        <f>VALUE(MID($W207,N207+1,O207-(N207+1)))</f>
        <v>321</v>
      </c>
      <c r="H207" s="6">
        <f>VALUE(MID($W207,O207+1,P207-(O207+1)))</f>
        <v>1320</v>
      </c>
      <c r="I207" s="6">
        <f>VALUE(MID($W207,P207+1,Q207-(P207+1)))</f>
        <v>3175</v>
      </c>
      <c r="J207" s="6">
        <f>VALUE(MID($W207,Q207+1,R207-(Q207+1)))</f>
        <v>4743</v>
      </c>
      <c r="K207" s="4">
        <f>VALUE(MID(W207,R207+1,LEN(W207)-(R207)))</f>
        <v>4498</v>
      </c>
      <c r="L207" s="4">
        <f>SEARCH(",",W207,X207)</f>
        <v>15</v>
      </c>
      <c r="M207" s="4">
        <f>SEARCH(",",$W207,L207+1)</f>
        <v>21</v>
      </c>
      <c r="N207" s="4">
        <f>SEARCH(",",$W207,M207+1)</f>
        <v>27</v>
      </c>
      <c r="O207" s="4">
        <f>SEARCH(",",$W207,N207+1)</f>
        <v>32</v>
      </c>
      <c r="P207" s="4">
        <f>SEARCH(",",$W207,O207+1)</f>
        <v>38</v>
      </c>
      <c r="Q207" s="4">
        <f>SEARCH(",",$W207,P207+1)</f>
        <v>44</v>
      </c>
      <c r="R207" s="4">
        <f>SEARCH(",",$W207,Q207+1)</f>
        <v>50</v>
      </c>
      <c r="T207" t="s">
        <v>835</v>
      </c>
      <c r="U207">
        <f>SEARCH(":",T207)</f>
        <v>6</v>
      </c>
      <c r="V207" t="str">
        <f>MID(T207,U207+1,LEN(T207)-(U207))</f>
        <v xml:space="preserve"> 307320 ** -321, -778, 4403, 321, 1320, 3175, 4743, 4498</v>
      </c>
      <c r="W207" t="str">
        <f>TRIM(V207)</f>
        <v>307320 ** -321, -778, 4403, 321, 1320, 3175, 4743, 4498</v>
      </c>
      <c r="X207">
        <f>SEARCH("~*",W207)</f>
        <v>8</v>
      </c>
      <c r="Y207" t="str">
        <f>LEFT(W207,X207-1)</f>
        <v xml:space="preserve">307320 </v>
      </c>
      <c r="AA207" t="str">
        <f>CONCATENATE(A207,",",D207,",",E207,",",F207,",",G207,",",H207,",",I207,",",J207,",",K207)</f>
        <v>307320,-321,-778,4403,321,1320,3175,4743,4498</v>
      </c>
    </row>
    <row r="208" spans="1:27">
      <c r="A208" s="1">
        <f>IF(ISBLANK(T208),"",VALUE(Y208))</f>
        <v>299680</v>
      </c>
      <c r="B208" s="1">
        <f>A208*4/10 -18</f>
        <v>119854</v>
      </c>
      <c r="C208" s="3">
        <f>B208/7000000</f>
        <v>1.7121999999999998E-2</v>
      </c>
      <c r="D208" s="6">
        <f>VALUE(MID(W208,$X208+2,L208-(X208+2)))</f>
        <v>-321</v>
      </c>
      <c r="E208" s="6">
        <f>VALUE(MID($W208,L208+1,M208-(L208+1)))</f>
        <v>-777</v>
      </c>
      <c r="F208" s="6">
        <f>VALUE(MID($W208,M208+1,N208-(M208+1)))</f>
        <v>4404</v>
      </c>
      <c r="G208" s="6">
        <f>VALUE(MID($W208,N208+1,O208-(N208+1)))</f>
        <v>328</v>
      </c>
      <c r="H208" s="6">
        <f>VALUE(MID($W208,O208+1,P208-(O208+1)))</f>
        <v>1318</v>
      </c>
      <c r="I208" s="6">
        <f>VALUE(MID($W208,P208+1,Q208-(P208+1)))</f>
        <v>3171</v>
      </c>
      <c r="J208" s="6">
        <f>VALUE(MID($W208,Q208+1,R208-(Q208+1)))</f>
        <v>4746</v>
      </c>
      <c r="K208" s="4">
        <f>VALUE(MID(W208,R208+1,LEN(W208)-(R208)))</f>
        <v>4496</v>
      </c>
      <c r="L208" s="4">
        <f>SEARCH(",",W208,X208)</f>
        <v>15</v>
      </c>
      <c r="M208" s="4">
        <f>SEARCH(",",$W208,L208+1)</f>
        <v>21</v>
      </c>
      <c r="N208" s="4">
        <f>SEARCH(",",$W208,M208+1)</f>
        <v>27</v>
      </c>
      <c r="O208" s="4">
        <f>SEARCH(",",$W208,N208+1)</f>
        <v>32</v>
      </c>
      <c r="P208" s="4">
        <f>SEARCH(",",$W208,O208+1)</f>
        <v>38</v>
      </c>
      <c r="Q208" s="4">
        <f>SEARCH(",",$W208,P208+1)</f>
        <v>44</v>
      </c>
      <c r="R208" s="4">
        <f>SEARCH(",",$W208,Q208+1)</f>
        <v>50</v>
      </c>
      <c r="T208" t="s">
        <v>866</v>
      </c>
      <c r="U208">
        <f>SEARCH(":",T208)</f>
        <v>6</v>
      </c>
      <c r="V208" t="str">
        <f>MID(T208,U208+1,LEN(T208)-(U208))</f>
        <v xml:space="preserve"> 299680 ** -321, -777, 4404, 328, 1318, 3171, 4746, 4496</v>
      </c>
      <c r="W208" t="str">
        <f>TRIM(V208)</f>
        <v>299680 ** -321, -777, 4404, 328, 1318, 3171, 4746, 4496</v>
      </c>
      <c r="X208">
        <f>SEARCH("~*",W208)</f>
        <v>8</v>
      </c>
      <c r="Y208" t="str">
        <f>LEFT(W208,X208-1)</f>
        <v xml:space="preserve">299680 </v>
      </c>
      <c r="AA208" t="str">
        <f>CONCATENATE(A208,",",D208,",",E208,",",F208,",",G208,",",H208,",",I208,",",J208,",",K208)</f>
        <v>299680,-321,-777,4404,328,1318,3171,4746,4496</v>
      </c>
    </row>
    <row r="209" spans="1:27">
      <c r="A209" s="1">
        <f>IF(ISBLANK(T209),"",VALUE(Y209))</f>
        <v>297599</v>
      </c>
      <c r="B209" s="1">
        <f>A209*4/10 -18</f>
        <v>119021.6</v>
      </c>
      <c r="C209" s="3">
        <f>B209/7000000</f>
        <v>1.7003085714285715E-2</v>
      </c>
      <c r="D209" s="6">
        <f>VALUE(MID(W209,$X209+2,L209-(X209+2)))</f>
        <v>-322</v>
      </c>
      <c r="E209" s="6">
        <f>VALUE(MID($W209,L209+1,M209-(L209+1)))</f>
        <v>-778</v>
      </c>
      <c r="F209" s="6">
        <f>VALUE(MID($W209,M209+1,N209-(M209+1)))</f>
        <v>4401</v>
      </c>
      <c r="G209" s="6">
        <f>VALUE(MID($W209,N209+1,O209-(N209+1)))</f>
        <v>326</v>
      </c>
      <c r="H209" s="6">
        <f>VALUE(MID($W209,O209+1,P209-(O209+1)))</f>
        <v>1316</v>
      </c>
      <c r="I209" s="6">
        <f>VALUE(MID($W209,P209+1,Q209-(P209+1)))</f>
        <v>3170</v>
      </c>
      <c r="J209" s="6">
        <f>VALUE(MID($W209,Q209+1,R209-(Q209+1)))</f>
        <v>4739</v>
      </c>
      <c r="K209" s="4">
        <f>VALUE(MID(W209,R209+1,LEN(W209)-(R209)))</f>
        <v>4500</v>
      </c>
      <c r="L209" s="4">
        <f>SEARCH(",",W209,X209)</f>
        <v>15</v>
      </c>
      <c r="M209" s="4">
        <f>SEARCH(",",$W209,L209+1)</f>
        <v>21</v>
      </c>
      <c r="N209" s="4">
        <f>SEARCH(",",$W209,M209+1)</f>
        <v>27</v>
      </c>
      <c r="O209" s="4">
        <f>SEARCH(",",$W209,N209+1)</f>
        <v>32</v>
      </c>
      <c r="P209" s="4">
        <f>SEARCH(",",$W209,O209+1)</f>
        <v>38</v>
      </c>
      <c r="Q209" s="4">
        <f>SEARCH(",",$W209,P209+1)</f>
        <v>44</v>
      </c>
      <c r="R209" s="4">
        <f>SEARCH(",",$W209,Q209+1)</f>
        <v>50</v>
      </c>
      <c r="T209" t="s">
        <v>847</v>
      </c>
      <c r="U209">
        <f>SEARCH(":",T209)</f>
        <v>6</v>
      </c>
      <c r="V209" t="str">
        <f>MID(T209,U209+1,LEN(T209)-(U209))</f>
        <v xml:space="preserve"> 297599 ** -322, -778, 4401, 326, 1316, 3170, 4739, 4500</v>
      </c>
      <c r="W209" t="str">
        <f>TRIM(V209)</f>
        <v>297599 ** -322, -778, 4401, 326, 1316, 3170, 4739, 4500</v>
      </c>
      <c r="X209">
        <f>SEARCH("~*",W209)</f>
        <v>8</v>
      </c>
      <c r="Y209" t="str">
        <f>LEFT(W209,X209-1)</f>
        <v xml:space="preserve">297599 </v>
      </c>
      <c r="AA209" t="str">
        <f>CONCATENATE(A209,",",D209,",",E209,",",F209,",",G209,",",H209,",",I209,",",J209,",",K209)</f>
        <v>297599,-322,-778,4401,326,1316,3170,4739,4500</v>
      </c>
    </row>
    <row r="210" spans="1:27">
      <c r="A210" s="1">
        <f>IF(ISBLANK(T210),"",VALUE(Y210))</f>
        <v>295482</v>
      </c>
      <c r="B210" s="1">
        <f>A210*4/10 -18</f>
        <v>118174.8</v>
      </c>
      <c r="C210" s="3">
        <f>B210/7000000</f>
        <v>1.6882114285714286E-2</v>
      </c>
      <c r="D210" s="6">
        <f>VALUE(MID(W210,$X210+2,L210-(X210+2)))</f>
        <v>-315</v>
      </c>
      <c r="E210" s="6">
        <f>VALUE(MID($W210,L210+1,M210-(L210+1)))</f>
        <v>-782</v>
      </c>
      <c r="F210" s="6">
        <f>VALUE(MID($W210,M210+1,N210-(M210+1)))</f>
        <v>4406</v>
      </c>
      <c r="G210" s="6">
        <f>VALUE(MID($W210,N210+1,O210-(N210+1)))</f>
        <v>324</v>
      </c>
      <c r="H210" s="6">
        <f>VALUE(MID($W210,O210+1,P210-(O210+1)))</f>
        <v>1312</v>
      </c>
      <c r="I210" s="6">
        <f>VALUE(MID($W210,P210+1,Q210-(P210+1)))</f>
        <v>3173</v>
      </c>
      <c r="J210" s="6">
        <f>VALUE(MID($W210,Q210+1,R210-(Q210+1)))</f>
        <v>4747</v>
      </c>
      <c r="K210" s="4">
        <f>VALUE(MID(W210,R210+1,LEN(W210)-(R210)))</f>
        <v>4493</v>
      </c>
      <c r="L210" s="4">
        <f>SEARCH(",",W210,X210)</f>
        <v>15</v>
      </c>
      <c r="M210" s="4">
        <f>SEARCH(",",$W210,L210+1)</f>
        <v>21</v>
      </c>
      <c r="N210" s="4">
        <f>SEARCH(",",$W210,M210+1)</f>
        <v>27</v>
      </c>
      <c r="O210" s="4">
        <f>SEARCH(",",$W210,N210+1)</f>
        <v>32</v>
      </c>
      <c r="P210" s="4">
        <f>SEARCH(",",$W210,O210+1)</f>
        <v>38</v>
      </c>
      <c r="Q210" s="4">
        <f>SEARCH(",",$W210,P210+1)</f>
        <v>44</v>
      </c>
      <c r="R210" s="4">
        <f>SEARCH(",",$W210,Q210+1)</f>
        <v>50</v>
      </c>
      <c r="T210" t="s">
        <v>609</v>
      </c>
      <c r="U210">
        <f>SEARCH(":",T210)</f>
        <v>6</v>
      </c>
      <c r="V210" t="str">
        <f>MID(T210,U210+1,LEN(T210)-(U210))</f>
        <v xml:space="preserve"> 295482 ** -315, -782, 4406, 324, 1312, 3173, 4747, 4493</v>
      </c>
      <c r="W210" t="str">
        <f>TRIM(V210)</f>
        <v>295482 ** -315, -782, 4406, 324, 1312, 3173, 4747, 4493</v>
      </c>
      <c r="X210">
        <f>SEARCH("~*",W210)</f>
        <v>8</v>
      </c>
      <c r="Y210" t="str">
        <f>LEFT(W210,X210-1)</f>
        <v xml:space="preserve">295482 </v>
      </c>
      <c r="AA210" t="str">
        <f>CONCATENATE(A210,",",D210,",",E210,",",F210,",",G210,",",H210,",",I210,",",J210,",",K210)</f>
        <v>295482,-315,-782,4406,324,1312,3173,4747,4493</v>
      </c>
    </row>
    <row r="211" spans="1:27">
      <c r="A211" s="1">
        <f>IF(ISBLANK(T211),"",VALUE(Y211))</f>
        <v>288988</v>
      </c>
      <c r="B211" s="1">
        <f>A211*4/10 -18</f>
        <v>115577.2</v>
      </c>
      <c r="C211" s="3">
        <f>B211/7000000</f>
        <v>1.6511028571428572E-2</v>
      </c>
      <c r="D211" s="6">
        <f>VALUE(MID(W211,$X211+2,L211-(X211+2)))</f>
        <v>-319</v>
      </c>
      <c r="E211" s="6">
        <f>VALUE(MID($W211,L211+1,M211-(L211+1)))</f>
        <v>-778</v>
      </c>
      <c r="F211" s="6">
        <f>VALUE(MID($W211,M211+1,N211-(M211+1)))</f>
        <v>4406</v>
      </c>
      <c r="G211" s="6">
        <f>VALUE(MID($W211,N211+1,O211-(N211+1)))</f>
        <v>324</v>
      </c>
      <c r="H211" s="6">
        <f>VALUE(MID($W211,O211+1,P211-(O211+1)))</f>
        <v>1315</v>
      </c>
      <c r="I211" s="6">
        <f>VALUE(MID($W211,P211+1,Q211-(P211+1)))</f>
        <v>3169</v>
      </c>
      <c r="J211" s="6">
        <f>VALUE(MID($W211,Q211+1,R211-(Q211+1)))</f>
        <v>4743</v>
      </c>
      <c r="K211" s="4">
        <f>VALUE(MID(W211,R211+1,LEN(W211)-(R211)))</f>
        <v>4492</v>
      </c>
      <c r="L211" s="4">
        <f>SEARCH(",",W211,X211)</f>
        <v>15</v>
      </c>
      <c r="M211" s="4">
        <f>SEARCH(",",$W211,L211+1)</f>
        <v>21</v>
      </c>
      <c r="N211" s="4">
        <f>SEARCH(",",$W211,M211+1)</f>
        <v>27</v>
      </c>
      <c r="O211" s="4">
        <f>SEARCH(",",$W211,N211+1)</f>
        <v>32</v>
      </c>
      <c r="P211" s="4">
        <f>SEARCH(",",$W211,O211+1)</f>
        <v>38</v>
      </c>
      <c r="Q211" s="4">
        <f>SEARCH(",",$W211,P211+1)</f>
        <v>44</v>
      </c>
      <c r="R211" s="4">
        <f>SEARCH(",",$W211,Q211+1)</f>
        <v>50</v>
      </c>
      <c r="T211" t="s">
        <v>774</v>
      </c>
      <c r="U211">
        <f>SEARCH(":",T211)</f>
        <v>6</v>
      </c>
      <c r="V211" t="str">
        <f>MID(T211,U211+1,LEN(T211)-(U211))</f>
        <v xml:space="preserve"> 288988 ** -319, -778, 4406, 324, 1315, 3169, 4743, 4492</v>
      </c>
      <c r="W211" t="str">
        <f>TRIM(V211)</f>
        <v>288988 ** -319, -778, 4406, 324, 1315, 3169, 4743, 4492</v>
      </c>
      <c r="X211">
        <f>SEARCH("~*",W211)</f>
        <v>8</v>
      </c>
      <c r="Y211" t="str">
        <f>LEFT(W211,X211-1)</f>
        <v xml:space="preserve">288988 </v>
      </c>
      <c r="AA211" t="str">
        <f>CONCATENATE(A211,",",D211,",",E211,",",F211,",",G211,",",H211,",",I211,",",J211,",",K211)</f>
        <v>288988,-319,-778,4406,324,1315,3169,4743,4492</v>
      </c>
    </row>
    <row r="212" spans="1:27">
      <c r="A212" s="1">
        <f>IF(ISBLANK(T212),"",VALUE(Y212))</f>
        <v>283339</v>
      </c>
      <c r="B212" s="1">
        <f>A212*4/10 -18</f>
        <v>113317.6</v>
      </c>
      <c r="C212" s="3">
        <f>B212/7000000</f>
        <v>1.6188228571428574E-2</v>
      </c>
      <c r="D212" s="6">
        <f>VALUE(MID(W212,$X212+2,L212-(X212+2)))</f>
        <v>-322</v>
      </c>
      <c r="E212" s="6">
        <f>VALUE(MID($W212,L212+1,M212-(L212+1)))</f>
        <v>-775</v>
      </c>
      <c r="F212" s="6">
        <f>VALUE(MID($W212,M212+1,N212-(M212+1)))</f>
        <v>4403</v>
      </c>
      <c r="G212" s="6">
        <f>VALUE(MID($W212,N212+1,O212-(N212+1)))</f>
        <v>323</v>
      </c>
      <c r="H212" s="6">
        <f>VALUE(MID($W212,O212+1,P212-(O212+1)))</f>
        <v>1316</v>
      </c>
      <c r="I212" s="6">
        <f>VALUE(MID($W212,P212+1,Q212-(P212+1)))</f>
        <v>3166</v>
      </c>
      <c r="J212" s="6">
        <f>VALUE(MID($W212,Q212+1,R212-(Q212+1)))</f>
        <v>4744</v>
      </c>
      <c r="K212" s="4">
        <f>VALUE(MID(W212,R212+1,LEN(W212)-(R212)))</f>
        <v>4495</v>
      </c>
      <c r="L212" s="4">
        <f>SEARCH(",",W212,X212)</f>
        <v>15</v>
      </c>
      <c r="M212" s="4">
        <f>SEARCH(",",$W212,L212+1)</f>
        <v>21</v>
      </c>
      <c r="N212" s="4">
        <f>SEARCH(",",$W212,M212+1)</f>
        <v>27</v>
      </c>
      <c r="O212" s="4">
        <f>SEARCH(",",$W212,N212+1)</f>
        <v>32</v>
      </c>
      <c r="P212" s="4">
        <f>SEARCH(",",$W212,O212+1)</f>
        <v>38</v>
      </c>
      <c r="Q212" s="4">
        <f>SEARCH(",",$W212,P212+1)</f>
        <v>44</v>
      </c>
      <c r="R212" s="4">
        <f>SEARCH(",",$W212,Q212+1)</f>
        <v>50</v>
      </c>
      <c r="T212" t="s">
        <v>841</v>
      </c>
      <c r="U212">
        <f>SEARCH(":",T212)</f>
        <v>6</v>
      </c>
      <c r="V212" t="str">
        <f>MID(T212,U212+1,LEN(T212)-(U212))</f>
        <v xml:space="preserve"> 283339 ** -322, -775, 4403, 323, 1316, 3166, 4744, 4495</v>
      </c>
      <c r="W212" t="str">
        <f>TRIM(V212)</f>
        <v>283339 ** -322, -775, 4403, 323, 1316, 3166, 4744, 4495</v>
      </c>
      <c r="X212">
        <f>SEARCH("~*",W212)</f>
        <v>8</v>
      </c>
      <c r="Y212" t="str">
        <f>LEFT(W212,X212-1)</f>
        <v xml:space="preserve">283339 </v>
      </c>
      <c r="AA212" t="str">
        <f>CONCATENATE(A212,",",D212,",",E212,",",F212,",",G212,",",H212,",",I212,",",J212,",",K212)</f>
        <v>283339,-322,-775,4403,323,1316,3166,4744,4495</v>
      </c>
    </row>
    <row r="213" spans="1:27">
      <c r="A213" s="1">
        <f>IF(ISBLANK(T213),"",VALUE(Y213))</f>
        <v>282353</v>
      </c>
      <c r="B213" s="1">
        <f>A213*4/10 -18</f>
        <v>112923.2</v>
      </c>
      <c r="C213" s="3">
        <f>B213/7000000</f>
        <v>1.6131885714285712E-2</v>
      </c>
      <c r="D213" s="6">
        <f>VALUE(MID(W213,$X213+2,L213-(X213+2)))</f>
        <v>-320</v>
      </c>
      <c r="E213" s="6">
        <f>VALUE(MID($W213,L213+1,M213-(L213+1)))</f>
        <v>-778</v>
      </c>
      <c r="F213" s="6">
        <f>VALUE(MID($W213,M213+1,N213-(M213+1)))</f>
        <v>4407</v>
      </c>
      <c r="G213" s="6">
        <f>VALUE(MID($W213,N213+1,O213-(N213+1)))</f>
        <v>329</v>
      </c>
      <c r="H213" s="6">
        <f>VALUE(MID($W213,O213+1,P213-(O213+1)))</f>
        <v>1316</v>
      </c>
      <c r="I213" s="6">
        <f>VALUE(MID($W213,P213+1,Q213-(P213+1)))</f>
        <v>3168</v>
      </c>
      <c r="J213" s="6">
        <f>VALUE(MID($W213,Q213+1,R213-(Q213+1)))</f>
        <v>4743</v>
      </c>
      <c r="K213" s="4">
        <f>VALUE(MID(W213,R213+1,LEN(W213)-(R213)))</f>
        <v>4498</v>
      </c>
      <c r="L213" s="4">
        <f>SEARCH(",",W213,X213)</f>
        <v>15</v>
      </c>
      <c r="M213" s="4">
        <f>SEARCH(",",$W213,L213+1)</f>
        <v>21</v>
      </c>
      <c r="N213" s="4">
        <f>SEARCH(",",$W213,M213+1)</f>
        <v>27</v>
      </c>
      <c r="O213" s="4">
        <f>SEARCH(",",$W213,N213+1)</f>
        <v>32</v>
      </c>
      <c r="P213" s="4">
        <f>SEARCH(",",$W213,O213+1)</f>
        <v>38</v>
      </c>
      <c r="Q213" s="4">
        <f>SEARCH(",",$W213,P213+1)</f>
        <v>44</v>
      </c>
      <c r="R213" s="4">
        <f>SEARCH(",",$W213,Q213+1)</f>
        <v>50</v>
      </c>
      <c r="T213" t="s">
        <v>601</v>
      </c>
      <c r="U213">
        <f>SEARCH(":",T213)</f>
        <v>6</v>
      </c>
      <c r="V213" t="str">
        <f>MID(T213,U213+1,LEN(T213)-(U213))</f>
        <v xml:space="preserve"> 282353 ** -320, -778, 4407, 329, 1316, 3168, 4743, 4498</v>
      </c>
      <c r="W213" t="str">
        <f>TRIM(V213)</f>
        <v>282353 ** -320, -778, 4407, 329, 1316, 3168, 4743, 4498</v>
      </c>
      <c r="X213">
        <f>SEARCH("~*",W213)</f>
        <v>8</v>
      </c>
      <c r="Y213" t="str">
        <f>LEFT(W213,X213-1)</f>
        <v xml:space="preserve">282353 </v>
      </c>
      <c r="AA213" t="str">
        <f>CONCATENATE(A213,",",D213,",",E213,",",F213,",",G213,",",H213,",",I213,",",J213,",",K213)</f>
        <v>282353,-320,-778,4407,329,1316,3168,4743,4498</v>
      </c>
    </row>
    <row r="214" spans="1:27">
      <c r="A214" s="1">
        <f>IF(ISBLANK(T214),"",VALUE(Y214))</f>
        <v>281165</v>
      </c>
      <c r="B214" s="1">
        <f>A214*4/10 -18</f>
        <v>112448</v>
      </c>
      <c r="C214" s="3">
        <f>B214/7000000</f>
        <v>1.6063999999999998E-2</v>
      </c>
      <c r="D214" s="6">
        <f>VALUE(MID(W214,$X214+2,L214-(X214+2)))</f>
        <v>-316</v>
      </c>
      <c r="E214" s="6">
        <f>VALUE(MID($W214,L214+1,M214-(L214+1)))</f>
        <v>-775</v>
      </c>
      <c r="F214" s="6">
        <f>VALUE(MID($W214,M214+1,N214-(M214+1)))</f>
        <v>4406</v>
      </c>
      <c r="G214" s="6">
        <f>VALUE(MID($W214,N214+1,O214-(N214+1)))</f>
        <v>320</v>
      </c>
      <c r="H214" s="6">
        <f>VALUE(MID($W214,O214+1,P214-(O214+1)))</f>
        <v>1317</v>
      </c>
      <c r="I214" s="6">
        <f>VALUE(MID($W214,P214+1,Q214-(P214+1)))</f>
        <v>3170</v>
      </c>
      <c r="J214" s="6">
        <f>VALUE(MID($W214,Q214+1,R214-(Q214+1)))</f>
        <v>4743</v>
      </c>
      <c r="K214" s="4">
        <f>VALUE(MID(W214,R214+1,LEN(W214)-(R214)))</f>
        <v>4492</v>
      </c>
      <c r="L214" s="4">
        <f>SEARCH(",",W214,X214)</f>
        <v>15</v>
      </c>
      <c r="M214" s="4">
        <f>SEARCH(",",$W214,L214+1)</f>
        <v>21</v>
      </c>
      <c r="N214" s="4">
        <f>SEARCH(",",$W214,M214+1)</f>
        <v>27</v>
      </c>
      <c r="O214" s="4">
        <f>SEARCH(",",$W214,N214+1)</f>
        <v>32</v>
      </c>
      <c r="P214" s="4">
        <f>SEARCH(",",$W214,O214+1)</f>
        <v>38</v>
      </c>
      <c r="Q214" s="4">
        <f>SEARCH(",",$W214,P214+1)</f>
        <v>44</v>
      </c>
      <c r="R214" s="4">
        <f>SEARCH(",",$W214,Q214+1)</f>
        <v>50</v>
      </c>
      <c r="T214" t="s">
        <v>761</v>
      </c>
      <c r="U214">
        <f>SEARCH(":",T214)</f>
        <v>6</v>
      </c>
      <c r="V214" t="str">
        <f>MID(T214,U214+1,LEN(T214)-(U214))</f>
        <v xml:space="preserve"> 281165 ** -316, -775, 4406, 320, 1317, 3170, 4743, 4492</v>
      </c>
      <c r="W214" t="str">
        <f>TRIM(V214)</f>
        <v>281165 ** -316, -775, 4406, 320, 1317, 3170, 4743, 4492</v>
      </c>
      <c r="X214">
        <f>SEARCH("~*",W214)</f>
        <v>8</v>
      </c>
      <c r="Y214" t="str">
        <f>LEFT(W214,X214-1)</f>
        <v xml:space="preserve">281165 </v>
      </c>
      <c r="AA214" t="str">
        <f>CONCATENATE(A214,",",D214,",",E214,",",F214,",",G214,",",H214,",",I214,",",J214,",",K214)</f>
        <v>281165,-316,-775,4406,320,1317,3170,4743,4492</v>
      </c>
    </row>
    <row r="215" spans="1:27">
      <c r="A215" s="1">
        <f>IF(ISBLANK(T215),"",VALUE(Y215))</f>
        <v>276378</v>
      </c>
      <c r="B215" s="1">
        <f>A215*4/10 -18</f>
        <v>110533.2</v>
      </c>
      <c r="C215" s="3">
        <f>B215/7000000</f>
        <v>1.5790457142857144E-2</v>
      </c>
      <c r="D215" s="6">
        <f>VALUE(MID(W215,$X215+2,L215-(X215+2)))</f>
        <v>-316</v>
      </c>
      <c r="E215" s="6">
        <f>VALUE(MID($W215,L215+1,M215-(L215+1)))</f>
        <v>-781</v>
      </c>
      <c r="F215" s="6">
        <f>VALUE(MID($W215,M215+1,N215-(M215+1)))</f>
        <v>4407</v>
      </c>
      <c r="G215" s="6">
        <f>VALUE(MID($W215,N215+1,O215-(N215+1)))</f>
        <v>322</v>
      </c>
      <c r="H215" s="6">
        <f>VALUE(MID($W215,O215+1,P215-(O215+1)))</f>
        <v>1314</v>
      </c>
      <c r="I215" s="6">
        <f>VALUE(MID($W215,P215+1,Q215-(P215+1)))</f>
        <v>3172</v>
      </c>
      <c r="J215" s="6">
        <f>VALUE(MID($W215,Q215+1,R215-(Q215+1)))</f>
        <v>4739</v>
      </c>
      <c r="K215" s="4">
        <f>VALUE(MID(W215,R215+1,LEN(W215)-(R215)))</f>
        <v>4493</v>
      </c>
      <c r="L215" s="4">
        <f>SEARCH(",",W215,X215)</f>
        <v>15</v>
      </c>
      <c r="M215" s="4">
        <f>SEARCH(",",$W215,L215+1)</f>
        <v>21</v>
      </c>
      <c r="N215" s="4">
        <f>SEARCH(",",$W215,M215+1)</f>
        <v>27</v>
      </c>
      <c r="O215" s="4">
        <f>SEARCH(",",$W215,N215+1)</f>
        <v>32</v>
      </c>
      <c r="P215" s="4">
        <f>SEARCH(",",$W215,O215+1)</f>
        <v>38</v>
      </c>
      <c r="Q215" s="4">
        <f>SEARCH(",",$W215,P215+1)</f>
        <v>44</v>
      </c>
      <c r="R215" s="4">
        <f>SEARCH(",",$W215,Q215+1)</f>
        <v>50</v>
      </c>
      <c r="T215" t="s">
        <v>738</v>
      </c>
      <c r="U215">
        <f>SEARCH(":",T215)</f>
        <v>6</v>
      </c>
      <c r="V215" t="str">
        <f>MID(T215,U215+1,LEN(T215)-(U215))</f>
        <v xml:space="preserve"> 276378 ** -316, -781, 4407, 322, 1314, 3172, 4739, 4493</v>
      </c>
      <c r="W215" t="str">
        <f>TRIM(V215)</f>
        <v>276378 ** -316, -781, 4407, 322, 1314, 3172, 4739, 4493</v>
      </c>
      <c r="X215">
        <f>SEARCH("~*",W215)</f>
        <v>8</v>
      </c>
      <c r="Y215" t="str">
        <f>LEFT(W215,X215-1)</f>
        <v xml:space="preserve">276378 </v>
      </c>
      <c r="AA215" t="str">
        <f>CONCATENATE(A215,",",D215,",",E215,",",F215,",",G215,",",H215,",",I215,",",J215,",",K215)</f>
        <v>276378,-316,-781,4407,322,1314,3172,4739,4493</v>
      </c>
    </row>
    <row r="216" spans="1:27">
      <c r="A216" s="1">
        <f>IF(ISBLANK(T216),"",VALUE(Y216))</f>
        <v>274709</v>
      </c>
      <c r="B216" s="1">
        <f>A216*4/10 -18</f>
        <v>109865.60000000001</v>
      </c>
      <c r="C216" s="3">
        <f>B216/7000000</f>
        <v>1.5695085714285715E-2</v>
      </c>
      <c r="D216" s="6">
        <f>VALUE(MID(W216,$X216+2,L216-(X216+2)))</f>
        <v>-315</v>
      </c>
      <c r="E216" s="6">
        <f>VALUE(MID($W216,L216+1,M216-(L216+1)))</f>
        <v>-778</v>
      </c>
      <c r="F216" s="6">
        <f>VALUE(MID($W216,M216+1,N216-(M216+1)))</f>
        <v>4405</v>
      </c>
      <c r="G216" s="6">
        <f>VALUE(MID($W216,N216+1,O216-(N216+1)))</f>
        <v>327</v>
      </c>
      <c r="H216" s="6">
        <f>VALUE(MID($W216,O216+1,P216-(O216+1)))</f>
        <v>1312</v>
      </c>
      <c r="I216" s="6">
        <f>VALUE(MID($W216,P216+1,Q216-(P216+1)))</f>
        <v>3166</v>
      </c>
      <c r="J216" s="6">
        <f>VALUE(MID($W216,Q216+1,R216-(Q216+1)))</f>
        <v>4740</v>
      </c>
      <c r="K216" s="4">
        <f>VALUE(MID(W216,R216+1,LEN(W216)-(R216)))</f>
        <v>4494</v>
      </c>
      <c r="L216" s="4">
        <f>SEARCH(",",W216,X216)</f>
        <v>15</v>
      </c>
      <c r="M216" s="4">
        <f>SEARCH(",",$W216,L216+1)</f>
        <v>21</v>
      </c>
      <c r="N216" s="4">
        <f>SEARCH(",",$W216,M216+1)</f>
        <v>27</v>
      </c>
      <c r="O216" s="4">
        <f>SEARCH(",",$W216,N216+1)</f>
        <v>32</v>
      </c>
      <c r="P216" s="4">
        <f>SEARCH(",",$W216,O216+1)</f>
        <v>38</v>
      </c>
      <c r="Q216" s="4">
        <f>SEARCH(",",$W216,P216+1)</f>
        <v>44</v>
      </c>
      <c r="R216" s="4">
        <f>SEARCH(",",$W216,Q216+1)</f>
        <v>50</v>
      </c>
      <c r="T216" t="s">
        <v>806</v>
      </c>
      <c r="U216">
        <f>SEARCH(":",T216)</f>
        <v>6</v>
      </c>
      <c r="V216" t="str">
        <f>MID(T216,U216+1,LEN(T216)-(U216))</f>
        <v xml:space="preserve"> 274709 ** -315, -778, 4405, 327, 1312, 3166, 4740, 4494</v>
      </c>
      <c r="W216" t="str">
        <f>TRIM(V216)</f>
        <v>274709 ** -315, -778, 4405, 327, 1312, 3166, 4740, 4494</v>
      </c>
      <c r="X216">
        <f>SEARCH("~*",W216)</f>
        <v>8</v>
      </c>
      <c r="Y216" t="str">
        <f>LEFT(W216,X216-1)</f>
        <v xml:space="preserve">274709 </v>
      </c>
      <c r="AA216" t="str">
        <f>CONCATENATE(A216,",",D216,",",E216,",",F216,",",G216,",",H216,",",I216,",",J216,",",K216)</f>
        <v>274709,-315,-778,4405,327,1312,3166,4740,4494</v>
      </c>
    </row>
    <row r="217" spans="1:27">
      <c r="A217" s="1">
        <f>IF(ISBLANK(T217),"",VALUE(Y217))</f>
        <v>272820</v>
      </c>
      <c r="B217" s="1">
        <f>A217*4/10 -18</f>
        <v>109110</v>
      </c>
      <c r="C217" s="3">
        <f>B217/7000000</f>
        <v>1.5587142857142857E-2</v>
      </c>
      <c r="D217" s="6">
        <f>VALUE(MID(W217,$X217+2,L217-(X217+2)))</f>
        <v>-322</v>
      </c>
      <c r="E217" s="6">
        <f>VALUE(MID($W217,L217+1,M217-(L217+1)))</f>
        <v>-776</v>
      </c>
      <c r="F217" s="6">
        <f>VALUE(MID($W217,M217+1,N217-(M217+1)))</f>
        <v>4401</v>
      </c>
      <c r="G217" s="6">
        <f>VALUE(MID($W217,N217+1,O217-(N217+1)))</f>
        <v>320</v>
      </c>
      <c r="H217" s="6">
        <f>VALUE(MID($W217,O217+1,P217-(O217+1)))</f>
        <v>1316</v>
      </c>
      <c r="I217" s="6">
        <f>VALUE(MID($W217,P217+1,Q217-(P217+1)))</f>
        <v>3172</v>
      </c>
      <c r="J217" s="6">
        <f>VALUE(MID($W217,Q217+1,R217-(Q217+1)))</f>
        <v>4742</v>
      </c>
      <c r="K217" s="4">
        <f>VALUE(MID(W217,R217+1,LEN(W217)-(R217)))</f>
        <v>4500</v>
      </c>
      <c r="L217" s="4">
        <f>SEARCH(",",W217,X217)</f>
        <v>15</v>
      </c>
      <c r="M217" s="4">
        <f>SEARCH(",",$W217,L217+1)</f>
        <v>21</v>
      </c>
      <c r="N217" s="4">
        <f>SEARCH(",",$W217,M217+1)</f>
        <v>27</v>
      </c>
      <c r="O217" s="4">
        <f>SEARCH(",",$W217,N217+1)</f>
        <v>32</v>
      </c>
      <c r="P217" s="4">
        <f>SEARCH(",",$W217,O217+1)</f>
        <v>38</v>
      </c>
      <c r="Q217" s="4">
        <f>SEARCH(",",$W217,P217+1)</f>
        <v>44</v>
      </c>
      <c r="R217" s="4">
        <f>SEARCH(",",$W217,Q217+1)</f>
        <v>50</v>
      </c>
      <c r="T217" t="s">
        <v>808</v>
      </c>
      <c r="U217">
        <f>SEARCH(":",T217)</f>
        <v>6</v>
      </c>
      <c r="V217" t="str">
        <f>MID(T217,U217+1,LEN(T217)-(U217))</f>
        <v xml:space="preserve"> 272820 ** -322, -776, 4401, 320, 1316, 3172, 4742, 4500</v>
      </c>
      <c r="W217" t="str">
        <f>TRIM(V217)</f>
        <v>272820 ** -322, -776, 4401, 320, 1316, 3172, 4742, 4500</v>
      </c>
      <c r="X217">
        <f>SEARCH("~*",W217)</f>
        <v>8</v>
      </c>
      <c r="Y217" t="str">
        <f>LEFT(W217,X217-1)</f>
        <v xml:space="preserve">272820 </v>
      </c>
      <c r="AA217" t="str">
        <f>CONCATENATE(A217,",",D217,",",E217,",",F217,",",G217,",",H217,",",I217,",",J217,",",K217)</f>
        <v>272820,-322,-776,4401,320,1316,3172,4742,4500</v>
      </c>
    </row>
    <row r="218" spans="1:27">
      <c r="A218" s="1">
        <f>IF(ISBLANK(T218),"",VALUE(Y218))</f>
        <v>270467</v>
      </c>
      <c r="B218" s="1">
        <f>A218*4/10 -18</f>
        <v>108168.8</v>
      </c>
      <c r="C218" s="3">
        <f>B218/7000000</f>
        <v>1.5452685714285715E-2</v>
      </c>
      <c r="D218" s="6">
        <f>VALUE(MID(W218,$X218+2,L218-(X218+2)))</f>
        <v>-316</v>
      </c>
      <c r="E218" s="6">
        <f>VALUE(MID($W218,L218+1,M218-(L218+1)))</f>
        <v>-778</v>
      </c>
      <c r="F218" s="6">
        <f>VALUE(MID($W218,M218+1,N218-(M218+1)))</f>
        <v>4402</v>
      </c>
      <c r="G218" s="6">
        <f>VALUE(MID($W218,N218+1,O218-(N218+1)))</f>
        <v>327</v>
      </c>
      <c r="H218" s="6">
        <f>VALUE(MID($W218,O218+1,P218-(O218+1)))</f>
        <v>1312</v>
      </c>
      <c r="I218" s="6">
        <f>VALUE(MID($W218,P218+1,Q218-(P218+1)))</f>
        <v>3174</v>
      </c>
      <c r="J218" s="6">
        <f>VALUE(MID($W218,Q218+1,R218-(Q218+1)))</f>
        <v>4742</v>
      </c>
      <c r="K218" s="4">
        <f>VALUE(MID(W218,R218+1,LEN(W218)-(R218)))</f>
        <v>4495</v>
      </c>
      <c r="L218" s="4">
        <f>SEARCH(",",W218,X218)</f>
        <v>15</v>
      </c>
      <c r="M218" s="4">
        <f>SEARCH(",",$W218,L218+1)</f>
        <v>21</v>
      </c>
      <c r="N218" s="4">
        <f>SEARCH(",",$W218,M218+1)</f>
        <v>27</v>
      </c>
      <c r="O218" s="4">
        <f>SEARCH(",",$W218,N218+1)</f>
        <v>32</v>
      </c>
      <c r="P218" s="4">
        <f>SEARCH(",",$W218,O218+1)</f>
        <v>38</v>
      </c>
      <c r="Q218" s="4">
        <f>SEARCH(",",$W218,P218+1)</f>
        <v>44</v>
      </c>
      <c r="R218" s="4">
        <f>SEARCH(",",$W218,Q218+1)</f>
        <v>50</v>
      </c>
      <c r="T218" t="s">
        <v>731</v>
      </c>
      <c r="U218">
        <f>SEARCH(":",T218)</f>
        <v>6</v>
      </c>
      <c r="V218" t="str">
        <f>MID(T218,U218+1,LEN(T218)-(U218))</f>
        <v xml:space="preserve"> 270467 ** -316, -778, 4402, 327, 1312, 3174, 4742, 4495</v>
      </c>
      <c r="W218" t="str">
        <f>TRIM(V218)</f>
        <v>270467 ** -316, -778, 4402, 327, 1312, 3174, 4742, 4495</v>
      </c>
      <c r="X218">
        <f>SEARCH("~*",W218)</f>
        <v>8</v>
      </c>
      <c r="Y218" t="str">
        <f>LEFT(W218,X218-1)</f>
        <v xml:space="preserve">270467 </v>
      </c>
      <c r="AA218" t="str">
        <f>CONCATENATE(A218,",",D218,",",E218,",",F218,",",G218,",",H218,",",I218,",",J218,",",K218)</f>
        <v>270467,-316,-778,4402,327,1312,3174,4742,4495</v>
      </c>
    </row>
    <row r="219" spans="1:27">
      <c r="A219" s="1">
        <f>IF(ISBLANK(T219),"",VALUE(Y219))</f>
        <v>267742</v>
      </c>
      <c r="B219" s="1">
        <f>A219*4/10 -18</f>
        <v>107078.8</v>
      </c>
      <c r="C219" s="3">
        <f>B219/7000000</f>
        <v>1.529697142857143E-2</v>
      </c>
      <c r="D219" s="6">
        <f>VALUE(MID(W219,$X219+2,L219-(X219+2)))</f>
        <v>-324</v>
      </c>
      <c r="E219" s="6">
        <f>VALUE(MID($W219,L219+1,M219-(L219+1)))</f>
        <v>-779</v>
      </c>
      <c r="F219" s="6">
        <f>VALUE(MID($W219,M219+1,N219-(M219+1)))</f>
        <v>4402</v>
      </c>
      <c r="G219" s="6">
        <f>VALUE(MID($W219,N219+1,O219-(N219+1)))</f>
        <v>322</v>
      </c>
      <c r="H219" s="6">
        <f>VALUE(MID($W219,O219+1,P219-(O219+1)))</f>
        <v>1316</v>
      </c>
      <c r="I219" s="6">
        <f>VALUE(MID($W219,P219+1,Q219-(P219+1)))</f>
        <v>3167</v>
      </c>
      <c r="J219" s="6">
        <f>VALUE(MID($W219,Q219+1,R219-(Q219+1)))</f>
        <v>4748</v>
      </c>
      <c r="K219" s="4">
        <f>VALUE(MID(W219,R219+1,LEN(W219)-(R219)))</f>
        <v>4495</v>
      </c>
      <c r="L219" s="4">
        <f>SEARCH(",",W219,X219)</f>
        <v>15</v>
      </c>
      <c r="M219" s="4">
        <f>SEARCH(",",$W219,L219+1)</f>
        <v>21</v>
      </c>
      <c r="N219" s="4">
        <f>SEARCH(",",$W219,M219+1)</f>
        <v>27</v>
      </c>
      <c r="O219" s="4">
        <f>SEARCH(",",$W219,N219+1)</f>
        <v>32</v>
      </c>
      <c r="P219" s="4">
        <f>SEARCH(",",$W219,O219+1)</f>
        <v>38</v>
      </c>
      <c r="Q219" s="4">
        <f>SEARCH(",",$W219,P219+1)</f>
        <v>44</v>
      </c>
      <c r="R219" s="4">
        <f>SEARCH(",",$W219,Q219+1)</f>
        <v>50</v>
      </c>
      <c r="T219" t="s">
        <v>677</v>
      </c>
      <c r="U219">
        <f>SEARCH(":",T219)</f>
        <v>6</v>
      </c>
      <c r="V219" t="str">
        <f>MID(T219,U219+1,LEN(T219)-(U219))</f>
        <v xml:space="preserve"> 267742 ** -324, -779, 4402, 322, 1316, 3167, 4748, 4495</v>
      </c>
      <c r="W219" t="str">
        <f>TRIM(V219)</f>
        <v>267742 ** -324, -779, 4402, 322, 1316, 3167, 4748, 4495</v>
      </c>
      <c r="X219">
        <f>SEARCH("~*",W219)</f>
        <v>8</v>
      </c>
      <c r="Y219" t="str">
        <f>LEFT(W219,X219-1)</f>
        <v xml:space="preserve">267742 </v>
      </c>
      <c r="AA219" t="str">
        <f>CONCATENATE(A219,",",D219,",",E219,",",F219,",",G219,",",H219,",",I219,",",J219,",",K219)</f>
        <v>267742,-324,-779,4402,322,1316,3167,4748,4495</v>
      </c>
    </row>
    <row r="220" spans="1:27">
      <c r="A220" s="1">
        <f>IF(ISBLANK(T220),"",VALUE(Y220))</f>
        <v>261490</v>
      </c>
      <c r="B220" s="1">
        <f>A220*4/10 -18</f>
        <v>104578</v>
      </c>
      <c r="C220" s="3">
        <f>B220/7000000</f>
        <v>1.4939714285714285E-2</v>
      </c>
      <c r="D220" s="6">
        <f>VALUE(MID(W220,$X220+2,L220-(X220+2)))</f>
        <v>-321</v>
      </c>
      <c r="E220" s="6">
        <f>VALUE(MID($W220,L220+1,M220-(L220+1)))</f>
        <v>-773</v>
      </c>
      <c r="F220" s="6">
        <f>VALUE(MID($W220,M220+1,N220-(M220+1)))</f>
        <v>4400</v>
      </c>
      <c r="G220" s="6">
        <f>VALUE(MID($W220,N220+1,O220-(N220+1)))</f>
        <v>324</v>
      </c>
      <c r="H220" s="6">
        <f>VALUE(MID($W220,O220+1,P220-(O220+1)))</f>
        <v>1317</v>
      </c>
      <c r="I220" s="6">
        <f>VALUE(MID($W220,P220+1,Q220-(P220+1)))</f>
        <v>3167</v>
      </c>
      <c r="J220" s="6">
        <f>VALUE(MID($W220,Q220+1,R220-(Q220+1)))</f>
        <v>4743</v>
      </c>
      <c r="K220" s="4">
        <f>VALUE(MID(W220,R220+1,LEN(W220)-(R220)))</f>
        <v>4495</v>
      </c>
      <c r="L220" s="4">
        <f>SEARCH(",",W220,X220)</f>
        <v>15</v>
      </c>
      <c r="M220" s="4">
        <f>SEARCH(",",$W220,L220+1)</f>
        <v>21</v>
      </c>
      <c r="N220" s="4">
        <f>SEARCH(",",$W220,M220+1)</f>
        <v>27</v>
      </c>
      <c r="O220" s="4">
        <f>SEARCH(",",$W220,N220+1)</f>
        <v>32</v>
      </c>
      <c r="P220" s="4">
        <f>SEARCH(",",$W220,O220+1)</f>
        <v>38</v>
      </c>
      <c r="Q220" s="4">
        <f>SEARCH(",",$W220,P220+1)</f>
        <v>44</v>
      </c>
      <c r="R220" s="4">
        <f>SEARCH(",",$W220,Q220+1)</f>
        <v>50</v>
      </c>
      <c r="T220" t="s">
        <v>825</v>
      </c>
      <c r="U220">
        <f>SEARCH(":",T220)</f>
        <v>6</v>
      </c>
      <c r="V220" t="str">
        <f>MID(T220,U220+1,LEN(T220)-(U220))</f>
        <v xml:space="preserve"> 261490 ** -321, -773, 4400, 324, 1317, 3167, 4743, 4495</v>
      </c>
      <c r="W220" t="str">
        <f>TRIM(V220)</f>
        <v>261490 ** -321, -773, 4400, 324, 1317, 3167, 4743, 4495</v>
      </c>
      <c r="X220">
        <f>SEARCH("~*",W220)</f>
        <v>8</v>
      </c>
      <c r="Y220" t="str">
        <f>LEFT(W220,X220-1)</f>
        <v xml:space="preserve">261490 </v>
      </c>
      <c r="AA220" t="str">
        <f>CONCATENATE(A220,",",D220,",",E220,",",F220,",",G220,",",H220,",",I220,",",J220,",",K220)</f>
        <v>261490,-321,-773,4400,324,1317,3167,4743,4495</v>
      </c>
    </row>
    <row r="221" spans="1:27">
      <c r="A221" s="1">
        <f>IF(ISBLANK(T221),"",VALUE(Y221))</f>
        <v>255039</v>
      </c>
      <c r="B221" s="1">
        <f>A221*4/10 -18</f>
        <v>101997.6</v>
      </c>
      <c r="C221" s="3">
        <f>B221/7000000</f>
        <v>1.4571085714285715E-2</v>
      </c>
      <c r="D221" s="6">
        <f>VALUE(MID(W221,$X221+2,L221-(X221+2)))</f>
        <v>-323</v>
      </c>
      <c r="E221" s="6">
        <f>VALUE(MID($W221,L221+1,M221-(L221+1)))</f>
        <v>-775</v>
      </c>
      <c r="F221" s="6">
        <f>VALUE(MID($W221,M221+1,N221-(M221+1)))</f>
        <v>4407</v>
      </c>
      <c r="G221" s="6">
        <f>VALUE(MID($W221,N221+1,O221-(N221+1)))</f>
        <v>321</v>
      </c>
      <c r="H221" s="6">
        <f>VALUE(MID($W221,O221+1,P221-(O221+1)))</f>
        <v>1312</v>
      </c>
      <c r="I221" s="6">
        <f>VALUE(MID($W221,P221+1,Q221-(P221+1)))</f>
        <v>3169</v>
      </c>
      <c r="J221" s="6">
        <f>VALUE(MID($W221,Q221+1,R221-(Q221+1)))</f>
        <v>4740</v>
      </c>
      <c r="K221" s="4">
        <f>VALUE(MID(W221,R221+1,LEN(W221)-(R221)))</f>
        <v>4500</v>
      </c>
      <c r="L221" s="4">
        <f>SEARCH(",",W221,X221)</f>
        <v>15</v>
      </c>
      <c r="M221" s="4">
        <f>SEARCH(",",$W221,L221+1)</f>
        <v>21</v>
      </c>
      <c r="N221" s="4">
        <f>SEARCH(",",$W221,M221+1)</f>
        <v>27</v>
      </c>
      <c r="O221" s="4">
        <f>SEARCH(",",$W221,N221+1)</f>
        <v>32</v>
      </c>
      <c r="P221" s="4">
        <f>SEARCH(",",$W221,O221+1)</f>
        <v>38</v>
      </c>
      <c r="Q221" s="4">
        <f>SEARCH(",",$W221,P221+1)</f>
        <v>44</v>
      </c>
      <c r="R221" s="4">
        <f>SEARCH(",",$W221,Q221+1)</f>
        <v>50</v>
      </c>
      <c r="T221" t="s">
        <v>661</v>
      </c>
      <c r="U221">
        <f>SEARCH(":",T221)</f>
        <v>6</v>
      </c>
      <c r="V221" t="str">
        <f>MID(T221,U221+1,LEN(T221)-(U221))</f>
        <v xml:space="preserve"> 255039 ** -323, -775, 4407, 321, 1312, 3169, 4740, 4500</v>
      </c>
      <c r="W221" t="str">
        <f>TRIM(V221)</f>
        <v>255039 ** -323, -775, 4407, 321, 1312, 3169, 4740, 4500</v>
      </c>
      <c r="X221">
        <f>SEARCH("~*",W221)</f>
        <v>8</v>
      </c>
      <c r="Y221" t="str">
        <f>LEFT(W221,X221-1)</f>
        <v xml:space="preserve">255039 </v>
      </c>
      <c r="AA221" t="str">
        <f>CONCATENATE(A221,",",D221,",",E221,",",F221,",",G221,",",H221,",",I221,",",J221,",",K221)</f>
        <v>255039,-323,-775,4407,321,1312,3169,4740,4500</v>
      </c>
    </row>
    <row r="222" spans="1:27">
      <c r="A222" s="1">
        <f>IF(ISBLANK(T222),"",VALUE(Y222))</f>
        <v>250406</v>
      </c>
      <c r="B222" s="1">
        <f>A222*4/10 -18</f>
        <v>100144.4</v>
      </c>
      <c r="C222" s="3">
        <f>B222/7000000</f>
        <v>1.4306342857142856E-2</v>
      </c>
      <c r="D222" s="6">
        <f>VALUE(MID(W222,$X222+2,L222-(X222+2)))</f>
        <v>-316</v>
      </c>
      <c r="E222" s="6">
        <f>VALUE(MID($W222,L222+1,M222-(L222+1)))</f>
        <v>-777</v>
      </c>
      <c r="F222" s="6">
        <f>VALUE(MID($W222,M222+1,N222-(M222+1)))</f>
        <v>4403</v>
      </c>
      <c r="G222" s="6">
        <f>VALUE(MID($W222,N222+1,O222-(N222+1)))</f>
        <v>327</v>
      </c>
      <c r="H222" s="6">
        <f>VALUE(MID($W222,O222+1,P222-(O222+1)))</f>
        <v>1318</v>
      </c>
      <c r="I222" s="6">
        <f>VALUE(MID($W222,P222+1,Q222-(P222+1)))</f>
        <v>3170</v>
      </c>
      <c r="J222" s="6">
        <f>VALUE(MID($W222,Q222+1,R222-(Q222+1)))</f>
        <v>4746</v>
      </c>
      <c r="K222" s="4">
        <f>VALUE(MID(W222,R222+1,LEN(W222)-(R222)))</f>
        <v>4491</v>
      </c>
      <c r="L222" s="4">
        <f>SEARCH(",",W222,X222)</f>
        <v>15</v>
      </c>
      <c r="M222" s="4">
        <f>SEARCH(",",$W222,L222+1)</f>
        <v>21</v>
      </c>
      <c r="N222" s="4">
        <f>SEARCH(",",$W222,M222+1)</f>
        <v>27</v>
      </c>
      <c r="O222" s="4">
        <f>SEARCH(",",$W222,N222+1)</f>
        <v>32</v>
      </c>
      <c r="P222" s="4">
        <f>SEARCH(",",$W222,O222+1)</f>
        <v>38</v>
      </c>
      <c r="Q222" s="4">
        <f>SEARCH(",",$W222,P222+1)</f>
        <v>44</v>
      </c>
      <c r="R222" s="4">
        <f>SEARCH(",",$W222,Q222+1)</f>
        <v>50</v>
      </c>
      <c r="T222" t="s">
        <v>787</v>
      </c>
      <c r="U222">
        <f>SEARCH(":",T222)</f>
        <v>6</v>
      </c>
      <c r="V222" t="str">
        <f>MID(T222,U222+1,LEN(T222)-(U222))</f>
        <v xml:space="preserve"> 250406 ** -316, -777, 4403, 327, 1318, 3170, 4746, 4491</v>
      </c>
      <c r="W222" t="str">
        <f>TRIM(V222)</f>
        <v>250406 ** -316, -777, 4403, 327, 1318, 3170, 4746, 4491</v>
      </c>
      <c r="X222">
        <f>SEARCH("~*",W222)</f>
        <v>8</v>
      </c>
      <c r="Y222" t="str">
        <f>LEFT(W222,X222-1)</f>
        <v xml:space="preserve">250406 </v>
      </c>
      <c r="AA222" t="str">
        <f>CONCATENATE(A222,",",D222,",",E222,",",F222,",",G222,",",H222,",",I222,",",J222,",",K222)</f>
        <v>250406,-316,-777,4403,327,1318,3170,4746,4491</v>
      </c>
    </row>
    <row r="223" spans="1:27">
      <c r="A223" s="1">
        <f>IF(ISBLANK(T223),"",VALUE(Y223))</f>
        <v>241506</v>
      </c>
      <c r="B223" s="1">
        <f>A223*4/10 -18</f>
        <v>96584.4</v>
      </c>
      <c r="C223" s="3">
        <f>B223/7000000</f>
        <v>1.3797771428571427E-2</v>
      </c>
      <c r="D223" s="6">
        <f>VALUE(MID(W223,$X223+2,L223-(X223+2)))</f>
        <v>-318</v>
      </c>
      <c r="E223" s="6">
        <f>VALUE(MID($W223,L223+1,M223-(L223+1)))</f>
        <v>-773</v>
      </c>
      <c r="F223" s="6">
        <f>VALUE(MID($W223,M223+1,N223-(M223+1)))</f>
        <v>4407</v>
      </c>
      <c r="G223" s="6">
        <f>VALUE(MID($W223,N223+1,O223-(N223+1)))</f>
        <v>325</v>
      </c>
      <c r="H223" s="6">
        <f>VALUE(MID($W223,O223+1,P223-(O223+1)))</f>
        <v>1318</v>
      </c>
      <c r="I223" s="6">
        <f>VALUE(MID($W223,P223+1,Q223-(P223+1)))</f>
        <v>3174</v>
      </c>
      <c r="J223" s="6">
        <f>VALUE(MID($W223,Q223+1,R223-(Q223+1)))</f>
        <v>4742</v>
      </c>
      <c r="K223" s="4">
        <f>VALUE(MID(W223,R223+1,LEN(W223)-(R223)))</f>
        <v>4495</v>
      </c>
      <c r="L223" s="4">
        <f>SEARCH(",",W223,X223)</f>
        <v>15</v>
      </c>
      <c r="M223" s="4">
        <f>SEARCH(",",$W223,L223+1)</f>
        <v>21</v>
      </c>
      <c r="N223" s="4">
        <f>SEARCH(",",$W223,M223+1)</f>
        <v>27</v>
      </c>
      <c r="O223" s="4">
        <f>SEARCH(",",$W223,N223+1)</f>
        <v>32</v>
      </c>
      <c r="P223" s="4">
        <f>SEARCH(",",$W223,O223+1)</f>
        <v>38</v>
      </c>
      <c r="Q223" s="4">
        <f>SEARCH(",",$W223,P223+1)</f>
        <v>44</v>
      </c>
      <c r="R223" s="4">
        <f>SEARCH(",",$W223,Q223+1)</f>
        <v>50</v>
      </c>
      <c r="T223" t="s">
        <v>649</v>
      </c>
      <c r="U223">
        <f>SEARCH(":",T223)</f>
        <v>6</v>
      </c>
      <c r="V223" t="str">
        <f>MID(T223,U223+1,LEN(T223)-(U223))</f>
        <v xml:space="preserve"> 241506 ** -318, -773, 4407, 325, 1318, 3174, 4742, 4495</v>
      </c>
      <c r="W223" t="str">
        <f>TRIM(V223)</f>
        <v>241506 ** -318, -773, 4407, 325, 1318, 3174, 4742, 4495</v>
      </c>
      <c r="X223">
        <f>SEARCH("~*",W223)</f>
        <v>8</v>
      </c>
      <c r="Y223" t="str">
        <f>LEFT(W223,X223-1)</f>
        <v xml:space="preserve">241506 </v>
      </c>
      <c r="AA223" t="str">
        <f>CONCATENATE(A223,",",D223,",",E223,",",F223,",",G223,",",H223,",",I223,",",J223,",",K223)</f>
        <v>241506,-318,-773,4407,325,1318,3174,4742,4495</v>
      </c>
    </row>
    <row r="224" spans="1:27">
      <c r="A224" s="1">
        <f>IF(ISBLANK(T224),"",VALUE(Y224))</f>
        <v>238379</v>
      </c>
      <c r="B224" s="1">
        <f>A224*4/10 -18</f>
        <v>95333.6</v>
      </c>
      <c r="C224" s="3">
        <f>B224/7000000</f>
        <v>1.3619085714285715E-2</v>
      </c>
      <c r="D224" s="6">
        <f>VALUE(MID(W224,$X224+2,L224-(X224+2)))</f>
        <v>-318</v>
      </c>
      <c r="E224" s="6">
        <f>VALUE(MID($W224,L224+1,M224-(L224+1)))</f>
        <v>-777</v>
      </c>
      <c r="F224" s="6">
        <f>VALUE(MID($W224,M224+1,N224-(M224+1)))</f>
        <v>4404</v>
      </c>
      <c r="G224" s="6">
        <f>VALUE(MID($W224,N224+1,O224-(N224+1)))</f>
        <v>328</v>
      </c>
      <c r="H224" s="6">
        <f>VALUE(MID($W224,O224+1,P224-(O224+1)))</f>
        <v>1312</v>
      </c>
      <c r="I224" s="6">
        <f>VALUE(MID($W224,P224+1,Q224-(P224+1)))</f>
        <v>3174</v>
      </c>
      <c r="J224" s="6">
        <f>VALUE(MID($W224,Q224+1,R224-(Q224+1)))</f>
        <v>4739</v>
      </c>
      <c r="K224" s="4">
        <f>VALUE(MID(W224,R224+1,LEN(W224)-(R224)))</f>
        <v>4491</v>
      </c>
      <c r="L224" s="4">
        <f>SEARCH(",",W224,X224)</f>
        <v>15</v>
      </c>
      <c r="M224" s="4">
        <f>SEARCH(",",$W224,L224+1)</f>
        <v>21</v>
      </c>
      <c r="N224" s="4">
        <f>SEARCH(",",$W224,M224+1)</f>
        <v>27</v>
      </c>
      <c r="O224" s="4">
        <f>SEARCH(",",$W224,N224+1)</f>
        <v>32</v>
      </c>
      <c r="P224" s="4">
        <f>SEARCH(",",$W224,O224+1)</f>
        <v>38</v>
      </c>
      <c r="Q224" s="4">
        <f>SEARCH(",",$W224,P224+1)</f>
        <v>44</v>
      </c>
      <c r="R224" s="4">
        <f>SEARCH(",",$W224,Q224+1)</f>
        <v>50</v>
      </c>
      <c r="T224" t="s">
        <v>724</v>
      </c>
      <c r="U224">
        <f>SEARCH(":",T224)</f>
        <v>6</v>
      </c>
      <c r="V224" t="str">
        <f>MID(T224,U224+1,LEN(T224)-(U224))</f>
        <v xml:space="preserve"> 238379 ** -318, -777, 4404, 328, 1312, 3174, 4739, 4491</v>
      </c>
      <c r="W224" t="str">
        <f>TRIM(V224)</f>
        <v>238379 ** -318, -777, 4404, 328, 1312, 3174, 4739, 4491</v>
      </c>
      <c r="X224">
        <f>SEARCH("~*",W224)</f>
        <v>8</v>
      </c>
      <c r="Y224" t="str">
        <f>LEFT(W224,X224-1)</f>
        <v xml:space="preserve">238379 </v>
      </c>
      <c r="AA224" t="str">
        <f>CONCATENATE(A224,",",D224,",",E224,",",F224,",",G224,",",H224,",",I224,",",J224,",",K224)</f>
        <v>238379,-318,-777,4404,328,1312,3174,4739,4491</v>
      </c>
    </row>
    <row r="225" spans="1:27">
      <c r="A225" s="1">
        <f>IF(ISBLANK(T225),"",VALUE(Y225))</f>
        <v>226952</v>
      </c>
      <c r="B225" s="1">
        <f>A225*4/10 -18</f>
        <v>90762.8</v>
      </c>
      <c r="C225" s="3">
        <f>B225/7000000</f>
        <v>1.2966114285714286E-2</v>
      </c>
      <c r="D225" s="6">
        <f>VALUE(MID(W225,$X225+2,L225-(X225+2)))</f>
        <v>-324</v>
      </c>
      <c r="E225" s="6">
        <f>VALUE(MID($W225,L225+1,M225-(L225+1)))</f>
        <v>-774</v>
      </c>
      <c r="F225" s="6">
        <f>VALUE(MID($W225,M225+1,N225-(M225+1)))</f>
        <v>4401</v>
      </c>
      <c r="G225" s="6">
        <f>VALUE(MID($W225,N225+1,O225-(N225+1)))</f>
        <v>325</v>
      </c>
      <c r="H225" s="6">
        <f>VALUE(MID($W225,O225+1,P225-(O225+1)))</f>
        <v>1312</v>
      </c>
      <c r="I225" s="6">
        <f>VALUE(MID($W225,P225+1,Q225-(P225+1)))</f>
        <v>3166</v>
      </c>
      <c r="J225" s="6">
        <f>VALUE(MID($W225,Q225+1,R225-(Q225+1)))</f>
        <v>4744</v>
      </c>
      <c r="K225" s="4">
        <f>VALUE(MID(W225,R225+1,LEN(W225)-(R225)))</f>
        <v>4494</v>
      </c>
      <c r="L225" s="4">
        <f>SEARCH(",",W225,X225)</f>
        <v>15</v>
      </c>
      <c r="M225" s="4">
        <f>SEARCH(",",$W225,L225+1)</f>
        <v>21</v>
      </c>
      <c r="N225" s="4">
        <f>SEARCH(",",$W225,M225+1)</f>
        <v>27</v>
      </c>
      <c r="O225" s="4">
        <f>SEARCH(",",$W225,N225+1)</f>
        <v>32</v>
      </c>
      <c r="P225" s="4">
        <f>SEARCH(",",$W225,O225+1)</f>
        <v>38</v>
      </c>
      <c r="Q225" s="4">
        <f>SEARCH(",",$W225,P225+1)</f>
        <v>44</v>
      </c>
      <c r="R225" s="4">
        <f>SEARCH(",",$W225,Q225+1)</f>
        <v>50</v>
      </c>
      <c r="T225" t="s">
        <v>745</v>
      </c>
      <c r="U225">
        <f>SEARCH(":",T225)</f>
        <v>6</v>
      </c>
      <c r="V225" t="str">
        <f>MID(T225,U225+1,LEN(T225)-(U225))</f>
        <v xml:space="preserve"> 226952 ** -324, -774, 4401, 325, 1312, 3166, 4744, 4494</v>
      </c>
      <c r="W225" t="str">
        <f>TRIM(V225)</f>
        <v>226952 ** -324, -774, 4401, 325, 1312, 3166, 4744, 4494</v>
      </c>
      <c r="X225">
        <f>SEARCH("~*",W225)</f>
        <v>8</v>
      </c>
      <c r="Y225" t="str">
        <f>LEFT(W225,X225-1)</f>
        <v xml:space="preserve">226952 </v>
      </c>
      <c r="AA225" t="str">
        <f>CONCATENATE(A225,",",D225,",",E225,",",F225,",",G225,",",H225,",",I225,",",J225,",",K225)</f>
        <v>226952,-324,-774,4401,325,1312,3166,4744,4494</v>
      </c>
    </row>
    <row r="226" spans="1:27">
      <c r="A226" s="1">
        <f>IF(ISBLANK(T226),"",VALUE(Y226))</f>
        <v>226175</v>
      </c>
      <c r="B226" s="1">
        <f>A226*4/10 -18</f>
        <v>90452</v>
      </c>
      <c r="C226" s="3">
        <f>B226/7000000</f>
        <v>1.2921714285714286E-2</v>
      </c>
      <c r="D226" s="6">
        <f>VALUE(MID(W226,$X226+2,L226-(X226+2)))</f>
        <v>-322</v>
      </c>
      <c r="E226" s="6">
        <f>VALUE(MID($W226,L226+1,M226-(L226+1)))</f>
        <v>-778</v>
      </c>
      <c r="F226" s="6">
        <f>VALUE(MID($W226,M226+1,N226-(M226+1)))</f>
        <v>4404</v>
      </c>
      <c r="G226" s="6">
        <f>VALUE(MID($W226,N226+1,O226-(N226+1)))</f>
        <v>325</v>
      </c>
      <c r="H226" s="6">
        <f>VALUE(MID($W226,O226+1,P226-(O226+1)))</f>
        <v>1317</v>
      </c>
      <c r="I226" s="6">
        <f>VALUE(MID($W226,P226+1,Q226-(P226+1)))</f>
        <v>3170</v>
      </c>
      <c r="J226" s="6">
        <f>VALUE(MID($W226,Q226+1,R226-(Q226+1)))</f>
        <v>4748</v>
      </c>
      <c r="K226" s="4">
        <f>VALUE(MID(W226,R226+1,LEN(W226)-(R226)))</f>
        <v>4498</v>
      </c>
      <c r="L226" s="4">
        <f>SEARCH(",",W226,X226)</f>
        <v>15</v>
      </c>
      <c r="M226" s="4">
        <f>SEARCH(",",$W226,L226+1)</f>
        <v>21</v>
      </c>
      <c r="N226" s="4">
        <f>SEARCH(",",$W226,M226+1)</f>
        <v>27</v>
      </c>
      <c r="O226" s="4">
        <f>SEARCH(",",$W226,N226+1)</f>
        <v>32</v>
      </c>
      <c r="P226" s="4">
        <f>SEARCH(",",$W226,O226+1)</f>
        <v>38</v>
      </c>
      <c r="Q226" s="4">
        <f>SEARCH(",",$W226,P226+1)</f>
        <v>44</v>
      </c>
      <c r="R226" s="4">
        <f>SEARCH(",",$W226,Q226+1)</f>
        <v>50</v>
      </c>
      <c r="T226" t="s">
        <v>589</v>
      </c>
      <c r="U226">
        <f>SEARCH(":",T226)</f>
        <v>6</v>
      </c>
      <c r="V226" t="str">
        <f>MID(T226,U226+1,LEN(T226)-(U226))</f>
        <v xml:space="preserve"> 226175 ** -322, -778, 4404, 325, 1317, 3170, 4748, 4498</v>
      </c>
      <c r="W226" t="str">
        <f>TRIM(V226)</f>
        <v>226175 ** -322, -778, 4404, 325, 1317, 3170, 4748, 4498</v>
      </c>
      <c r="X226">
        <f>SEARCH("~*",W226)</f>
        <v>8</v>
      </c>
      <c r="Y226" t="str">
        <f>LEFT(W226,X226-1)</f>
        <v xml:space="preserve">226175 </v>
      </c>
      <c r="AA226" t="str">
        <f>CONCATENATE(A226,",",D226,",",E226,",",F226,",",G226,",",H226,",",I226,",",J226,",",K226)</f>
        <v>226175,-322,-778,4404,325,1317,3170,4748,4498</v>
      </c>
    </row>
    <row r="227" spans="1:27">
      <c r="A227" s="1">
        <f>IF(ISBLANK(T227),"",VALUE(Y227))</f>
        <v>221579</v>
      </c>
      <c r="B227" s="1">
        <f>A227*4/10 -18</f>
        <v>88613.6</v>
      </c>
      <c r="C227" s="3">
        <f>B227/7000000</f>
        <v>1.2659085714285714E-2</v>
      </c>
      <c r="D227" s="6">
        <f>VALUE(MID(W227,$X227+2,L227-(X227+2)))</f>
        <v>-321</v>
      </c>
      <c r="E227" s="6">
        <f>VALUE(MID($W227,L227+1,M227-(L227+1)))</f>
        <v>-773</v>
      </c>
      <c r="F227" s="6">
        <f>VALUE(MID($W227,M227+1,N227-(M227+1)))</f>
        <v>4403</v>
      </c>
      <c r="G227" s="6">
        <f>VALUE(MID($W227,N227+1,O227-(N227+1)))</f>
        <v>320</v>
      </c>
      <c r="H227" s="6">
        <f>VALUE(MID($W227,O227+1,P227-(O227+1)))</f>
        <v>1312</v>
      </c>
      <c r="I227" s="6">
        <f>VALUE(MID($W227,P227+1,Q227-(P227+1)))</f>
        <v>3175</v>
      </c>
      <c r="J227" s="6">
        <f>VALUE(MID($W227,Q227+1,R227-(Q227+1)))</f>
        <v>4741</v>
      </c>
      <c r="K227" s="4">
        <f>VALUE(MID(W227,R227+1,LEN(W227)-(R227)))</f>
        <v>4500</v>
      </c>
      <c r="L227" s="4">
        <f>SEARCH(",",W227,X227)</f>
        <v>15</v>
      </c>
      <c r="M227" s="4">
        <f>SEARCH(",",$W227,L227+1)</f>
        <v>21</v>
      </c>
      <c r="N227" s="4">
        <f>SEARCH(",",$W227,M227+1)</f>
        <v>27</v>
      </c>
      <c r="O227" s="4">
        <f>SEARCH(",",$W227,N227+1)</f>
        <v>32</v>
      </c>
      <c r="P227" s="4">
        <f>SEARCH(",",$W227,O227+1)</f>
        <v>38</v>
      </c>
      <c r="Q227" s="4">
        <f>SEARCH(",",$W227,P227+1)</f>
        <v>44</v>
      </c>
      <c r="R227" s="4">
        <f>SEARCH(",",$W227,Q227+1)</f>
        <v>50</v>
      </c>
      <c r="T227" t="s">
        <v>770</v>
      </c>
      <c r="U227">
        <f>SEARCH(":",T227)</f>
        <v>6</v>
      </c>
      <c r="V227" t="str">
        <f>MID(T227,U227+1,LEN(T227)-(U227))</f>
        <v xml:space="preserve"> 221579 ** -321, -773, 4403, 320, 1312, 3175, 4741, 4500</v>
      </c>
      <c r="W227" t="str">
        <f>TRIM(V227)</f>
        <v>221579 ** -321, -773, 4403, 320, 1312, 3175, 4741, 4500</v>
      </c>
      <c r="X227">
        <f>SEARCH("~*",W227)</f>
        <v>8</v>
      </c>
      <c r="Y227" t="str">
        <f>LEFT(W227,X227-1)</f>
        <v xml:space="preserve">221579 </v>
      </c>
      <c r="AA227" t="str">
        <f>CONCATENATE(A227,",",D227,",",E227,",",F227,",",G227,",",H227,",",I227,",",J227,",",K227)</f>
        <v>221579,-321,-773,4403,320,1312,3175,4741,4500</v>
      </c>
    </row>
    <row r="228" spans="1:27">
      <c r="A228" s="1">
        <f>IF(ISBLANK(T228),"",VALUE(Y228))</f>
        <v>216529</v>
      </c>
      <c r="B228" s="1">
        <f>A228*4/10 -18</f>
        <v>86593.600000000006</v>
      </c>
      <c r="C228" s="3">
        <f>B228/7000000</f>
        <v>1.2370514285714286E-2</v>
      </c>
      <c r="D228" s="6">
        <f>VALUE(MID(W228,$X228+2,L228-(X228+2)))</f>
        <v>-317</v>
      </c>
      <c r="E228" s="6">
        <f>VALUE(MID($W228,L228+1,M228-(L228+1)))</f>
        <v>-778</v>
      </c>
      <c r="F228" s="6">
        <f>VALUE(MID($W228,M228+1,N228-(M228+1)))</f>
        <v>4407</v>
      </c>
      <c r="G228" s="6">
        <f>VALUE(MID($W228,N228+1,O228-(N228+1)))</f>
        <v>329</v>
      </c>
      <c r="H228" s="6">
        <f>VALUE(MID($W228,O228+1,P228-(O228+1)))</f>
        <v>1316</v>
      </c>
      <c r="I228" s="6">
        <f>VALUE(MID($W228,P228+1,Q228-(P228+1)))</f>
        <v>3170</v>
      </c>
      <c r="J228" s="6">
        <f>VALUE(MID($W228,Q228+1,R228-(Q228+1)))</f>
        <v>4745</v>
      </c>
      <c r="K228" s="4">
        <f>VALUE(MID(W228,R228+1,LEN(W228)-(R228)))</f>
        <v>4493</v>
      </c>
      <c r="L228" s="4">
        <f>SEARCH(",",W228,X228)</f>
        <v>15</v>
      </c>
      <c r="M228" s="4">
        <f>SEARCH(",",$W228,L228+1)</f>
        <v>21</v>
      </c>
      <c r="N228" s="4">
        <f>SEARCH(",",$W228,M228+1)</f>
        <v>27</v>
      </c>
      <c r="O228" s="4">
        <f>SEARCH(",",$W228,N228+1)</f>
        <v>32</v>
      </c>
      <c r="P228" s="4">
        <f>SEARCH(",",$W228,O228+1)</f>
        <v>38</v>
      </c>
      <c r="Q228" s="4">
        <f>SEARCH(",",$W228,P228+1)</f>
        <v>44</v>
      </c>
      <c r="R228" s="4">
        <f>SEARCH(",",$W228,Q228+1)</f>
        <v>50</v>
      </c>
      <c r="T228" t="s">
        <v>644</v>
      </c>
      <c r="U228">
        <f>SEARCH(":",T228)</f>
        <v>6</v>
      </c>
      <c r="V228" t="str">
        <f>MID(T228,U228+1,LEN(T228)-(U228))</f>
        <v xml:space="preserve"> 216529 ** -317, -778, 4407, 329, 1316, 3170, 4745, 4493</v>
      </c>
      <c r="W228" t="str">
        <f>TRIM(V228)</f>
        <v>216529 ** -317, -778, 4407, 329, 1316, 3170, 4745, 4493</v>
      </c>
      <c r="X228">
        <f>SEARCH("~*",W228)</f>
        <v>8</v>
      </c>
      <c r="Y228" t="str">
        <f>LEFT(W228,X228-1)</f>
        <v xml:space="preserve">216529 </v>
      </c>
      <c r="AA228" t="str">
        <f>CONCATENATE(A228,",",D228,",",E228,",",F228,",",G228,",",H228,",",I228,",",J228,",",K228)</f>
        <v>216529,-317,-778,4407,329,1316,3170,4745,4493</v>
      </c>
    </row>
    <row r="229" spans="1:27">
      <c r="A229" s="1">
        <f>IF(ISBLANK(T229),"",VALUE(Y229))</f>
        <v>209153</v>
      </c>
      <c r="B229" s="1">
        <f>A229*4/10 -18</f>
        <v>83643.199999999997</v>
      </c>
      <c r="C229" s="3">
        <f>B229/7000000</f>
        <v>1.1949028571428572E-2</v>
      </c>
      <c r="D229" s="6">
        <f>VALUE(MID(W229,$X229+2,L229-(X229+2)))</f>
        <v>-315</v>
      </c>
      <c r="E229" s="6">
        <f>VALUE(MID($W229,L229+1,M229-(L229+1)))</f>
        <v>-780</v>
      </c>
      <c r="F229" s="6">
        <f>VALUE(MID($W229,M229+1,N229-(M229+1)))</f>
        <v>4406</v>
      </c>
      <c r="G229" s="6">
        <f>VALUE(MID($W229,N229+1,O229-(N229+1)))</f>
        <v>328</v>
      </c>
      <c r="H229" s="6">
        <f>VALUE(MID($W229,O229+1,P229-(O229+1)))</f>
        <v>1313</v>
      </c>
      <c r="I229" s="6">
        <f>VALUE(MID($W229,P229+1,Q229-(P229+1)))</f>
        <v>3168</v>
      </c>
      <c r="J229" s="6">
        <f>VALUE(MID($W229,Q229+1,R229-(Q229+1)))</f>
        <v>4741</v>
      </c>
      <c r="K229" s="4">
        <f>VALUE(MID(W229,R229+1,LEN(W229)-(R229)))</f>
        <v>4498</v>
      </c>
      <c r="L229" s="4">
        <f>SEARCH(",",W229,X229)</f>
        <v>15</v>
      </c>
      <c r="M229" s="4">
        <f>SEARCH(",",$W229,L229+1)</f>
        <v>21</v>
      </c>
      <c r="N229" s="4">
        <f>SEARCH(",",$W229,M229+1)</f>
        <v>27</v>
      </c>
      <c r="O229" s="4">
        <f>SEARCH(",",$W229,N229+1)</f>
        <v>32</v>
      </c>
      <c r="P229" s="4">
        <f>SEARCH(",",$W229,O229+1)</f>
        <v>38</v>
      </c>
      <c r="Q229" s="4">
        <f>SEARCH(",",$W229,P229+1)</f>
        <v>44</v>
      </c>
      <c r="R229" s="4">
        <f>SEARCH(",",$W229,Q229+1)</f>
        <v>50</v>
      </c>
      <c r="T229" t="s">
        <v>781</v>
      </c>
      <c r="U229">
        <f>SEARCH(":",T229)</f>
        <v>6</v>
      </c>
      <c r="V229" t="str">
        <f>MID(T229,U229+1,LEN(T229)-(U229))</f>
        <v xml:space="preserve"> 209153 ** -315, -780, 4406, 328, 1313, 3168, 4741, 4498</v>
      </c>
      <c r="W229" t="str">
        <f>TRIM(V229)</f>
        <v>209153 ** -315, -780, 4406, 328, 1313, 3168, 4741, 4498</v>
      </c>
      <c r="X229">
        <f>SEARCH("~*",W229)</f>
        <v>8</v>
      </c>
      <c r="Y229" t="str">
        <f>LEFT(W229,X229-1)</f>
        <v xml:space="preserve">209153 </v>
      </c>
      <c r="AA229" t="str">
        <f>CONCATENATE(A229,",",D229,",",E229,",",F229,",",G229,",",H229,",",I229,",",J229,",",K229)</f>
        <v>209153,-315,-780,4406,328,1313,3168,4741,4498</v>
      </c>
    </row>
    <row r="230" spans="1:27">
      <c r="A230" s="1">
        <f>IF(ISBLANK(T230),"",VALUE(Y230))</f>
        <v>204951</v>
      </c>
      <c r="B230" s="1">
        <f>A230*4/10 -18</f>
        <v>81962.399999999994</v>
      </c>
      <c r="C230" s="3">
        <f>B230/7000000</f>
        <v>1.1708914285714285E-2</v>
      </c>
      <c r="D230" s="6">
        <f>VALUE(MID(W230,$X230+2,L230-(X230+2)))</f>
        <v>-319</v>
      </c>
      <c r="E230" s="6">
        <f>VALUE(MID($W230,L230+1,M230-(L230+1)))</f>
        <v>-775</v>
      </c>
      <c r="F230" s="6">
        <f>VALUE(MID($W230,M230+1,N230-(M230+1)))</f>
        <v>4408</v>
      </c>
      <c r="G230" s="6">
        <f>VALUE(MID($W230,N230+1,O230-(N230+1)))</f>
        <v>328</v>
      </c>
      <c r="H230" s="6">
        <f>VALUE(MID($W230,O230+1,P230-(O230+1)))</f>
        <v>1319</v>
      </c>
      <c r="I230" s="6">
        <f>VALUE(MID($W230,P230+1,Q230-(P230+1)))</f>
        <v>3172</v>
      </c>
      <c r="J230" s="6">
        <f>VALUE(MID($W230,Q230+1,R230-(Q230+1)))</f>
        <v>4740</v>
      </c>
      <c r="K230" s="4">
        <f>VALUE(MID(W230,R230+1,LEN(W230)-(R230)))</f>
        <v>4492</v>
      </c>
      <c r="L230" s="4">
        <f>SEARCH(",",W230,X230)</f>
        <v>15</v>
      </c>
      <c r="M230" s="4">
        <f>SEARCH(",",$W230,L230+1)</f>
        <v>21</v>
      </c>
      <c r="N230" s="4">
        <f>SEARCH(",",$W230,M230+1)</f>
        <v>27</v>
      </c>
      <c r="O230" s="4">
        <f>SEARCH(",",$W230,N230+1)</f>
        <v>32</v>
      </c>
      <c r="P230" s="4">
        <f>SEARCH(",",$W230,O230+1)</f>
        <v>38</v>
      </c>
      <c r="Q230" s="4">
        <f>SEARCH(",",$W230,P230+1)</f>
        <v>44</v>
      </c>
      <c r="R230" s="4">
        <f>SEARCH(",",$W230,Q230+1)</f>
        <v>50</v>
      </c>
      <c r="T230" t="s">
        <v>636</v>
      </c>
      <c r="U230">
        <f>SEARCH(":",T230)</f>
        <v>6</v>
      </c>
      <c r="V230" t="str">
        <f>MID(T230,U230+1,LEN(T230)-(U230))</f>
        <v xml:space="preserve"> 204951 ** -319, -775, 4408, 328, 1319, 3172, 4740, 4492</v>
      </c>
      <c r="W230" t="str">
        <f>TRIM(V230)</f>
        <v>204951 ** -319, -775, 4408, 328, 1319, 3172, 4740, 4492</v>
      </c>
      <c r="X230">
        <f>SEARCH("~*",W230)</f>
        <v>8</v>
      </c>
      <c r="Y230" t="str">
        <f>LEFT(W230,X230-1)</f>
        <v xml:space="preserve">204951 </v>
      </c>
      <c r="AA230" t="str">
        <f>CONCATENATE(A230,",",D230,",",E230,",",F230,",",G230,",",H230,",",I230,",",J230,",",K230)</f>
        <v>204951,-319,-775,4408,328,1319,3172,4740,4492</v>
      </c>
    </row>
    <row r="231" spans="1:27">
      <c r="A231" s="1">
        <f>IF(ISBLANK(T231),"",VALUE(Y231))</f>
        <v>198619</v>
      </c>
      <c r="B231" s="1">
        <f>A231*4/10 -18</f>
        <v>79429.600000000006</v>
      </c>
      <c r="C231" s="3">
        <f>B231/7000000</f>
        <v>1.1347085714285715E-2</v>
      </c>
      <c r="D231" s="6">
        <f>VALUE(MID(W231,$X231+2,L231-(X231+2)))</f>
        <v>-324</v>
      </c>
      <c r="E231" s="6">
        <f>VALUE(MID($W231,L231+1,M231-(L231+1)))</f>
        <v>-773</v>
      </c>
      <c r="F231" s="6">
        <f>VALUE(MID($W231,M231+1,N231-(M231+1)))</f>
        <v>4399</v>
      </c>
      <c r="G231" s="6">
        <f>VALUE(MID($W231,N231+1,O231-(N231+1)))</f>
        <v>328</v>
      </c>
      <c r="H231" s="6">
        <f>VALUE(MID($W231,O231+1,P231-(O231+1)))</f>
        <v>1321</v>
      </c>
      <c r="I231" s="6">
        <f>VALUE(MID($W231,P231+1,Q231-(P231+1)))</f>
        <v>3172</v>
      </c>
      <c r="J231" s="6">
        <f>VALUE(MID($W231,Q231+1,R231-(Q231+1)))</f>
        <v>4745</v>
      </c>
      <c r="K231" s="4">
        <f>VALUE(MID(W231,R231+1,LEN(W231)-(R231)))</f>
        <v>4493</v>
      </c>
      <c r="L231" s="4">
        <f>SEARCH(",",W231,X231)</f>
        <v>15</v>
      </c>
      <c r="M231" s="4">
        <f>SEARCH(",",$W231,L231+1)</f>
        <v>21</v>
      </c>
      <c r="N231" s="4">
        <f>SEARCH(",",$W231,M231+1)</f>
        <v>27</v>
      </c>
      <c r="O231" s="4">
        <f>SEARCH(",",$W231,N231+1)</f>
        <v>32</v>
      </c>
      <c r="P231" s="4">
        <f>SEARCH(",",$W231,O231+1)</f>
        <v>38</v>
      </c>
      <c r="Q231" s="4">
        <f>SEARCH(",",$W231,P231+1)</f>
        <v>44</v>
      </c>
      <c r="R231" s="4">
        <f>SEARCH(",",$W231,Q231+1)</f>
        <v>50</v>
      </c>
      <c r="T231" t="s">
        <v>791</v>
      </c>
      <c r="U231">
        <f>SEARCH(":",T231)</f>
        <v>6</v>
      </c>
      <c r="V231" t="str">
        <f>MID(T231,U231+1,LEN(T231)-(U231))</f>
        <v xml:space="preserve"> 198619 ** -324, -773, 4399, 328, 1321, 3172, 4745, 4493</v>
      </c>
      <c r="W231" t="str">
        <f>TRIM(V231)</f>
        <v>198619 ** -324, -773, 4399, 328, 1321, 3172, 4745, 4493</v>
      </c>
      <c r="X231">
        <f>SEARCH("~*",W231)</f>
        <v>8</v>
      </c>
      <c r="Y231" t="str">
        <f>LEFT(W231,X231-1)</f>
        <v xml:space="preserve">198619 </v>
      </c>
      <c r="AA231" t="str">
        <f>CONCATENATE(A231,",",D231,",",E231,",",F231,",",G231,",",H231,",",I231,",",J231,",",K231)</f>
        <v>198619,-324,-773,4399,328,1321,3172,4745,4493</v>
      </c>
    </row>
    <row r="232" spans="1:27">
      <c r="A232" s="1">
        <f>IF(ISBLANK(T232),"",VALUE(Y232))</f>
        <v>194617</v>
      </c>
      <c r="B232" s="1">
        <f>A232*4/10 -18</f>
        <v>77828.800000000003</v>
      </c>
      <c r="C232" s="3">
        <f>B232/7000000</f>
        <v>1.1118400000000001E-2</v>
      </c>
      <c r="D232" s="6">
        <f>VALUE(MID(W232,$X232+2,L232-(X232+2)))</f>
        <v>-317</v>
      </c>
      <c r="E232" s="6">
        <f>VALUE(MID($W232,L232+1,M232-(L232+1)))</f>
        <v>-773</v>
      </c>
      <c r="F232" s="6">
        <f>VALUE(MID($W232,M232+1,N232-(M232+1)))</f>
        <v>4399</v>
      </c>
      <c r="G232" s="6">
        <f>VALUE(MID($W232,N232+1,O232-(N232+1)))</f>
        <v>322</v>
      </c>
      <c r="H232" s="6">
        <f>VALUE(MID($W232,O232+1,P232-(O232+1)))</f>
        <v>1317</v>
      </c>
      <c r="I232" s="6">
        <f>VALUE(MID($W232,P232+1,Q232-(P232+1)))</f>
        <v>3174</v>
      </c>
      <c r="J232" s="6">
        <f>VALUE(MID($W232,Q232+1,R232-(Q232+1)))</f>
        <v>4746</v>
      </c>
      <c r="K232" s="4">
        <f>VALUE(MID(W232,R232+1,LEN(W232)-(R232)))</f>
        <v>4496</v>
      </c>
      <c r="L232" s="4">
        <f>SEARCH(",",W232,X232)</f>
        <v>15</v>
      </c>
      <c r="M232" s="4">
        <f>SEARCH(",",$W232,L232+1)</f>
        <v>21</v>
      </c>
      <c r="N232" s="4">
        <f>SEARCH(",",$W232,M232+1)</f>
        <v>27</v>
      </c>
      <c r="O232" s="4">
        <f>SEARCH(",",$W232,N232+1)</f>
        <v>32</v>
      </c>
      <c r="P232" s="4">
        <f>SEARCH(",",$W232,O232+1)</f>
        <v>38</v>
      </c>
      <c r="Q232" s="4">
        <f>SEARCH(",",$W232,P232+1)</f>
        <v>44</v>
      </c>
      <c r="R232" s="4">
        <f>SEARCH(",",$W232,Q232+1)</f>
        <v>50</v>
      </c>
      <c r="T232" t="s">
        <v>769</v>
      </c>
      <c r="U232">
        <f>SEARCH(":",T232)</f>
        <v>6</v>
      </c>
      <c r="V232" t="str">
        <f>MID(T232,U232+1,LEN(T232)-(U232))</f>
        <v xml:space="preserve"> 194617 ** -317, -773, 4399, 322, 1317, 3174, 4746, 4496</v>
      </c>
      <c r="W232" t="str">
        <f>TRIM(V232)</f>
        <v>194617 ** -317, -773, 4399, 322, 1317, 3174, 4746, 4496</v>
      </c>
      <c r="X232">
        <f>SEARCH("~*",W232)</f>
        <v>8</v>
      </c>
      <c r="Y232" t="str">
        <f>LEFT(W232,X232-1)</f>
        <v xml:space="preserve">194617 </v>
      </c>
      <c r="AA232" t="str">
        <f>CONCATENATE(A232,",",D232,",",E232,",",F232,",",G232,",",H232,",",I232,",",J232,",",K232)</f>
        <v>194617,-317,-773,4399,322,1317,3174,4746,4496</v>
      </c>
    </row>
    <row r="233" spans="1:27">
      <c r="A233" s="1">
        <f>IF(ISBLANK(T233),"",VALUE(Y233))</f>
        <v>188804</v>
      </c>
      <c r="B233" s="1">
        <f>A233*4/10 -18</f>
        <v>75503.600000000006</v>
      </c>
      <c r="C233" s="3">
        <f>B233/7000000</f>
        <v>1.0786228571428573E-2</v>
      </c>
      <c r="D233" s="6">
        <f>VALUE(MID(W233,$X233+2,L233-(X233+2)))</f>
        <v>-317</v>
      </c>
      <c r="E233" s="6">
        <f>VALUE(MID($W233,L233+1,M233-(L233+1)))</f>
        <v>-775</v>
      </c>
      <c r="F233" s="6">
        <f>VALUE(MID($W233,M233+1,N233-(M233+1)))</f>
        <v>4408</v>
      </c>
      <c r="G233" s="6">
        <f>VALUE(MID($W233,N233+1,O233-(N233+1)))</f>
        <v>326</v>
      </c>
      <c r="H233" s="6">
        <f>VALUE(MID($W233,O233+1,P233-(O233+1)))</f>
        <v>1320</v>
      </c>
      <c r="I233" s="6">
        <f>VALUE(MID($W233,P233+1,Q233-(P233+1)))</f>
        <v>3168</v>
      </c>
      <c r="J233" s="6">
        <f>VALUE(MID($W233,Q233+1,R233-(Q233+1)))</f>
        <v>4741</v>
      </c>
      <c r="K233" s="4">
        <f>VALUE(MID(W233,R233+1,LEN(W233)-(R233)))</f>
        <v>4496</v>
      </c>
      <c r="L233" s="4">
        <f>SEARCH(",",W233,X233)</f>
        <v>15</v>
      </c>
      <c r="M233" s="4">
        <f>SEARCH(",",$W233,L233+1)</f>
        <v>21</v>
      </c>
      <c r="N233" s="4">
        <f>SEARCH(",",$W233,M233+1)</f>
        <v>27</v>
      </c>
      <c r="O233" s="4">
        <f>SEARCH(",",$W233,N233+1)</f>
        <v>32</v>
      </c>
      <c r="P233" s="4">
        <f>SEARCH(",",$W233,O233+1)</f>
        <v>38</v>
      </c>
      <c r="Q233" s="4">
        <f>SEARCH(",",$W233,P233+1)</f>
        <v>44</v>
      </c>
      <c r="R233" s="4">
        <f>SEARCH(",",$W233,Q233+1)</f>
        <v>50</v>
      </c>
      <c r="T233" t="s">
        <v>855</v>
      </c>
      <c r="U233">
        <f>SEARCH(":",T233)</f>
        <v>6</v>
      </c>
      <c r="V233" t="str">
        <f>MID(T233,U233+1,LEN(T233)-(U233))</f>
        <v xml:space="preserve"> 188804 ** -317, -775, 4408, 326, 1320, 3168, 4741, 4496</v>
      </c>
      <c r="W233" t="str">
        <f>TRIM(V233)</f>
        <v>188804 ** -317, -775, 4408, 326, 1320, 3168, 4741, 4496</v>
      </c>
      <c r="X233">
        <f>SEARCH("~*",W233)</f>
        <v>8</v>
      </c>
      <c r="Y233" t="str">
        <f>LEFT(W233,X233-1)</f>
        <v xml:space="preserve">188804 </v>
      </c>
      <c r="AA233" t="str">
        <f>CONCATENATE(A233,",",D233,",",E233,",",F233,",",G233,",",H233,",",I233,",",J233,",",K233)</f>
        <v>188804,-317,-775,4408,326,1320,3168,4741,4496</v>
      </c>
    </row>
    <row r="234" spans="1:27">
      <c r="A234" s="1">
        <f>IF(ISBLANK(T234),"",VALUE(Y234))</f>
        <v>185845</v>
      </c>
      <c r="B234" s="1">
        <f>A234*4/10 -18</f>
        <v>74320</v>
      </c>
      <c r="C234" s="3">
        <f>B234/7000000</f>
        <v>1.0617142857142858E-2</v>
      </c>
      <c r="D234" s="6">
        <f>VALUE(MID(W234,$X234+2,L234-(X234+2)))</f>
        <v>-318</v>
      </c>
      <c r="E234" s="6">
        <f>VALUE(MID($W234,L234+1,M234-(L234+1)))</f>
        <v>-777</v>
      </c>
      <c r="F234" s="6">
        <f>VALUE(MID($W234,M234+1,N234-(M234+1)))</f>
        <v>4403</v>
      </c>
      <c r="G234" s="6">
        <f>VALUE(MID($W234,N234+1,O234-(N234+1)))</f>
        <v>324</v>
      </c>
      <c r="H234" s="6">
        <f>VALUE(MID($W234,O234+1,P234-(O234+1)))</f>
        <v>1316</v>
      </c>
      <c r="I234" s="6">
        <f>VALUE(MID($W234,P234+1,Q234-(P234+1)))</f>
        <v>3167</v>
      </c>
      <c r="J234" s="6">
        <f>VALUE(MID($W234,Q234+1,R234-(Q234+1)))</f>
        <v>4743</v>
      </c>
      <c r="K234" s="4">
        <f>VALUE(MID(W234,R234+1,LEN(W234)-(R234)))</f>
        <v>4495</v>
      </c>
      <c r="L234" s="4">
        <f>SEARCH(",",W234,X234)</f>
        <v>15</v>
      </c>
      <c r="M234" s="4">
        <f>SEARCH(",",$W234,L234+1)</f>
        <v>21</v>
      </c>
      <c r="N234" s="4">
        <f>SEARCH(",",$W234,M234+1)</f>
        <v>27</v>
      </c>
      <c r="O234" s="4">
        <f>SEARCH(",",$W234,N234+1)</f>
        <v>32</v>
      </c>
      <c r="P234" s="4">
        <f>SEARCH(",",$W234,O234+1)</f>
        <v>38</v>
      </c>
      <c r="Q234" s="4">
        <f>SEARCH(",",$W234,P234+1)</f>
        <v>44</v>
      </c>
      <c r="R234" s="4">
        <f>SEARCH(",",$W234,Q234+1)</f>
        <v>50</v>
      </c>
      <c r="T234" t="s">
        <v>678</v>
      </c>
      <c r="U234">
        <f>SEARCH(":",T234)</f>
        <v>6</v>
      </c>
      <c r="V234" t="str">
        <f>MID(T234,U234+1,LEN(T234)-(U234))</f>
        <v xml:space="preserve"> 185845 ** -318, -777, 4403, 324, 1316, 3167, 4743, 4495</v>
      </c>
      <c r="W234" t="str">
        <f>TRIM(V234)</f>
        <v>185845 ** -318, -777, 4403, 324, 1316, 3167, 4743, 4495</v>
      </c>
      <c r="X234">
        <f>SEARCH("~*",W234)</f>
        <v>8</v>
      </c>
      <c r="Y234" t="str">
        <f>LEFT(W234,X234-1)</f>
        <v xml:space="preserve">185845 </v>
      </c>
      <c r="AA234" t="str">
        <f>CONCATENATE(A234,",",D234,",",E234,",",F234,",",G234,",",H234,",",I234,",",J234,",",K234)</f>
        <v>185845,-318,-777,4403,324,1316,3167,4743,4495</v>
      </c>
    </row>
    <row r="235" spans="1:27">
      <c r="A235" s="1">
        <f>IF(ISBLANK(T235),"",VALUE(Y235))</f>
        <v>181986</v>
      </c>
      <c r="B235" s="1">
        <f>A235*4/10 -18</f>
        <v>72776.399999999994</v>
      </c>
      <c r="C235" s="3">
        <f>B235/7000000</f>
        <v>1.0396628571428571E-2</v>
      </c>
      <c r="D235" s="6">
        <f>VALUE(MID(W235,$X235+2,L235-(X235+2)))</f>
        <v>-320</v>
      </c>
      <c r="E235" s="6">
        <f>VALUE(MID($W235,L235+1,M235-(L235+1)))</f>
        <v>-777</v>
      </c>
      <c r="F235" s="6">
        <f>VALUE(MID($W235,M235+1,N235-(M235+1)))</f>
        <v>4401</v>
      </c>
      <c r="G235" s="6">
        <f>VALUE(MID($W235,N235+1,O235-(N235+1)))</f>
        <v>323</v>
      </c>
      <c r="H235" s="6">
        <f>VALUE(MID($W235,O235+1,P235-(O235+1)))</f>
        <v>1317</v>
      </c>
      <c r="I235" s="6">
        <f>VALUE(MID($W235,P235+1,Q235-(P235+1)))</f>
        <v>3170</v>
      </c>
      <c r="J235" s="6">
        <f>VALUE(MID($W235,Q235+1,R235-(Q235+1)))</f>
        <v>4744</v>
      </c>
      <c r="K235" s="4">
        <f>VALUE(MID(W235,R235+1,LEN(W235)-(R235)))</f>
        <v>4494</v>
      </c>
      <c r="L235" s="4">
        <f>SEARCH(",",W235,X235)</f>
        <v>15</v>
      </c>
      <c r="M235" s="4">
        <f>SEARCH(",",$W235,L235+1)</f>
        <v>21</v>
      </c>
      <c r="N235" s="4">
        <f>SEARCH(",",$W235,M235+1)</f>
        <v>27</v>
      </c>
      <c r="O235" s="4">
        <f>SEARCH(",",$W235,N235+1)</f>
        <v>32</v>
      </c>
      <c r="P235" s="4">
        <f>SEARCH(",",$W235,O235+1)</f>
        <v>38</v>
      </c>
      <c r="Q235" s="4">
        <f>SEARCH(",",$W235,P235+1)</f>
        <v>44</v>
      </c>
      <c r="R235" s="4">
        <f>SEARCH(",",$W235,Q235+1)</f>
        <v>50</v>
      </c>
      <c r="T235" t="s">
        <v>837</v>
      </c>
      <c r="U235">
        <f>SEARCH(":",T235)</f>
        <v>6</v>
      </c>
      <c r="V235" t="str">
        <f>MID(T235,U235+1,LEN(T235)-(U235))</f>
        <v xml:space="preserve"> 181986 ** -320, -777, 4401, 323, 1317, 3170, 4744, 4494</v>
      </c>
      <c r="W235" t="str">
        <f>TRIM(V235)</f>
        <v>181986 ** -320, -777, 4401, 323, 1317, 3170, 4744, 4494</v>
      </c>
      <c r="X235">
        <f>SEARCH("~*",W235)</f>
        <v>8</v>
      </c>
      <c r="Y235" t="str">
        <f>LEFT(W235,X235-1)</f>
        <v xml:space="preserve">181986 </v>
      </c>
      <c r="AA235" t="str">
        <f>CONCATENATE(A235,",",D235,",",E235,",",F235,",",G235,",",H235,",",I235,",",J235,",",K235)</f>
        <v>181986,-320,-777,4401,323,1317,3170,4744,4494</v>
      </c>
    </row>
    <row r="236" spans="1:27">
      <c r="A236" s="1">
        <f>IF(ISBLANK(T236),"",VALUE(Y236))</f>
        <v>175818</v>
      </c>
      <c r="B236" s="1">
        <f>A236*4/10 -18</f>
        <v>70309.2</v>
      </c>
      <c r="C236" s="3">
        <f>B236/7000000</f>
        <v>1.0044171428571428E-2</v>
      </c>
      <c r="D236" s="6">
        <f>VALUE(MID(W236,$X236+2,L236-(X236+2)))</f>
        <v>-320</v>
      </c>
      <c r="E236" s="6">
        <f>VALUE(MID($W236,L236+1,M236-(L236+1)))</f>
        <v>-780</v>
      </c>
      <c r="F236" s="6">
        <f>VALUE(MID($W236,M236+1,N236-(M236+1)))</f>
        <v>4406</v>
      </c>
      <c r="G236" s="6">
        <f>VALUE(MID($W236,N236+1,O236-(N236+1)))</f>
        <v>328</v>
      </c>
      <c r="H236" s="6">
        <f>VALUE(MID($W236,O236+1,P236-(O236+1)))</f>
        <v>1315</v>
      </c>
      <c r="I236" s="6">
        <f>VALUE(MID($W236,P236+1,Q236-(P236+1)))</f>
        <v>3174</v>
      </c>
      <c r="J236" s="6">
        <f>VALUE(MID($W236,Q236+1,R236-(Q236+1)))</f>
        <v>4745</v>
      </c>
      <c r="K236" s="4">
        <f>VALUE(MID(W236,R236+1,LEN(W236)-(R236)))</f>
        <v>4496</v>
      </c>
      <c r="L236" s="4">
        <f>SEARCH(",",W236,X236)</f>
        <v>15</v>
      </c>
      <c r="M236" s="4">
        <f>SEARCH(",",$W236,L236+1)</f>
        <v>21</v>
      </c>
      <c r="N236" s="4">
        <f>SEARCH(",",$W236,M236+1)</f>
        <v>27</v>
      </c>
      <c r="O236" s="4">
        <f>SEARCH(",",$W236,N236+1)</f>
        <v>32</v>
      </c>
      <c r="P236" s="4">
        <f>SEARCH(",",$W236,O236+1)</f>
        <v>38</v>
      </c>
      <c r="Q236" s="4">
        <f>SEARCH(",",$W236,P236+1)</f>
        <v>44</v>
      </c>
      <c r="R236" s="4">
        <f>SEARCH(",",$W236,Q236+1)</f>
        <v>50</v>
      </c>
      <c r="T236" t="s">
        <v>763</v>
      </c>
      <c r="U236">
        <f>SEARCH(":",T236)</f>
        <v>6</v>
      </c>
      <c r="V236" t="str">
        <f>MID(T236,U236+1,LEN(T236)-(U236))</f>
        <v xml:space="preserve"> 175818 ** -320, -780, 4406, 328, 1315, 3174, 4745, 4496</v>
      </c>
      <c r="W236" t="str">
        <f>TRIM(V236)</f>
        <v>175818 ** -320, -780, 4406, 328, 1315, 3174, 4745, 4496</v>
      </c>
      <c r="X236">
        <f>SEARCH("~*",W236)</f>
        <v>8</v>
      </c>
      <c r="Y236" t="str">
        <f>LEFT(W236,X236-1)</f>
        <v xml:space="preserve">175818 </v>
      </c>
      <c r="AA236" t="str">
        <f>CONCATENATE(A236,",",D236,",",E236,",",F236,",",G236,",",H236,",",I236,",",J236,",",K236)</f>
        <v>175818,-320,-780,4406,328,1315,3174,4745,4496</v>
      </c>
    </row>
    <row r="237" spans="1:27">
      <c r="A237" s="1">
        <f>IF(ISBLANK(T237),"",VALUE(Y237))</f>
        <v>173848</v>
      </c>
      <c r="B237" s="1">
        <f>A237*4/10 -18</f>
        <v>69521.2</v>
      </c>
      <c r="C237" s="3">
        <f>B237/7000000</f>
        <v>9.9315999999999988E-3</v>
      </c>
      <c r="D237" s="6">
        <f>VALUE(MID(W237,$X237+2,L237-(X237+2)))</f>
        <v>-315</v>
      </c>
      <c r="E237" s="6">
        <f>VALUE(MID($W237,L237+1,M237-(L237+1)))</f>
        <v>-776</v>
      </c>
      <c r="F237" s="6">
        <f>VALUE(MID($W237,M237+1,N237-(M237+1)))</f>
        <v>4408</v>
      </c>
      <c r="G237" s="6">
        <f>VALUE(MID($W237,N237+1,O237-(N237+1)))</f>
        <v>323</v>
      </c>
      <c r="H237" s="6">
        <f>VALUE(MID($W237,O237+1,P237-(O237+1)))</f>
        <v>1321</v>
      </c>
      <c r="I237" s="6">
        <f>VALUE(MID($W237,P237+1,Q237-(P237+1)))</f>
        <v>3169</v>
      </c>
      <c r="J237" s="6">
        <f>VALUE(MID($W237,Q237+1,R237-(Q237+1)))</f>
        <v>4745</v>
      </c>
      <c r="K237" s="4">
        <f>VALUE(MID(W237,R237+1,LEN(W237)-(R237)))</f>
        <v>4493</v>
      </c>
      <c r="L237" s="4">
        <f>SEARCH(",",W237,X237)</f>
        <v>15</v>
      </c>
      <c r="M237" s="4">
        <f>SEARCH(",",$W237,L237+1)</f>
        <v>21</v>
      </c>
      <c r="N237" s="4">
        <f>SEARCH(",",$W237,M237+1)</f>
        <v>27</v>
      </c>
      <c r="O237" s="4">
        <f>SEARCH(",",$W237,N237+1)</f>
        <v>32</v>
      </c>
      <c r="P237" s="4">
        <f>SEARCH(",",$W237,O237+1)</f>
        <v>38</v>
      </c>
      <c r="Q237" s="4">
        <f>SEARCH(",",$W237,P237+1)</f>
        <v>44</v>
      </c>
      <c r="R237" s="4">
        <f>SEARCH(",",$W237,Q237+1)</f>
        <v>50</v>
      </c>
      <c r="T237" t="s">
        <v>613</v>
      </c>
      <c r="U237">
        <f>SEARCH(":",T237)</f>
        <v>6</v>
      </c>
      <c r="V237" t="str">
        <f>MID(T237,U237+1,LEN(T237)-(U237))</f>
        <v xml:space="preserve"> 173848 ** -315, -776, 4408, 323, 1321, 3169, 4745, 4493</v>
      </c>
      <c r="W237" t="str">
        <f>TRIM(V237)</f>
        <v>173848 ** -315, -776, 4408, 323, 1321, 3169, 4745, 4493</v>
      </c>
      <c r="X237">
        <f>SEARCH("~*",W237)</f>
        <v>8</v>
      </c>
      <c r="Y237" t="str">
        <f>LEFT(W237,X237-1)</f>
        <v xml:space="preserve">173848 </v>
      </c>
      <c r="AA237" t="str">
        <f>CONCATENATE(A237,",",D237,",",E237,",",F237,",",G237,",",H237,",",I237,",",J237,",",K237)</f>
        <v>173848,-315,-776,4408,323,1321,3169,4745,4493</v>
      </c>
    </row>
    <row r="238" spans="1:27">
      <c r="A238" s="1">
        <f>IF(ISBLANK(T238),"",VALUE(Y238))</f>
        <v>164341</v>
      </c>
      <c r="B238" s="1">
        <f>A238*4/10 -18</f>
        <v>65718.399999999994</v>
      </c>
      <c r="C238" s="3">
        <f>B238/7000000</f>
        <v>9.3883428571428559E-3</v>
      </c>
      <c r="D238" s="6">
        <f>VALUE(MID(W238,$X238+2,L238-(X238+2)))</f>
        <v>-320</v>
      </c>
      <c r="E238" s="6">
        <f>VALUE(MID($W238,L238+1,M238-(L238+1)))</f>
        <v>-781</v>
      </c>
      <c r="F238" s="6">
        <f>VALUE(MID($W238,M238+1,N238-(M238+1)))</f>
        <v>4403</v>
      </c>
      <c r="G238" s="6">
        <f>VALUE(MID($W238,N238+1,O238-(N238+1)))</f>
        <v>325</v>
      </c>
      <c r="H238" s="6">
        <f>VALUE(MID($W238,O238+1,P238-(O238+1)))</f>
        <v>1312</v>
      </c>
      <c r="I238" s="6">
        <f>VALUE(MID($W238,P238+1,Q238-(P238+1)))</f>
        <v>3170</v>
      </c>
      <c r="J238" s="6">
        <f>VALUE(MID($W238,Q238+1,R238-(Q238+1)))</f>
        <v>4741</v>
      </c>
      <c r="K238" s="4">
        <f>VALUE(MID(W238,R238+1,LEN(W238)-(R238)))</f>
        <v>4500</v>
      </c>
      <c r="L238" s="4">
        <f>SEARCH(",",W238,X238)</f>
        <v>15</v>
      </c>
      <c r="M238" s="4">
        <f>SEARCH(",",$W238,L238+1)</f>
        <v>21</v>
      </c>
      <c r="N238" s="4">
        <f>SEARCH(",",$W238,M238+1)</f>
        <v>27</v>
      </c>
      <c r="O238" s="4">
        <f>SEARCH(",",$W238,N238+1)</f>
        <v>32</v>
      </c>
      <c r="P238" s="4">
        <f>SEARCH(",",$W238,O238+1)</f>
        <v>38</v>
      </c>
      <c r="Q238" s="4">
        <f>SEARCH(",",$W238,P238+1)</f>
        <v>44</v>
      </c>
      <c r="R238" s="4">
        <f>SEARCH(",",$W238,Q238+1)</f>
        <v>50</v>
      </c>
      <c r="T238" t="s">
        <v>783</v>
      </c>
      <c r="U238">
        <f>SEARCH(":",T238)</f>
        <v>6</v>
      </c>
      <c r="V238" t="str">
        <f>MID(T238,U238+1,LEN(T238)-(U238))</f>
        <v xml:space="preserve"> 164341 ** -320, -781, 4403, 325, 1312, 3170, 4741, 4500</v>
      </c>
      <c r="W238" t="str">
        <f>TRIM(V238)</f>
        <v>164341 ** -320, -781, 4403, 325, 1312, 3170, 4741, 4500</v>
      </c>
      <c r="X238">
        <f>SEARCH("~*",W238)</f>
        <v>8</v>
      </c>
      <c r="Y238" t="str">
        <f>LEFT(W238,X238-1)</f>
        <v xml:space="preserve">164341 </v>
      </c>
      <c r="AA238" t="str">
        <f>CONCATENATE(A238,",",D238,",",E238,",",F238,",",G238,",",H238,",",I238,",",J238,",",K238)</f>
        <v>164341,-320,-781,4403,325,1312,3170,4741,4500</v>
      </c>
    </row>
    <row r="239" spans="1:27">
      <c r="A239" s="1">
        <f>IF(ISBLANK(T239),"",VALUE(Y239))</f>
        <v>161858</v>
      </c>
      <c r="B239" s="1">
        <f>A239*4/10 -18</f>
        <v>64725.2</v>
      </c>
      <c r="C239" s="3">
        <f>B239/7000000</f>
        <v>9.2464571428571424E-3</v>
      </c>
      <c r="D239" s="6">
        <f>VALUE(MID(W239,$X239+2,L239-(X239+2)))</f>
        <v>-315</v>
      </c>
      <c r="E239" s="6">
        <f>VALUE(MID($W239,L239+1,M239-(L239+1)))</f>
        <v>-776</v>
      </c>
      <c r="F239" s="6">
        <f>VALUE(MID($W239,M239+1,N239-(M239+1)))</f>
        <v>4403</v>
      </c>
      <c r="G239" s="6">
        <f>VALUE(MID($W239,N239+1,O239-(N239+1)))</f>
        <v>322</v>
      </c>
      <c r="H239" s="6">
        <f>VALUE(MID($W239,O239+1,P239-(O239+1)))</f>
        <v>1317</v>
      </c>
      <c r="I239" s="6">
        <f>VALUE(MID($W239,P239+1,Q239-(P239+1)))</f>
        <v>3171</v>
      </c>
      <c r="J239" s="6">
        <f>VALUE(MID($W239,Q239+1,R239-(Q239+1)))</f>
        <v>4745</v>
      </c>
      <c r="K239" s="4">
        <f>VALUE(MID(W239,R239+1,LEN(W239)-(R239)))</f>
        <v>4494</v>
      </c>
      <c r="L239" s="4">
        <f>SEARCH(",",W239,X239)</f>
        <v>15</v>
      </c>
      <c r="M239" s="4">
        <f>SEARCH(",",$W239,L239+1)</f>
        <v>21</v>
      </c>
      <c r="N239" s="4">
        <f>SEARCH(",",$W239,M239+1)</f>
        <v>27</v>
      </c>
      <c r="O239" s="4">
        <f>SEARCH(",",$W239,N239+1)</f>
        <v>32</v>
      </c>
      <c r="P239" s="4">
        <f>SEARCH(",",$W239,O239+1)</f>
        <v>38</v>
      </c>
      <c r="Q239" s="4">
        <f>SEARCH(",",$W239,P239+1)</f>
        <v>44</v>
      </c>
      <c r="R239" s="4">
        <f>SEARCH(",",$W239,Q239+1)</f>
        <v>50</v>
      </c>
      <c r="T239" t="s">
        <v>686</v>
      </c>
      <c r="U239">
        <f>SEARCH(":",T239)</f>
        <v>6</v>
      </c>
      <c r="V239" t="str">
        <f>MID(T239,U239+1,LEN(T239)-(U239))</f>
        <v xml:space="preserve"> 161858 ** -315, -776, 4403, 322, 1317, 3171, 4745, 4494</v>
      </c>
      <c r="W239" t="str">
        <f>TRIM(V239)</f>
        <v>161858 ** -315, -776, 4403, 322, 1317, 3171, 4745, 4494</v>
      </c>
      <c r="X239">
        <f>SEARCH("~*",W239)</f>
        <v>8</v>
      </c>
      <c r="Y239" t="str">
        <f>LEFT(W239,X239-1)</f>
        <v xml:space="preserve">161858 </v>
      </c>
      <c r="AA239" t="str">
        <f>CONCATENATE(A239,",",D239,",",E239,",",F239,",",G239,",",H239,",",I239,",",J239,",",K239)</f>
        <v>161858,-315,-776,4403,322,1317,3171,4745,4494</v>
      </c>
    </row>
    <row r="240" spans="1:27">
      <c r="A240" s="1">
        <f>IF(ISBLANK(T240),"",VALUE(Y240))</f>
        <v>161564</v>
      </c>
      <c r="B240" s="1">
        <f>A240*4/10 -18</f>
        <v>64607.6</v>
      </c>
      <c r="C240" s="3">
        <f>B240/7000000</f>
        <v>9.2296571428571433E-3</v>
      </c>
      <c r="D240" s="6">
        <f>VALUE(MID(W240,$X240+2,L240-(X240+2)))</f>
        <v>-323</v>
      </c>
      <c r="E240" s="6">
        <f>VALUE(MID($W240,L240+1,M240-(L240+1)))</f>
        <v>-779</v>
      </c>
      <c r="F240" s="6">
        <f>VALUE(MID($W240,M240+1,N240-(M240+1)))</f>
        <v>4402</v>
      </c>
      <c r="G240" s="6">
        <f>VALUE(MID($W240,N240+1,O240-(N240+1)))</f>
        <v>320</v>
      </c>
      <c r="H240" s="6">
        <f>VALUE(MID($W240,O240+1,P240-(O240+1)))</f>
        <v>1313</v>
      </c>
      <c r="I240" s="6">
        <f>VALUE(MID($W240,P240+1,Q240-(P240+1)))</f>
        <v>3172</v>
      </c>
      <c r="J240" s="6">
        <f>VALUE(MID($W240,Q240+1,R240-(Q240+1)))</f>
        <v>4744</v>
      </c>
      <c r="K240" s="4">
        <f>VALUE(MID(W240,R240+1,LEN(W240)-(R240)))</f>
        <v>4493</v>
      </c>
      <c r="L240" s="4">
        <f>SEARCH(",",W240,X240)</f>
        <v>15</v>
      </c>
      <c r="M240" s="4">
        <f>SEARCH(",",$W240,L240+1)</f>
        <v>21</v>
      </c>
      <c r="N240" s="4">
        <f>SEARCH(",",$W240,M240+1)</f>
        <v>27</v>
      </c>
      <c r="O240" s="4">
        <f>SEARCH(",",$W240,N240+1)</f>
        <v>32</v>
      </c>
      <c r="P240" s="4">
        <f>SEARCH(",",$W240,O240+1)</f>
        <v>38</v>
      </c>
      <c r="Q240" s="4">
        <f>SEARCH(",",$W240,P240+1)</f>
        <v>44</v>
      </c>
      <c r="R240" s="4">
        <f>SEARCH(",",$W240,Q240+1)</f>
        <v>50</v>
      </c>
      <c r="T240" t="s">
        <v>709</v>
      </c>
      <c r="U240">
        <f>SEARCH(":",T240)</f>
        <v>6</v>
      </c>
      <c r="V240" t="str">
        <f>MID(T240,U240+1,LEN(T240)-(U240))</f>
        <v xml:space="preserve"> 161564 ** -323, -779, 4402, 320, 1313, 3172, 4744, 4493</v>
      </c>
      <c r="W240" t="str">
        <f>TRIM(V240)</f>
        <v>161564 ** -323, -779, 4402, 320, 1313, 3172, 4744, 4493</v>
      </c>
      <c r="X240">
        <f>SEARCH("~*",W240)</f>
        <v>8</v>
      </c>
      <c r="Y240" t="str">
        <f>LEFT(W240,X240-1)</f>
        <v xml:space="preserve">161564 </v>
      </c>
      <c r="AA240" t="str">
        <f>CONCATENATE(A240,",",D240,",",E240,",",F240,",",G240,",",H240,",",I240,",",J240,",",K240)</f>
        <v>161564,-323,-779,4402,320,1313,3172,4744,4493</v>
      </c>
    </row>
    <row r="241" spans="1:27">
      <c r="A241" s="1">
        <f>IF(ISBLANK(T241),"",VALUE(Y241))</f>
        <v>150904</v>
      </c>
      <c r="B241" s="1">
        <f>A241*4/10 -18</f>
        <v>60343.6</v>
      </c>
      <c r="C241" s="3">
        <f>B241/7000000</f>
        <v>8.6205142857142848E-3</v>
      </c>
      <c r="D241" s="6">
        <f>VALUE(MID(W241,$X241+2,L241-(X241+2)))</f>
        <v>-315</v>
      </c>
      <c r="E241" s="6">
        <f>VALUE(MID($W241,L241+1,M241-(L241+1)))</f>
        <v>-780</v>
      </c>
      <c r="F241" s="6">
        <f>VALUE(MID($W241,M241+1,N241-(M241+1)))</f>
        <v>4399</v>
      </c>
      <c r="G241" s="6">
        <f>VALUE(MID($W241,N241+1,O241-(N241+1)))</f>
        <v>326</v>
      </c>
      <c r="H241" s="6">
        <f>VALUE(MID($W241,O241+1,P241-(O241+1)))</f>
        <v>1314</v>
      </c>
      <c r="I241" s="6">
        <f>VALUE(MID($W241,P241+1,Q241-(P241+1)))</f>
        <v>3175</v>
      </c>
      <c r="J241" s="6">
        <f>VALUE(MID($W241,Q241+1,R241-(Q241+1)))</f>
        <v>4743</v>
      </c>
      <c r="K241" s="4">
        <f>VALUE(MID(W241,R241+1,LEN(W241)-(R241)))</f>
        <v>4498</v>
      </c>
      <c r="L241" s="4">
        <f>SEARCH(",",W241,X241)</f>
        <v>15</v>
      </c>
      <c r="M241" s="4">
        <f>SEARCH(",",$W241,L241+1)</f>
        <v>21</v>
      </c>
      <c r="N241" s="4">
        <f>SEARCH(",",$W241,M241+1)</f>
        <v>27</v>
      </c>
      <c r="O241" s="4">
        <f>SEARCH(",",$W241,N241+1)</f>
        <v>32</v>
      </c>
      <c r="P241" s="4">
        <f>SEARCH(",",$W241,O241+1)</f>
        <v>38</v>
      </c>
      <c r="Q241" s="4">
        <f>SEARCH(",",$W241,P241+1)</f>
        <v>44</v>
      </c>
      <c r="R241" s="4">
        <f>SEARCH(",",$W241,Q241+1)</f>
        <v>50</v>
      </c>
      <c r="T241" t="s">
        <v>697</v>
      </c>
      <c r="U241">
        <f>SEARCH(":",T241)</f>
        <v>6</v>
      </c>
      <c r="V241" t="str">
        <f>MID(T241,U241+1,LEN(T241)-(U241))</f>
        <v xml:space="preserve"> 150904 ** -315, -780, 4399, 326, 1314, 3175, 4743, 4498</v>
      </c>
      <c r="W241" t="str">
        <f>TRIM(V241)</f>
        <v>150904 ** -315, -780, 4399, 326, 1314, 3175, 4743, 4498</v>
      </c>
      <c r="X241">
        <f>SEARCH("~*",W241)</f>
        <v>8</v>
      </c>
      <c r="Y241" t="str">
        <f>LEFT(W241,X241-1)</f>
        <v xml:space="preserve">150904 </v>
      </c>
      <c r="AA241" t="str">
        <f>CONCATENATE(A241,",",D241,",",E241,",",F241,",",G241,",",H241,",",I241,",",J241,",",K241)</f>
        <v>150904,-315,-780,4399,326,1314,3175,4743,4498</v>
      </c>
    </row>
    <row r="242" spans="1:27">
      <c r="A242" s="1">
        <f>IF(ISBLANK(T242),"",VALUE(Y242))</f>
        <v>148875</v>
      </c>
      <c r="B242" s="1">
        <f>A242*4/10 -18</f>
        <v>59532</v>
      </c>
      <c r="C242" s="3">
        <f>B242/7000000</f>
        <v>8.504571428571429E-3</v>
      </c>
      <c r="D242" s="6">
        <f>VALUE(MID(W242,$X242+2,L242-(X242+2)))</f>
        <v>-323</v>
      </c>
      <c r="E242" s="6">
        <f>VALUE(MID($W242,L242+1,M242-(L242+1)))</f>
        <v>-774</v>
      </c>
      <c r="F242" s="6">
        <f>VALUE(MID($W242,M242+1,N242-(M242+1)))</f>
        <v>4403</v>
      </c>
      <c r="G242" s="6">
        <f>VALUE(MID($W242,N242+1,O242-(N242+1)))</f>
        <v>323</v>
      </c>
      <c r="H242" s="6">
        <f>VALUE(MID($W242,O242+1,P242-(O242+1)))</f>
        <v>1316</v>
      </c>
      <c r="I242" s="6">
        <f>VALUE(MID($W242,P242+1,Q242-(P242+1)))</f>
        <v>3175</v>
      </c>
      <c r="J242" s="6">
        <f>VALUE(MID($W242,Q242+1,R242-(Q242+1)))</f>
        <v>4746</v>
      </c>
      <c r="K242" s="4">
        <f>VALUE(MID(W242,R242+1,LEN(W242)-(R242)))</f>
        <v>4499</v>
      </c>
      <c r="L242" s="4">
        <f>SEARCH(",",W242,X242)</f>
        <v>15</v>
      </c>
      <c r="M242" s="4">
        <f>SEARCH(",",$W242,L242+1)</f>
        <v>21</v>
      </c>
      <c r="N242" s="4">
        <f>SEARCH(",",$W242,M242+1)</f>
        <v>27</v>
      </c>
      <c r="O242" s="4">
        <f>SEARCH(",",$W242,N242+1)</f>
        <v>32</v>
      </c>
      <c r="P242" s="4">
        <f>SEARCH(",",$W242,O242+1)</f>
        <v>38</v>
      </c>
      <c r="Q242" s="4">
        <f>SEARCH(",",$W242,P242+1)</f>
        <v>44</v>
      </c>
      <c r="R242" s="4">
        <f>SEARCH(",",$W242,Q242+1)</f>
        <v>50</v>
      </c>
      <c r="T242" t="s">
        <v>710</v>
      </c>
      <c r="U242">
        <f>SEARCH(":",T242)</f>
        <v>6</v>
      </c>
      <c r="V242" t="str">
        <f>MID(T242,U242+1,LEN(T242)-(U242))</f>
        <v xml:space="preserve"> 148875 ** -323, -774, 4403, 323, 1316, 3175, 4746, 4499</v>
      </c>
      <c r="W242" t="str">
        <f>TRIM(V242)</f>
        <v>148875 ** -323, -774, 4403, 323, 1316, 3175, 4746, 4499</v>
      </c>
      <c r="X242">
        <f>SEARCH("~*",W242)</f>
        <v>8</v>
      </c>
      <c r="Y242" t="str">
        <f>LEFT(W242,X242-1)</f>
        <v xml:space="preserve">148875 </v>
      </c>
      <c r="AA242" t="str">
        <f>CONCATENATE(A242,",",D242,",",E242,",",F242,",",G242,",",H242,",",I242,",",J242,",",K242)</f>
        <v>148875,-323,-774,4403,323,1316,3175,4746,4499</v>
      </c>
    </row>
    <row r="243" spans="1:27">
      <c r="A243" s="1">
        <f>IF(ISBLANK(T243),"",VALUE(Y243))</f>
        <v>142370</v>
      </c>
      <c r="B243" s="1">
        <f>A243*4/10 -18</f>
        <v>56930</v>
      </c>
      <c r="C243" s="3">
        <f>B243/7000000</f>
        <v>8.1328571428571431E-3</v>
      </c>
      <c r="D243" s="6">
        <f>VALUE(MID(W243,$X243+2,L243-(X243+2)))</f>
        <v>-317</v>
      </c>
      <c r="E243" s="6">
        <f>VALUE(MID($W243,L243+1,M243-(L243+1)))</f>
        <v>-779</v>
      </c>
      <c r="F243" s="6">
        <f>VALUE(MID($W243,M243+1,N243-(M243+1)))</f>
        <v>4403</v>
      </c>
      <c r="G243" s="6">
        <f>VALUE(MID($W243,N243+1,O243-(N243+1)))</f>
        <v>327</v>
      </c>
      <c r="H243" s="6">
        <f>VALUE(MID($W243,O243+1,P243-(O243+1)))</f>
        <v>1313</v>
      </c>
      <c r="I243" s="6">
        <f>VALUE(MID($W243,P243+1,Q243-(P243+1)))</f>
        <v>3173</v>
      </c>
      <c r="J243" s="6">
        <f>VALUE(MID($W243,Q243+1,R243-(Q243+1)))</f>
        <v>4748</v>
      </c>
      <c r="K243" s="4">
        <f>VALUE(MID(W243,R243+1,LEN(W243)-(R243)))</f>
        <v>4496</v>
      </c>
      <c r="L243" s="4">
        <f>SEARCH(",",W243,X243)</f>
        <v>15</v>
      </c>
      <c r="M243" s="4">
        <f>SEARCH(",",$W243,L243+1)</f>
        <v>21</v>
      </c>
      <c r="N243" s="4">
        <f>SEARCH(",",$W243,M243+1)</f>
        <v>27</v>
      </c>
      <c r="O243" s="4">
        <f>SEARCH(",",$W243,N243+1)</f>
        <v>32</v>
      </c>
      <c r="P243" s="4">
        <f>SEARCH(",",$W243,O243+1)</f>
        <v>38</v>
      </c>
      <c r="Q243" s="4">
        <f>SEARCH(",",$W243,P243+1)</f>
        <v>44</v>
      </c>
      <c r="R243" s="4">
        <f>SEARCH(",",$W243,Q243+1)</f>
        <v>50</v>
      </c>
      <c r="T243" t="s">
        <v>721</v>
      </c>
      <c r="U243">
        <f>SEARCH(":",T243)</f>
        <v>6</v>
      </c>
      <c r="V243" t="str">
        <f>MID(T243,U243+1,LEN(T243)-(U243))</f>
        <v xml:space="preserve"> 142370 ** -317, -779, 4403, 327, 1313, 3173, 4748, 4496</v>
      </c>
      <c r="W243" t="str">
        <f>TRIM(V243)</f>
        <v>142370 ** -317, -779, 4403, 327, 1313, 3173, 4748, 4496</v>
      </c>
      <c r="X243">
        <f>SEARCH("~*",W243)</f>
        <v>8</v>
      </c>
      <c r="Y243" t="str">
        <f>LEFT(W243,X243-1)</f>
        <v xml:space="preserve">142370 </v>
      </c>
      <c r="AA243" t="str">
        <f>CONCATENATE(A243,",",D243,",",E243,",",F243,",",G243,",",H243,",",I243,",",J243,",",K243)</f>
        <v>142370,-317,-779,4403,327,1313,3173,4748,4496</v>
      </c>
    </row>
    <row r="244" spans="1:27">
      <c r="A244" s="1">
        <f>IF(ISBLANK(T244),"",VALUE(Y244))</f>
        <v>133842</v>
      </c>
      <c r="B244" s="1">
        <f>A244*4/10 -18</f>
        <v>53518.8</v>
      </c>
      <c r="C244" s="3">
        <f>B244/7000000</f>
        <v>7.6455428571428575E-3</v>
      </c>
      <c r="D244" s="6">
        <f>VALUE(MID(W244,$X244+2,L244-(X244+2)))</f>
        <v>-320</v>
      </c>
      <c r="E244" s="6">
        <f>VALUE(MID($W244,L244+1,M244-(L244+1)))</f>
        <v>-781</v>
      </c>
      <c r="F244" s="6">
        <f>VALUE(MID($W244,M244+1,N244-(M244+1)))</f>
        <v>4403</v>
      </c>
      <c r="G244" s="6">
        <f>VALUE(MID($W244,N244+1,O244-(N244+1)))</f>
        <v>321</v>
      </c>
      <c r="H244" s="6">
        <f>VALUE(MID($W244,O244+1,P244-(O244+1)))</f>
        <v>1313</v>
      </c>
      <c r="I244" s="6">
        <f>VALUE(MID($W244,P244+1,Q244-(P244+1)))</f>
        <v>3170</v>
      </c>
      <c r="J244" s="6">
        <f>VALUE(MID($W244,Q244+1,R244-(Q244+1)))</f>
        <v>4744</v>
      </c>
      <c r="K244" s="4">
        <f>VALUE(MID(W244,R244+1,LEN(W244)-(R244)))</f>
        <v>4498</v>
      </c>
      <c r="L244" s="4">
        <f>SEARCH(",",W244,X244)</f>
        <v>15</v>
      </c>
      <c r="M244" s="4">
        <f>SEARCH(",",$W244,L244+1)</f>
        <v>21</v>
      </c>
      <c r="N244" s="4">
        <f>SEARCH(",",$W244,M244+1)</f>
        <v>27</v>
      </c>
      <c r="O244" s="4">
        <f>SEARCH(",",$W244,N244+1)</f>
        <v>32</v>
      </c>
      <c r="P244" s="4">
        <f>SEARCH(",",$W244,O244+1)</f>
        <v>38</v>
      </c>
      <c r="Q244" s="4">
        <f>SEARCH(",",$W244,P244+1)</f>
        <v>44</v>
      </c>
      <c r="R244" s="4">
        <f>SEARCH(",",$W244,Q244+1)</f>
        <v>50</v>
      </c>
      <c r="T244" t="s">
        <v>846</v>
      </c>
      <c r="U244">
        <f>SEARCH(":",T244)</f>
        <v>6</v>
      </c>
      <c r="V244" t="str">
        <f>MID(T244,U244+1,LEN(T244)-(U244))</f>
        <v xml:space="preserve"> 133842 ** -320, -781, 4403, 321, 1313, 3170, 4744, 4498</v>
      </c>
      <c r="W244" t="str">
        <f>TRIM(V244)</f>
        <v>133842 ** -320, -781, 4403, 321, 1313, 3170, 4744, 4498</v>
      </c>
      <c r="X244">
        <f>SEARCH("~*",W244)</f>
        <v>8</v>
      </c>
      <c r="Y244" t="str">
        <f>LEFT(W244,X244-1)</f>
        <v xml:space="preserve">133842 </v>
      </c>
      <c r="AA244" t="str">
        <f>CONCATENATE(A244,",",D244,",",E244,",",F244,",",G244,",",H244,",",I244,",",J244,",",K244)</f>
        <v>133842,-320,-781,4403,321,1313,3170,4744,4498</v>
      </c>
    </row>
    <row r="245" spans="1:27">
      <c r="A245" s="1">
        <f>IF(ISBLANK(T245),"",VALUE(Y245))</f>
        <v>130181</v>
      </c>
      <c r="B245" s="1">
        <f>A245*4/10 -18</f>
        <v>52054.400000000001</v>
      </c>
      <c r="C245" s="3">
        <f>B245/7000000</f>
        <v>7.436342857142857E-3</v>
      </c>
      <c r="D245" s="6">
        <f>VALUE(MID(W245,$X245+2,L245-(X245+2)))</f>
        <v>-315</v>
      </c>
      <c r="E245" s="6">
        <f>VALUE(MID($W245,L245+1,M245-(L245+1)))</f>
        <v>-781</v>
      </c>
      <c r="F245" s="6">
        <f>VALUE(MID($W245,M245+1,N245-(M245+1)))</f>
        <v>4407</v>
      </c>
      <c r="G245" s="6">
        <f>VALUE(MID($W245,N245+1,O245-(N245+1)))</f>
        <v>329</v>
      </c>
      <c r="H245" s="6">
        <f>VALUE(MID($W245,O245+1,P245-(O245+1)))</f>
        <v>1319</v>
      </c>
      <c r="I245" s="6">
        <f>VALUE(MID($W245,P245+1,Q245-(P245+1)))</f>
        <v>3174</v>
      </c>
      <c r="J245" s="6">
        <f>VALUE(MID($W245,Q245+1,R245-(Q245+1)))</f>
        <v>4744</v>
      </c>
      <c r="K245" s="4">
        <f>VALUE(MID(W245,R245+1,LEN(W245)-(R245)))</f>
        <v>4500</v>
      </c>
      <c r="L245" s="4">
        <f>SEARCH(",",W245,X245)</f>
        <v>15</v>
      </c>
      <c r="M245" s="4">
        <f>SEARCH(",",$W245,L245+1)</f>
        <v>21</v>
      </c>
      <c r="N245" s="4">
        <f>SEARCH(",",$W245,M245+1)</f>
        <v>27</v>
      </c>
      <c r="O245" s="4">
        <f>SEARCH(",",$W245,N245+1)</f>
        <v>32</v>
      </c>
      <c r="P245" s="4">
        <f>SEARCH(",",$W245,O245+1)</f>
        <v>38</v>
      </c>
      <c r="Q245" s="4">
        <f>SEARCH(",",$W245,P245+1)</f>
        <v>44</v>
      </c>
      <c r="R245" s="4">
        <f>SEARCH(",",$W245,Q245+1)</f>
        <v>50</v>
      </c>
      <c r="T245" t="s">
        <v>771</v>
      </c>
      <c r="U245">
        <f>SEARCH(":",T245)</f>
        <v>6</v>
      </c>
      <c r="V245" t="str">
        <f>MID(T245,U245+1,LEN(T245)-(U245))</f>
        <v xml:space="preserve"> 130181 ** -315, -781, 4407, 329, 1319, 3174, 4744, 4500</v>
      </c>
      <c r="W245" t="str">
        <f>TRIM(V245)</f>
        <v>130181 ** -315, -781, 4407, 329, 1319, 3174, 4744, 4500</v>
      </c>
      <c r="X245">
        <f>SEARCH("~*",W245)</f>
        <v>8</v>
      </c>
      <c r="Y245" t="str">
        <f>LEFT(W245,X245-1)</f>
        <v xml:space="preserve">130181 </v>
      </c>
      <c r="AA245" t="str">
        <f>CONCATENATE(A245,",",D245,",",E245,",",F245,",",G245,",",H245,",",I245,",",J245,",",K245)</f>
        <v>130181,-315,-781,4407,329,1319,3174,4744,4500</v>
      </c>
    </row>
    <row r="246" spans="1:27">
      <c r="A246" s="1">
        <f>IF(ISBLANK(T246),"",VALUE(Y246))</f>
        <v>129268</v>
      </c>
      <c r="B246" s="1">
        <f>A246*4/10 -18</f>
        <v>51689.2</v>
      </c>
      <c r="C246" s="3">
        <f>B246/7000000</f>
        <v>7.3841714285714285E-3</v>
      </c>
      <c r="D246" s="6">
        <f>VALUE(MID(W246,$X246+2,L246-(X246+2)))</f>
        <v>-318</v>
      </c>
      <c r="E246" s="6">
        <f>VALUE(MID($W246,L246+1,M246-(L246+1)))</f>
        <v>-773</v>
      </c>
      <c r="F246" s="6">
        <f>VALUE(MID($W246,M246+1,N246-(M246+1)))</f>
        <v>4402</v>
      </c>
      <c r="G246" s="6">
        <f>VALUE(MID($W246,N246+1,O246-(N246+1)))</f>
        <v>321</v>
      </c>
      <c r="H246" s="6">
        <f>VALUE(MID($W246,O246+1,P246-(O246+1)))</f>
        <v>1318</v>
      </c>
      <c r="I246" s="6">
        <f>VALUE(MID($W246,P246+1,Q246-(P246+1)))</f>
        <v>3174</v>
      </c>
      <c r="J246" s="6">
        <f>VALUE(MID($W246,Q246+1,R246-(Q246+1)))</f>
        <v>4740</v>
      </c>
      <c r="K246" s="4">
        <f>VALUE(MID(W246,R246+1,LEN(W246)-(R246)))</f>
        <v>4492</v>
      </c>
      <c r="L246" s="4">
        <f>SEARCH(",",W246,X246)</f>
        <v>15</v>
      </c>
      <c r="M246" s="4">
        <f>SEARCH(",",$W246,L246+1)</f>
        <v>21</v>
      </c>
      <c r="N246" s="4">
        <f>SEARCH(",",$W246,M246+1)</f>
        <v>27</v>
      </c>
      <c r="O246" s="4">
        <f>SEARCH(",",$W246,N246+1)</f>
        <v>32</v>
      </c>
      <c r="P246" s="4">
        <f>SEARCH(",",$W246,O246+1)</f>
        <v>38</v>
      </c>
      <c r="Q246" s="4">
        <f>SEARCH(",",$W246,P246+1)</f>
        <v>44</v>
      </c>
      <c r="R246" s="4">
        <f>SEARCH(",",$W246,Q246+1)</f>
        <v>50</v>
      </c>
      <c r="T246" t="s">
        <v>737</v>
      </c>
      <c r="U246">
        <f>SEARCH(":",T246)</f>
        <v>6</v>
      </c>
      <c r="V246" t="str">
        <f>MID(T246,U246+1,LEN(T246)-(U246))</f>
        <v xml:space="preserve"> 129268 ** -318, -773, 4402, 321, 1318, 3174, 4740, 4492</v>
      </c>
      <c r="W246" t="str">
        <f>TRIM(V246)</f>
        <v>129268 ** -318, -773, 4402, 321, 1318, 3174, 4740, 4492</v>
      </c>
      <c r="X246">
        <f>SEARCH("~*",W246)</f>
        <v>8</v>
      </c>
      <c r="Y246" t="str">
        <f>LEFT(W246,X246-1)</f>
        <v xml:space="preserve">129268 </v>
      </c>
      <c r="AA246" t="str">
        <f>CONCATENATE(A246,",",D246,",",E246,",",F246,",",G246,",",H246,",",I246,",",J246,",",K246)</f>
        <v>129268,-318,-773,4402,321,1318,3174,4740,4492</v>
      </c>
    </row>
    <row r="247" spans="1:27">
      <c r="A247" s="1">
        <f>IF(ISBLANK(T247),"",VALUE(Y247))</f>
        <v>128396</v>
      </c>
      <c r="B247" s="1">
        <f>A247*4/10 -18</f>
        <v>51340.4</v>
      </c>
      <c r="C247" s="3">
        <f>B247/7000000</f>
        <v>7.3343428571428573E-3</v>
      </c>
      <c r="D247" s="6">
        <f>VALUE(MID(W247,$X247+2,L247-(X247+2)))</f>
        <v>-323</v>
      </c>
      <c r="E247" s="6">
        <f>VALUE(MID($W247,L247+1,M247-(L247+1)))</f>
        <v>-775</v>
      </c>
      <c r="F247" s="6">
        <f>VALUE(MID($W247,M247+1,N247-(M247+1)))</f>
        <v>4407</v>
      </c>
      <c r="G247" s="6">
        <f>VALUE(MID($W247,N247+1,O247-(N247+1)))</f>
        <v>321</v>
      </c>
      <c r="H247" s="6">
        <f>VALUE(MID($W247,O247+1,P247-(O247+1)))</f>
        <v>1321</v>
      </c>
      <c r="I247" s="6">
        <f>VALUE(MID($W247,P247+1,Q247-(P247+1)))</f>
        <v>3169</v>
      </c>
      <c r="J247" s="6">
        <f>VALUE(MID($W247,Q247+1,R247-(Q247+1)))</f>
        <v>4744</v>
      </c>
      <c r="K247" s="4">
        <f>VALUE(MID(W247,R247+1,LEN(W247)-(R247)))</f>
        <v>4493</v>
      </c>
      <c r="L247" s="4">
        <f>SEARCH(",",W247,X247)</f>
        <v>15</v>
      </c>
      <c r="M247" s="4">
        <f>SEARCH(",",$W247,L247+1)</f>
        <v>21</v>
      </c>
      <c r="N247" s="4">
        <f>SEARCH(",",$W247,M247+1)</f>
        <v>27</v>
      </c>
      <c r="O247" s="4">
        <f>SEARCH(",",$W247,N247+1)</f>
        <v>32</v>
      </c>
      <c r="P247" s="4">
        <f>SEARCH(",",$W247,O247+1)</f>
        <v>38</v>
      </c>
      <c r="Q247" s="4">
        <f>SEARCH(",",$W247,P247+1)</f>
        <v>44</v>
      </c>
      <c r="R247" s="4">
        <f>SEARCH(",",$W247,Q247+1)</f>
        <v>50</v>
      </c>
      <c r="T247" t="s">
        <v>702</v>
      </c>
      <c r="U247">
        <f>SEARCH(":",T247)</f>
        <v>6</v>
      </c>
      <c r="V247" t="str">
        <f>MID(T247,U247+1,LEN(T247)-(U247))</f>
        <v xml:space="preserve"> 128396 ** -323, -775, 4407, 321, 1321, 3169, 4744, 4493</v>
      </c>
      <c r="W247" t="str">
        <f>TRIM(V247)</f>
        <v>128396 ** -323, -775, 4407, 321, 1321, 3169, 4744, 4493</v>
      </c>
      <c r="X247">
        <f>SEARCH("~*",W247)</f>
        <v>8</v>
      </c>
      <c r="Y247" t="str">
        <f>LEFT(W247,X247-1)</f>
        <v xml:space="preserve">128396 </v>
      </c>
      <c r="AA247" t="str">
        <f>CONCATENATE(A247,",",D247,",",E247,",",F247,",",G247,",",H247,",",I247,",",J247,",",K247)</f>
        <v>128396,-323,-775,4407,321,1321,3169,4744,4493</v>
      </c>
    </row>
    <row r="248" spans="1:27">
      <c r="A248" s="1">
        <f>IF(ISBLANK(T248),"",VALUE(Y248))</f>
        <v>121601</v>
      </c>
      <c r="B248" s="1">
        <f>A248*4/10 -18</f>
        <v>48622.400000000001</v>
      </c>
      <c r="C248" s="3">
        <f>B248/7000000</f>
        <v>6.9460571428571431E-3</v>
      </c>
      <c r="D248" s="6">
        <f>VALUE(MID(W248,$X248+2,L248-(X248+2)))</f>
        <v>-316</v>
      </c>
      <c r="E248" s="6">
        <f>VALUE(MID($W248,L248+1,M248-(L248+1)))</f>
        <v>-781</v>
      </c>
      <c r="F248" s="6">
        <f>VALUE(MID($W248,M248+1,N248-(M248+1)))</f>
        <v>4402</v>
      </c>
      <c r="G248" s="6">
        <f>VALUE(MID($W248,N248+1,O248-(N248+1)))</f>
        <v>328</v>
      </c>
      <c r="H248" s="6">
        <f>VALUE(MID($W248,O248+1,P248-(O248+1)))</f>
        <v>1312</v>
      </c>
      <c r="I248" s="6">
        <f>VALUE(MID($W248,P248+1,Q248-(P248+1)))</f>
        <v>3175</v>
      </c>
      <c r="J248" s="6">
        <f>VALUE(MID($W248,Q248+1,R248-(Q248+1)))</f>
        <v>4747</v>
      </c>
      <c r="K248" s="4">
        <f>VALUE(MID(W248,R248+1,LEN(W248)-(R248)))</f>
        <v>4497</v>
      </c>
      <c r="L248" s="4">
        <f>SEARCH(",",W248,X248)</f>
        <v>15</v>
      </c>
      <c r="M248" s="4">
        <f>SEARCH(",",$W248,L248+1)</f>
        <v>21</v>
      </c>
      <c r="N248" s="4">
        <f>SEARCH(",",$W248,M248+1)</f>
        <v>27</v>
      </c>
      <c r="O248" s="4">
        <f>SEARCH(",",$W248,N248+1)</f>
        <v>32</v>
      </c>
      <c r="P248" s="4">
        <f>SEARCH(",",$W248,O248+1)</f>
        <v>38</v>
      </c>
      <c r="Q248" s="4">
        <f>SEARCH(",",$W248,P248+1)</f>
        <v>44</v>
      </c>
      <c r="R248" s="4">
        <f>SEARCH(",",$W248,Q248+1)</f>
        <v>50</v>
      </c>
      <c r="T248" t="s">
        <v>750</v>
      </c>
      <c r="U248">
        <f>SEARCH(":",T248)</f>
        <v>6</v>
      </c>
      <c r="V248" t="str">
        <f>MID(T248,U248+1,LEN(T248)-(U248))</f>
        <v xml:space="preserve"> 121601 ** -316, -781, 4402, 328, 1312, 3175, 4747, 4497</v>
      </c>
      <c r="W248" t="str">
        <f>TRIM(V248)</f>
        <v>121601 ** -316, -781, 4402, 328, 1312, 3175, 4747, 4497</v>
      </c>
      <c r="X248">
        <f>SEARCH("~*",W248)</f>
        <v>8</v>
      </c>
      <c r="Y248" t="str">
        <f>LEFT(W248,X248-1)</f>
        <v xml:space="preserve">121601 </v>
      </c>
      <c r="AA248" t="str">
        <f>CONCATENATE(A248,",",D248,",",E248,",",F248,",",G248,",",H248,",",I248,",",J248,",",K248)</f>
        <v>121601,-316,-781,4402,328,1312,3175,4747,4497</v>
      </c>
    </row>
    <row r="249" spans="1:27">
      <c r="A249" s="1">
        <f>IF(ISBLANK(T249),"",VALUE(Y249))</f>
        <v>115322</v>
      </c>
      <c r="B249" s="1">
        <f>A249*4/10 -18</f>
        <v>46110.8</v>
      </c>
      <c r="C249" s="3">
        <f>B249/7000000</f>
        <v>6.5872571428571437E-3</v>
      </c>
      <c r="D249" s="6">
        <f>VALUE(MID(W249,$X249+2,L249-(X249+2)))</f>
        <v>-318</v>
      </c>
      <c r="E249" s="6">
        <f>VALUE(MID($W249,L249+1,M249-(L249+1)))</f>
        <v>-779</v>
      </c>
      <c r="F249" s="6">
        <f>VALUE(MID($W249,M249+1,N249-(M249+1)))</f>
        <v>4402</v>
      </c>
      <c r="G249" s="6">
        <f>VALUE(MID($W249,N249+1,O249-(N249+1)))</f>
        <v>325</v>
      </c>
      <c r="H249" s="6">
        <f>VALUE(MID($W249,O249+1,P249-(O249+1)))</f>
        <v>1318</v>
      </c>
      <c r="I249" s="6">
        <f>VALUE(MID($W249,P249+1,Q249-(P249+1)))</f>
        <v>3169</v>
      </c>
      <c r="J249" s="6">
        <f>VALUE(MID($W249,Q249+1,R249-(Q249+1)))</f>
        <v>4739</v>
      </c>
      <c r="K249" s="4">
        <f>VALUE(MID(W249,R249+1,LEN(W249)-(R249)))</f>
        <v>4497</v>
      </c>
      <c r="L249" s="4">
        <f>SEARCH(",",W249,X249)</f>
        <v>15</v>
      </c>
      <c r="M249" s="4">
        <f>SEARCH(",",$W249,L249+1)</f>
        <v>21</v>
      </c>
      <c r="N249" s="4">
        <f>SEARCH(",",$W249,M249+1)</f>
        <v>27</v>
      </c>
      <c r="O249" s="4">
        <f>SEARCH(",",$W249,N249+1)</f>
        <v>32</v>
      </c>
      <c r="P249" s="4">
        <f>SEARCH(",",$W249,O249+1)</f>
        <v>38</v>
      </c>
      <c r="Q249" s="4">
        <f>SEARCH(",",$W249,P249+1)</f>
        <v>44</v>
      </c>
      <c r="R249" s="4">
        <f>SEARCH(",",$W249,Q249+1)</f>
        <v>50</v>
      </c>
      <c r="T249" t="s">
        <v>798</v>
      </c>
      <c r="U249">
        <f>SEARCH(":",T249)</f>
        <v>6</v>
      </c>
      <c r="V249" t="str">
        <f>MID(T249,U249+1,LEN(T249)-(U249))</f>
        <v xml:space="preserve"> 115322 ** -318, -779, 4402, 325, 1318, 3169, 4739, 4497</v>
      </c>
      <c r="W249" t="str">
        <f>TRIM(V249)</f>
        <v>115322 ** -318, -779, 4402, 325, 1318, 3169, 4739, 4497</v>
      </c>
      <c r="X249">
        <f>SEARCH("~*",W249)</f>
        <v>8</v>
      </c>
      <c r="Y249" t="str">
        <f>LEFT(W249,X249-1)</f>
        <v xml:space="preserve">115322 </v>
      </c>
      <c r="AA249" t="str">
        <f>CONCATENATE(A249,",",D249,",",E249,",",F249,",",G249,",",H249,",",I249,",",J249,",",K249)</f>
        <v>115322,-318,-779,4402,325,1318,3169,4739,4497</v>
      </c>
    </row>
    <row r="250" spans="1:27">
      <c r="A250" s="1">
        <f>IF(ISBLANK(T250),"",VALUE(Y250))</f>
        <v>110586</v>
      </c>
      <c r="B250" s="1">
        <f>A250*4/10 -18</f>
        <v>44216.4</v>
      </c>
      <c r="C250" s="3">
        <f>B250/7000000</f>
        <v>6.3166285714285715E-3</v>
      </c>
      <c r="D250" s="6">
        <f>VALUE(MID(W250,$X250+2,L250-(X250+2)))</f>
        <v>-320</v>
      </c>
      <c r="E250" s="6">
        <f>VALUE(MID($W250,L250+1,M250-(L250+1)))</f>
        <v>-778</v>
      </c>
      <c r="F250" s="6">
        <f>VALUE(MID($W250,M250+1,N250-(M250+1)))</f>
        <v>4402</v>
      </c>
      <c r="G250" s="6">
        <f>VALUE(MID($W250,N250+1,O250-(N250+1)))</f>
        <v>326</v>
      </c>
      <c r="H250" s="6">
        <f>VALUE(MID($W250,O250+1,P250-(O250+1)))</f>
        <v>1316</v>
      </c>
      <c r="I250" s="6">
        <f>VALUE(MID($W250,P250+1,Q250-(P250+1)))</f>
        <v>3170</v>
      </c>
      <c r="J250" s="6">
        <f>VALUE(MID($W250,Q250+1,R250-(Q250+1)))</f>
        <v>4739</v>
      </c>
      <c r="K250" s="4">
        <f>VALUE(MID(W250,R250+1,LEN(W250)-(R250)))</f>
        <v>4498</v>
      </c>
      <c r="L250" s="4">
        <f>SEARCH(",",W250,X250)</f>
        <v>15</v>
      </c>
      <c r="M250" s="4">
        <f>SEARCH(",",$W250,L250+1)</f>
        <v>21</v>
      </c>
      <c r="N250" s="4">
        <f>SEARCH(",",$W250,M250+1)</f>
        <v>27</v>
      </c>
      <c r="O250" s="4">
        <f>SEARCH(",",$W250,N250+1)</f>
        <v>32</v>
      </c>
      <c r="P250" s="4">
        <f>SEARCH(",",$W250,O250+1)</f>
        <v>38</v>
      </c>
      <c r="Q250" s="4">
        <f>SEARCH(",",$W250,P250+1)</f>
        <v>44</v>
      </c>
      <c r="R250" s="4">
        <f>SEARCH(",",$W250,Q250+1)</f>
        <v>50</v>
      </c>
      <c r="T250" t="s">
        <v>594</v>
      </c>
      <c r="U250">
        <f>SEARCH(":",T250)</f>
        <v>6</v>
      </c>
      <c r="V250" t="str">
        <f>MID(T250,U250+1,LEN(T250)-(U250))</f>
        <v xml:space="preserve"> 110586 ** -320, -778, 4402, 326, 1316, 3170, 4739, 4498</v>
      </c>
      <c r="W250" t="str">
        <f>TRIM(V250)</f>
        <v>110586 ** -320, -778, 4402, 326, 1316, 3170, 4739, 4498</v>
      </c>
      <c r="X250">
        <f>SEARCH("~*",W250)</f>
        <v>8</v>
      </c>
      <c r="Y250" t="str">
        <f>LEFT(W250,X250-1)</f>
        <v xml:space="preserve">110586 </v>
      </c>
      <c r="AA250" t="str">
        <f>CONCATENATE(A250,",",D250,",",E250,",",F250,",",G250,",",H250,",",I250,",",J250,",",K250)</f>
        <v>110586,-320,-778,4402,326,1316,3170,4739,4498</v>
      </c>
    </row>
    <row r="251" spans="1:27">
      <c r="A251" s="1">
        <f>IF(ISBLANK(T251),"",VALUE(Y251))</f>
        <v>107274</v>
      </c>
      <c r="B251" s="1">
        <f>A251*4/10 -18</f>
        <v>42891.6</v>
      </c>
      <c r="C251" s="3">
        <f>B251/7000000</f>
        <v>6.1273714285714287E-3</v>
      </c>
      <c r="D251" s="6">
        <f>VALUE(MID(W251,$X251+2,L251-(X251+2)))</f>
        <v>-322</v>
      </c>
      <c r="E251" s="6">
        <f>VALUE(MID($W251,L251+1,M251-(L251+1)))</f>
        <v>-781</v>
      </c>
      <c r="F251" s="6">
        <f>VALUE(MID($W251,M251+1,N251-(M251+1)))</f>
        <v>4399</v>
      </c>
      <c r="G251" s="6">
        <f>VALUE(MID($W251,N251+1,O251-(N251+1)))</f>
        <v>322</v>
      </c>
      <c r="H251" s="6">
        <f>VALUE(MID($W251,O251+1,P251-(O251+1)))</f>
        <v>1320</v>
      </c>
      <c r="I251" s="6">
        <f>VALUE(MID($W251,P251+1,Q251-(P251+1)))</f>
        <v>3168</v>
      </c>
      <c r="J251" s="6">
        <f>VALUE(MID($W251,Q251+1,R251-(Q251+1)))</f>
        <v>4741</v>
      </c>
      <c r="K251" s="4">
        <f>VALUE(MID(W251,R251+1,LEN(W251)-(R251)))</f>
        <v>4496</v>
      </c>
      <c r="L251" s="4">
        <f>SEARCH(",",W251,X251)</f>
        <v>15</v>
      </c>
      <c r="M251" s="4">
        <f>SEARCH(",",$W251,L251+1)</f>
        <v>21</v>
      </c>
      <c r="N251" s="4">
        <f>SEARCH(",",$W251,M251+1)</f>
        <v>27</v>
      </c>
      <c r="O251" s="4">
        <f>SEARCH(",",$W251,N251+1)</f>
        <v>32</v>
      </c>
      <c r="P251" s="4">
        <f>SEARCH(",",$W251,O251+1)</f>
        <v>38</v>
      </c>
      <c r="Q251" s="4">
        <f>SEARCH(",",$W251,P251+1)</f>
        <v>44</v>
      </c>
      <c r="R251" s="4">
        <f>SEARCH(",",$W251,Q251+1)</f>
        <v>50</v>
      </c>
      <c r="T251" t="s">
        <v>639</v>
      </c>
      <c r="U251">
        <f>SEARCH(":",T251)</f>
        <v>6</v>
      </c>
      <c r="V251" t="str">
        <f>MID(T251,U251+1,LEN(T251)-(U251))</f>
        <v xml:space="preserve"> 107274 ** -322, -781, 4399, 322, 1320, 3168, 4741, 4496</v>
      </c>
      <c r="W251" t="str">
        <f>TRIM(V251)</f>
        <v>107274 ** -322, -781, 4399, 322, 1320, 3168, 4741, 4496</v>
      </c>
      <c r="X251">
        <f>SEARCH("~*",W251)</f>
        <v>8</v>
      </c>
      <c r="Y251" t="str">
        <f>LEFT(W251,X251-1)</f>
        <v xml:space="preserve">107274 </v>
      </c>
      <c r="AA251" t="str">
        <f>CONCATENATE(A251,",",D251,",",E251,",",F251,",",G251,",",H251,",",I251,",",J251,",",K251)</f>
        <v>107274,-322,-781,4399,322,1320,3168,4741,4496</v>
      </c>
    </row>
    <row r="252" spans="1:27">
      <c r="A252" s="1">
        <f>IF(ISBLANK(T252),"",VALUE(Y252))</f>
        <v>100628</v>
      </c>
      <c r="B252" s="1">
        <f>A252*4/10 -18</f>
        <v>40233.199999999997</v>
      </c>
      <c r="C252" s="3">
        <f>B252/7000000</f>
        <v>5.7475999999999994E-3</v>
      </c>
      <c r="D252" s="6">
        <f>VALUE(MID(W252,$X252+2,L252-(X252+2)))</f>
        <v>-315</v>
      </c>
      <c r="E252" s="6">
        <f>VALUE(MID($W252,L252+1,M252-(L252+1)))</f>
        <v>-782</v>
      </c>
      <c r="F252" s="6">
        <f>VALUE(MID($W252,M252+1,N252-(M252+1)))</f>
        <v>4403</v>
      </c>
      <c r="G252" s="6">
        <f>VALUE(MID($W252,N252+1,O252-(N252+1)))</f>
        <v>324</v>
      </c>
      <c r="H252" s="6">
        <f>VALUE(MID($W252,O252+1,P252-(O252+1)))</f>
        <v>1316</v>
      </c>
      <c r="I252" s="6">
        <f>VALUE(MID($W252,P252+1,Q252-(P252+1)))</f>
        <v>3173</v>
      </c>
      <c r="J252" s="6">
        <f>VALUE(MID($W252,Q252+1,R252-(Q252+1)))</f>
        <v>4744</v>
      </c>
      <c r="K252" s="4">
        <f>VALUE(MID(W252,R252+1,LEN(W252)-(R252)))</f>
        <v>4495</v>
      </c>
      <c r="L252" s="4">
        <f>SEARCH(",",W252,X252)</f>
        <v>15</v>
      </c>
      <c r="M252" s="4">
        <f>SEARCH(",",$W252,L252+1)</f>
        <v>21</v>
      </c>
      <c r="N252" s="4">
        <f>SEARCH(",",$W252,M252+1)</f>
        <v>27</v>
      </c>
      <c r="O252" s="4">
        <f>SEARCH(",",$W252,N252+1)</f>
        <v>32</v>
      </c>
      <c r="P252" s="4">
        <f>SEARCH(",",$W252,O252+1)</f>
        <v>38</v>
      </c>
      <c r="Q252" s="4">
        <f>SEARCH(",",$W252,P252+1)</f>
        <v>44</v>
      </c>
      <c r="R252" s="4">
        <f>SEARCH(",",$W252,Q252+1)</f>
        <v>50</v>
      </c>
      <c r="T252" t="s">
        <v>778</v>
      </c>
      <c r="U252">
        <f>SEARCH(":",T252)</f>
        <v>6</v>
      </c>
      <c r="V252" t="str">
        <f>MID(T252,U252+1,LEN(T252)-(U252))</f>
        <v xml:space="preserve"> 100628 ** -315, -782, 4403, 324, 1316, 3173, 4744, 4495</v>
      </c>
      <c r="W252" t="str">
        <f>TRIM(V252)</f>
        <v>100628 ** -315, -782, 4403, 324, 1316, 3173, 4744, 4495</v>
      </c>
      <c r="X252">
        <f>SEARCH("~*",W252)</f>
        <v>8</v>
      </c>
      <c r="Y252" t="str">
        <f>LEFT(W252,X252-1)</f>
        <v xml:space="preserve">100628 </v>
      </c>
      <c r="AA252" t="str">
        <f>CONCATENATE(A252,",",D252,",",E252,",",F252,",",G252,",",H252,",",I252,",",J252,",",K252)</f>
        <v>100628,-315,-782,4403,324,1316,3173,4744,4495</v>
      </c>
    </row>
    <row r="253" spans="1:27">
      <c r="A253" s="1">
        <f>IF(ISBLANK(T253),"",VALUE(Y253))</f>
        <v>100162</v>
      </c>
      <c r="B253" s="1">
        <f>A253*4/10 -18</f>
        <v>40046.800000000003</v>
      </c>
      <c r="C253" s="3">
        <f>B253/7000000</f>
        <v>5.7209714285714293E-3</v>
      </c>
      <c r="D253" s="6">
        <f>VALUE(MID(W253,$X253+2,L253-(X253+2)))</f>
        <v>-320</v>
      </c>
      <c r="E253" s="6">
        <f>VALUE(MID($W253,L253+1,M253-(L253+1)))</f>
        <v>-779</v>
      </c>
      <c r="F253" s="6">
        <f>VALUE(MID($W253,M253+1,N253-(M253+1)))</f>
        <v>4407</v>
      </c>
      <c r="G253" s="6">
        <f>VALUE(MID($W253,N253+1,O253-(N253+1)))</f>
        <v>326</v>
      </c>
      <c r="H253" s="6">
        <f>VALUE(MID($W253,O253+1,P253-(O253+1)))</f>
        <v>1314</v>
      </c>
      <c r="I253" s="6">
        <f>VALUE(MID($W253,P253+1,Q253-(P253+1)))</f>
        <v>3169</v>
      </c>
      <c r="J253" s="6">
        <f>VALUE(MID($W253,Q253+1,R253-(Q253+1)))</f>
        <v>4744</v>
      </c>
      <c r="K253" s="4">
        <f>VALUE(MID(W253,R253+1,LEN(W253)-(R253)))</f>
        <v>4492</v>
      </c>
      <c r="L253" s="4">
        <f>SEARCH(",",W253,X253)</f>
        <v>15</v>
      </c>
      <c r="M253" s="4">
        <f>SEARCH(",",$W253,L253+1)</f>
        <v>21</v>
      </c>
      <c r="N253" s="4">
        <f>SEARCH(",",$W253,M253+1)</f>
        <v>27</v>
      </c>
      <c r="O253" s="4">
        <f>SEARCH(",",$W253,N253+1)</f>
        <v>32</v>
      </c>
      <c r="P253" s="4">
        <f>SEARCH(",",$W253,O253+1)</f>
        <v>38</v>
      </c>
      <c r="Q253" s="4">
        <f>SEARCH(",",$W253,P253+1)</f>
        <v>44</v>
      </c>
      <c r="R253" s="4">
        <f>SEARCH(",",$W253,Q253+1)</f>
        <v>50</v>
      </c>
      <c r="T253" t="s">
        <v>684</v>
      </c>
      <c r="U253">
        <f>SEARCH(":",T253)</f>
        <v>6</v>
      </c>
      <c r="V253" t="str">
        <f>MID(T253,U253+1,LEN(T253)-(U253))</f>
        <v xml:space="preserve"> 100162 ** -320, -779, 4407, 326, 1314, 3169, 4744, 4492</v>
      </c>
      <c r="W253" t="str">
        <f>TRIM(V253)</f>
        <v>100162 ** -320, -779, 4407, 326, 1314, 3169, 4744, 4492</v>
      </c>
      <c r="X253">
        <f>SEARCH("~*",W253)</f>
        <v>8</v>
      </c>
      <c r="Y253" t="str">
        <f>LEFT(W253,X253-1)</f>
        <v xml:space="preserve">100162 </v>
      </c>
      <c r="AA253" t="str">
        <f>CONCATENATE(A253,",",D253,",",E253,",",F253,",",G253,",",H253,",",I253,",",J253,",",K253)</f>
        <v>100162,-320,-779,4407,326,1314,3169,4744,4492</v>
      </c>
    </row>
    <row r="254" spans="1:27">
      <c r="A254" s="1">
        <f>IF(ISBLANK(T254),"",VALUE(Y254))</f>
        <v>93083</v>
      </c>
      <c r="B254" s="1">
        <f>A254*4/10 -18</f>
        <v>37215.199999999997</v>
      </c>
      <c r="C254" s="3">
        <f>B254/7000000</f>
        <v>5.316457142857142E-3</v>
      </c>
      <c r="D254" s="6">
        <f>VALUE(MID(W254,$X254+2,L254-(X254+2)))</f>
        <v>-320</v>
      </c>
      <c r="E254" s="6">
        <f>VALUE(MID($W254,L254+1,M254-(L254+1)))</f>
        <v>-777</v>
      </c>
      <c r="F254" s="6">
        <f>VALUE(MID($W254,M254+1,N254-(M254+1)))</f>
        <v>4403</v>
      </c>
      <c r="G254" s="6">
        <f>VALUE(MID($W254,N254+1,O254-(N254+1)))</f>
        <v>329</v>
      </c>
      <c r="H254" s="6">
        <f>VALUE(MID($W254,O254+1,P254-(O254+1)))</f>
        <v>1316</v>
      </c>
      <c r="I254" s="6">
        <f>VALUE(MID($W254,P254+1,Q254-(P254+1)))</f>
        <v>3174</v>
      </c>
      <c r="J254" s="6">
        <f>VALUE(MID($W254,Q254+1,R254-(Q254+1)))</f>
        <v>4747</v>
      </c>
      <c r="K254" s="4">
        <f>VALUE(MID(W254,R254+1,LEN(W254)-(R254)))</f>
        <v>4497</v>
      </c>
      <c r="L254" s="4">
        <f>SEARCH(",",W254,X254)</f>
        <v>14</v>
      </c>
      <c r="M254" s="4">
        <f>SEARCH(",",$W254,L254+1)</f>
        <v>20</v>
      </c>
      <c r="N254" s="4">
        <f>SEARCH(",",$W254,M254+1)</f>
        <v>26</v>
      </c>
      <c r="O254" s="4">
        <f>SEARCH(",",$W254,N254+1)</f>
        <v>31</v>
      </c>
      <c r="P254" s="4">
        <f>SEARCH(",",$W254,O254+1)</f>
        <v>37</v>
      </c>
      <c r="Q254" s="4">
        <f>SEARCH(",",$W254,P254+1)</f>
        <v>43</v>
      </c>
      <c r="R254" s="4">
        <f>SEARCH(",",$W254,Q254+1)</f>
        <v>49</v>
      </c>
      <c r="T254" t="s">
        <v>741</v>
      </c>
      <c r="U254">
        <f>SEARCH(":",T254)</f>
        <v>6</v>
      </c>
      <c r="V254" t="str">
        <f>MID(T254,U254+1,LEN(T254)-(U254))</f>
        <v xml:space="preserve"> 93083 ** -320, -777, 4403, 329, 1316, 3174, 4747, 4497</v>
      </c>
      <c r="W254" t="str">
        <f>TRIM(V254)</f>
        <v>93083 ** -320, -777, 4403, 329, 1316, 3174, 4747, 4497</v>
      </c>
      <c r="X254">
        <f>SEARCH("~*",W254)</f>
        <v>7</v>
      </c>
      <c r="Y254" t="str">
        <f>LEFT(W254,X254-1)</f>
        <v xml:space="preserve">93083 </v>
      </c>
      <c r="AA254" t="str">
        <f>CONCATENATE(A254,",",D254,",",E254,",",F254,",",G254,",",H254,",",I254,",",J254,",",K254)</f>
        <v>93083,-320,-777,4403,329,1316,3174,4747,4497</v>
      </c>
    </row>
    <row r="255" spans="1:27">
      <c r="A255" s="1">
        <f>IF(ISBLANK(T255),"",VALUE(Y255))</f>
        <v>92463</v>
      </c>
      <c r="B255" s="1">
        <f>A255*4/10 -18</f>
        <v>36967.199999999997</v>
      </c>
      <c r="C255" s="3">
        <f>B255/7000000</f>
        <v>5.2810285714285712E-3</v>
      </c>
      <c r="D255" s="6">
        <f>VALUE(MID(W255,$X255+2,L255-(X255+2)))</f>
        <v>-318</v>
      </c>
      <c r="E255" s="6">
        <f>VALUE(MID($W255,L255+1,M255-(L255+1)))</f>
        <v>-782</v>
      </c>
      <c r="F255" s="6">
        <f>VALUE(MID($W255,M255+1,N255-(M255+1)))</f>
        <v>4405</v>
      </c>
      <c r="G255" s="6">
        <f>VALUE(MID($W255,N255+1,O255-(N255+1)))</f>
        <v>323</v>
      </c>
      <c r="H255" s="6">
        <f>VALUE(MID($W255,O255+1,P255-(O255+1)))</f>
        <v>1316</v>
      </c>
      <c r="I255" s="6">
        <f>VALUE(MID($W255,P255+1,Q255-(P255+1)))</f>
        <v>3170</v>
      </c>
      <c r="J255" s="6">
        <f>VALUE(MID($W255,Q255+1,R255-(Q255+1)))</f>
        <v>4741</v>
      </c>
      <c r="K255" s="4">
        <f>VALUE(MID(W255,R255+1,LEN(W255)-(R255)))</f>
        <v>4495</v>
      </c>
      <c r="L255" s="4">
        <f>SEARCH(",",W255,X255)</f>
        <v>14</v>
      </c>
      <c r="M255" s="4">
        <f>SEARCH(",",$W255,L255+1)</f>
        <v>20</v>
      </c>
      <c r="N255" s="4">
        <f>SEARCH(",",$W255,M255+1)</f>
        <v>26</v>
      </c>
      <c r="O255" s="4">
        <f>SEARCH(",",$W255,N255+1)</f>
        <v>31</v>
      </c>
      <c r="P255" s="4">
        <f>SEARCH(",",$W255,O255+1)</f>
        <v>37</v>
      </c>
      <c r="Q255" s="4">
        <f>SEARCH(",",$W255,P255+1)</f>
        <v>43</v>
      </c>
      <c r="R255" s="4">
        <f>SEARCH(",",$W255,Q255+1)</f>
        <v>49</v>
      </c>
      <c r="T255" t="s">
        <v>747</v>
      </c>
      <c r="U255">
        <f>SEARCH(":",T255)</f>
        <v>6</v>
      </c>
      <c r="V255" t="str">
        <f>MID(T255,U255+1,LEN(T255)-(U255))</f>
        <v xml:space="preserve"> 92463 ** -318, -782, 4405, 323, 1316, 3170, 4741, 4495</v>
      </c>
      <c r="W255" t="str">
        <f>TRIM(V255)</f>
        <v>92463 ** -318, -782, 4405, 323, 1316, 3170, 4741, 4495</v>
      </c>
      <c r="X255">
        <f>SEARCH("~*",W255)</f>
        <v>7</v>
      </c>
      <c r="Y255" t="str">
        <f>LEFT(W255,X255-1)</f>
        <v xml:space="preserve">92463 </v>
      </c>
      <c r="AA255" t="str">
        <f>CONCATENATE(A255,",",D255,",",E255,",",F255,",",G255,",",H255,",",I255,",",J255,",",K255)</f>
        <v>92463,-318,-782,4405,323,1316,3170,4741,4495</v>
      </c>
    </row>
    <row r="256" spans="1:27">
      <c r="A256" s="1">
        <f>IF(ISBLANK(T256),"",VALUE(Y256))</f>
        <v>89251</v>
      </c>
      <c r="B256" s="1">
        <f>A256*4/10 -18</f>
        <v>35682.400000000001</v>
      </c>
      <c r="C256" s="3">
        <f>B256/7000000</f>
        <v>5.0974857142857145E-3</v>
      </c>
      <c r="D256" s="6">
        <f>VALUE(MID(W256,$X256+2,L256-(X256+2)))</f>
        <v>-322</v>
      </c>
      <c r="E256" s="6">
        <f>VALUE(MID($W256,L256+1,M256-(L256+1)))</f>
        <v>-774</v>
      </c>
      <c r="F256" s="6">
        <f>VALUE(MID($W256,M256+1,N256-(M256+1)))</f>
        <v>4401</v>
      </c>
      <c r="G256" s="6">
        <f>VALUE(MID($W256,N256+1,O256-(N256+1)))</f>
        <v>324</v>
      </c>
      <c r="H256" s="6">
        <f>VALUE(MID($W256,O256+1,P256-(O256+1)))</f>
        <v>1313</v>
      </c>
      <c r="I256" s="6">
        <f>VALUE(MID($W256,P256+1,Q256-(P256+1)))</f>
        <v>3172</v>
      </c>
      <c r="J256" s="6">
        <f>VALUE(MID($W256,Q256+1,R256-(Q256+1)))</f>
        <v>4743</v>
      </c>
      <c r="K256" s="4">
        <f>VALUE(MID(W256,R256+1,LEN(W256)-(R256)))</f>
        <v>4494</v>
      </c>
      <c r="L256" s="4">
        <f>SEARCH(",",W256,X256)</f>
        <v>14</v>
      </c>
      <c r="M256" s="4">
        <f>SEARCH(",",$W256,L256+1)</f>
        <v>20</v>
      </c>
      <c r="N256" s="4">
        <f>SEARCH(",",$W256,M256+1)</f>
        <v>26</v>
      </c>
      <c r="O256" s="4">
        <f>SEARCH(",",$W256,N256+1)</f>
        <v>31</v>
      </c>
      <c r="P256" s="4">
        <f>SEARCH(",",$W256,O256+1)</f>
        <v>37</v>
      </c>
      <c r="Q256" s="4">
        <f>SEARCH(",",$W256,P256+1)</f>
        <v>43</v>
      </c>
      <c r="R256" s="4">
        <f>SEARCH(",",$W256,Q256+1)</f>
        <v>49</v>
      </c>
      <c r="T256" t="s">
        <v>600</v>
      </c>
      <c r="U256">
        <f>SEARCH(":",T256)</f>
        <v>6</v>
      </c>
      <c r="V256" t="str">
        <f>MID(T256,U256+1,LEN(T256)-(U256))</f>
        <v xml:space="preserve"> 89251 ** -322, -774, 4401, 324, 1313, 3172, 4743, 4494</v>
      </c>
      <c r="W256" t="str">
        <f>TRIM(V256)</f>
        <v>89251 ** -322, -774, 4401, 324, 1313, 3172, 4743, 4494</v>
      </c>
      <c r="X256">
        <f>SEARCH("~*",W256)</f>
        <v>7</v>
      </c>
      <c r="Y256" t="str">
        <f>LEFT(W256,X256-1)</f>
        <v xml:space="preserve">89251 </v>
      </c>
      <c r="AA256" t="str">
        <f>CONCATENATE(A256,",",D256,",",E256,",",F256,",",G256,",",H256,",",I256,",",J256,",",K256)</f>
        <v>89251,-322,-774,4401,324,1313,3172,4743,4494</v>
      </c>
    </row>
    <row r="257" spans="1:27">
      <c r="A257" s="1">
        <f>IF(ISBLANK(T257),"",VALUE(Y257))</f>
        <v>88935</v>
      </c>
      <c r="B257" s="1">
        <f>A257*4/10 -18</f>
        <v>35556</v>
      </c>
      <c r="C257" s="3">
        <f>B257/7000000</f>
        <v>5.0794285714285715E-3</v>
      </c>
      <c r="D257" s="6">
        <f>VALUE(MID(W257,$X257+2,L257-(X257+2)))</f>
        <v>-324</v>
      </c>
      <c r="E257" s="6">
        <f>VALUE(MID($W257,L257+1,M257-(L257+1)))</f>
        <v>-775</v>
      </c>
      <c r="F257" s="6">
        <f>VALUE(MID($W257,M257+1,N257-(M257+1)))</f>
        <v>4401</v>
      </c>
      <c r="G257" s="6">
        <f>VALUE(MID($W257,N257+1,O257-(N257+1)))</f>
        <v>321</v>
      </c>
      <c r="H257" s="6">
        <f>VALUE(MID($W257,O257+1,P257-(O257+1)))</f>
        <v>1317</v>
      </c>
      <c r="I257" s="6">
        <f>VALUE(MID($W257,P257+1,Q257-(P257+1)))</f>
        <v>3170</v>
      </c>
      <c r="J257" s="6">
        <f>VALUE(MID($W257,Q257+1,R257-(Q257+1)))</f>
        <v>4747</v>
      </c>
      <c r="K257" s="4">
        <f>VALUE(MID(W257,R257+1,LEN(W257)-(R257)))</f>
        <v>4498</v>
      </c>
      <c r="L257" s="4">
        <f>SEARCH(",",W257,X257)</f>
        <v>14</v>
      </c>
      <c r="M257" s="4">
        <f>SEARCH(",",$W257,L257+1)</f>
        <v>20</v>
      </c>
      <c r="N257" s="4">
        <f>SEARCH(",",$W257,M257+1)</f>
        <v>26</v>
      </c>
      <c r="O257" s="4">
        <f>SEARCH(",",$W257,N257+1)</f>
        <v>31</v>
      </c>
      <c r="P257" s="4">
        <f>SEARCH(",",$W257,O257+1)</f>
        <v>37</v>
      </c>
      <c r="Q257" s="4">
        <f>SEARCH(",",$W257,P257+1)</f>
        <v>43</v>
      </c>
      <c r="R257" s="4">
        <f>SEARCH(",",$W257,Q257+1)</f>
        <v>49</v>
      </c>
      <c r="T257" t="s">
        <v>671</v>
      </c>
      <c r="U257">
        <f>SEARCH(":",T257)</f>
        <v>6</v>
      </c>
      <c r="V257" t="str">
        <f>MID(T257,U257+1,LEN(T257)-(U257))</f>
        <v xml:space="preserve"> 88935 ** -324, -775, 4401, 321, 1317, 3170, 4747, 4498</v>
      </c>
      <c r="W257" t="str">
        <f>TRIM(V257)</f>
        <v>88935 ** -324, -775, 4401, 321, 1317, 3170, 4747, 4498</v>
      </c>
      <c r="X257">
        <f>SEARCH("~*",W257)</f>
        <v>7</v>
      </c>
      <c r="Y257" t="str">
        <f>LEFT(W257,X257-1)</f>
        <v xml:space="preserve">88935 </v>
      </c>
      <c r="AA257" t="str">
        <f>CONCATENATE(A257,",",D257,",",E257,",",F257,",",G257,",",H257,",",I257,",",J257,",",K257)</f>
        <v>88935,-324,-775,4401,321,1317,3170,4747,4498</v>
      </c>
    </row>
    <row r="258" spans="1:27">
      <c r="A258" s="1">
        <f>IF(ISBLANK(T258),"",VALUE(Y258))</f>
        <v>81277</v>
      </c>
      <c r="B258" s="1">
        <f>A258*4/10 -18</f>
        <v>32492.799999999999</v>
      </c>
      <c r="C258" s="3">
        <f>B258/7000000</f>
        <v>4.6418285714285717E-3</v>
      </c>
      <c r="D258" s="6">
        <f>VALUE(MID(W258,$X258+2,L258-(X258+2)))</f>
        <v>-318</v>
      </c>
      <c r="E258" s="6">
        <f>VALUE(MID($W258,L258+1,M258-(L258+1)))</f>
        <v>-773</v>
      </c>
      <c r="F258" s="6">
        <f>VALUE(MID($W258,M258+1,N258-(M258+1)))</f>
        <v>4400</v>
      </c>
      <c r="G258" s="6">
        <f>VALUE(MID($W258,N258+1,O258-(N258+1)))</f>
        <v>329</v>
      </c>
      <c r="H258" s="6">
        <f>VALUE(MID($W258,O258+1,P258-(O258+1)))</f>
        <v>1313</v>
      </c>
      <c r="I258" s="6">
        <f>VALUE(MID($W258,P258+1,Q258-(P258+1)))</f>
        <v>3174</v>
      </c>
      <c r="J258" s="6">
        <f>VALUE(MID($W258,Q258+1,R258-(Q258+1)))</f>
        <v>4741</v>
      </c>
      <c r="K258" s="4">
        <f>VALUE(MID(W258,R258+1,LEN(W258)-(R258)))</f>
        <v>4492</v>
      </c>
      <c r="L258" s="4">
        <f>SEARCH(",",W258,X258)</f>
        <v>14</v>
      </c>
      <c r="M258" s="4">
        <f>SEARCH(",",$W258,L258+1)</f>
        <v>20</v>
      </c>
      <c r="N258" s="4">
        <f>SEARCH(",",$W258,M258+1)</f>
        <v>26</v>
      </c>
      <c r="O258" s="4">
        <f>SEARCH(",",$W258,N258+1)</f>
        <v>31</v>
      </c>
      <c r="P258" s="4">
        <f>SEARCH(",",$W258,O258+1)</f>
        <v>37</v>
      </c>
      <c r="Q258" s="4">
        <f>SEARCH(",",$W258,P258+1)</f>
        <v>43</v>
      </c>
      <c r="R258" s="4">
        <f>SEARCH(",",$W258,Q258+1)</f>
        <v>49</v>
      </c>
      <c r="T258" t="s">
        <v>740</v>
      </c>
      <c r="U258">
        <f>SEARCH(":",T258)</f>
        <v>6</v>
      </c>
      <c r="V258" t="str">
        <f>MID(T258,U258+1,LEN(T258)-(U258))</f>
        <v xml:space="preserve"> 81277 ** -318, -773, 4400, 329, 1313, 3174, 4741, 4492</v>
      </c>
      <c r="W258" t="str">
        <f>TRIM(V258)</f>
        <v>81277 ** -318, -773, 4400, 329, 1313, 3174, 4741, 4492</v>
      </c>
      <c r="X258">
        <f>SEARCH("~*",W258)</f>
        <v>7</v>
      </c>
      <c r="Y258" t="str">
        <f>LEFT(W258,X258-1)</f>
        <v xml:space="preserve">81277 </v>
      </c>
      <c r="AA258" t="str">
        <f>CONCATENATE(A258,",",D258,",",E258,",",F258,",",G258,",",H258,",",I258,",",J258,",",K258)</f>
        <v>81277,-318,-773,4400,329,1313,3174,4741,4492</v>
      </c>
    </row>
    <row r="259" spans="1:27">
      <c r="A259" s="1">
        <f>IF(ISBLANK(T259),"",VALUE(Y259))</f>
        <v>77249</v>
      </c>
      <c r="B259" s="1">
        <f>A259*4/10 -18</f>
        <v>30881.599999999999</v>
      </c>
      <c r="C259" s="3">
        <f>B259/7000000</f>
        <v>4.411657142857143E-3</v>
      </c>
      <c r="D259" s="6">
        <f>VALUE(MID(W259,$X259+2,L259-(X259+2)))</f>
        <v>-321</v>
      </c>
      <c r="E259" s="6">
        <f>VALUE(MID($W259,L259+1,M259-(L259+1)))</f>
        <v>-773</v>
      </c>
      <c r="F259" s="6">
        <f>VALUE(MID($W259,M259+1,N259-(M259+1)))</f>
        <v>4399</v>
      </c>
      <c r="G259" s="6">
        <f>VALUE(MID($W259,N259+1,O259-(N259+1)))</f>
        <v>325</v>
      </c>
      <c r="H259" s="6">
        <f>VALUE(MID($W259,O259+1,P259-(O259+1)))</f>
        <v>1316</v>
      </c>
      <c r="I259" s="6">
        <f>VALUE(MID($W259,P259+1,Q259-(P259+1)))</f>
        <v>3172</v>
      </c>
      <c r="J259" s="6">
        <f>VALUE(MID($W259,Q259+1,R259-(Q259+1)))</f>
        <v>4741</v>
      </c>
      <c r="K259" s="4">
        <f>VALUE(MID(W259,R259+1,LEN(W259)-(R259)))</f>
        <v>4497</v>
      </c>
      <c r="L259" s="4">
        <f>SEARCH(",",W259,X259)</f>
        <v>14</v>
      </c>
      <c r="M259" s="4">
        <f>SEARCH(",",$W259,L259+1)</f>
        <v>20</v>
      </c>
      <c r="N259" s="4">
        <f>SEARCH(",",$W259,M259+1)</f>
        <v>26</v>
      </c>
      <c r="O259" s="4">
        <f>SEARCH(",",$W259,N259+1)</f>
        <v>31</v>
      </c>
      <c r="P259" s="4">
        <f>SEARCH(",",$W259,O259+1)</f>
        <v>37</v>
      </c>
      <c r="Q259" s="4">
        <f>SEARCH(",",$W259,P259+1)</f>
        <v>43</v>
      </c>
      <c r="R259" s="4">
        <f>SEARCH(",",$W259,Q259+1)</f>
        <v>49</v>
      </c>
      <c r="T259" t="s">
        <v>779</v>
      </c>
      <c r="U259">
        <f>SEARCH(":",T259)</f>
        <v>6</v>
      </c>
      <c r="V259" t="str">
        <f>MID(T259,U259+1,LEN(T259)-(U259))</f>
        <v xml:space="preserve"> 77249 ** -321, -773, 4399, 325, 1316, 3172, 4741, 4497</v>
      </c>
      <c r="W259" t="str">
        <f>TRIM(V259)</f>
        <v>77249 ** -321, -773, 4399, 325, 1316, 3172, 4741, 4497</v>
      </c>
      <c r="X259">
        <f>SEARCH("~*",W259)</f>
        <v>7</v>
      </c>
      <c r="Y259" t="str">
        <f>LEFT(W259,X259-1)</f>
        <v xml:space="preserve">77249 </v>
      </c>
      <c r="AA259" t="str">
        <f>CONCATENATE(A259,",",D259,",",E259,",",F259,",",G259,",",H259,",",I259,",",J259,",",K259)</f>
        <v>77249,-321,-773,4399,325,1316,3172,4741,4497</v>
      </c>
    </row>
    <row r="260" spans="1:27">
      <c r="A260" s="1">
        <f>IF(ISBLANK(T260),"",VALUE(Y260))</f>
        <v>76226</v>
      </c>
      <c r="B260" s="1">
        <f>A260*4/10 -18</f>
        <v>30472.400000000001</v>
      </c>
      <c r="C260" s="3">
        <f>B260/7000000</f>
        <v>4.3531999999999998E-3</v>
      </c>
      <c r="D260" s="6">
        <f>VALUE(MID(W260,$X260+2,L260-(X260+2)))</f>
        <v>-315</v>
      </c>
      <c r="E260" s="6">
        <f>VALUE(MID($W260,L260+1,M260-(L260+1)))</f>
        <v>-775</v>
      </c>
      <c r="F260" s="6">
        <f>VALUE(MID($W260,M260+1,N260-(M260+1)))</f>
        <v>4404</v>
      </c>
      <c r="G260" s="6">
        <f>VALUE(MID($W260,N260+1,O260-(N260+1)))</f>
        <v>324</v>
      </c>
      <c r="H260" s="6">
        <f>VALUE(MID($W260,O260+1,P260-(O260+1)))</f>
        <v>1319</v>
      </c>
      <c r="I260" s="6">
        <f>VALUE(MID($W260,P260+1,Q260-(P260+1)))</f>
        <v>3171</v>
      </c>
      <c r="J260" s="6">
        <f>VALUE(MID($W260,Q260+1,R260-(Q260+1)))</f>
        <v>4743</v>
      </c>
      <c r="K260" s="4">
        <f>VALUE(MID(W260,R260+1,LEN(W260)-(R260)))</f>
        <v>4495</v>
      </c>
      <c r="L260" s="4">
        <f>SEARCH(",",W260,X260)</f>
        <v>14</v>
      </c>
      <c r="M260" s="4">
        <f>SEARCH(",",$W260,L260+1)</f>
        <v>20</v>
      </c>
      <c r="N260" s="4">
        <f>SEARCH(",",$W260,M260+1)</f>
        <v>26</v>
      </c>
      <c r="O260" s="4">
        <f>SEARCH(",",$W260,N260+1)</f>
        <v>31</v>
      </c>
      <c r="P260" s="4">
        <f>SEARCH(",",$W260,O260+1)</f>
        <v>37</v>
      </c>
      <c r="Q260" s="4">
        <f>SEARCH(",",$W260,P260+1)</f>
        <v>43</v>
      </c>
      <c r="R260" s="4">
        <f>SEARCH(",",$W260,Q260+1)</f>
        <v>49</v>
      </c>
      <c r="T260" t="s">
        <v>630</v>
      </c>
      <c r="U260">
        <f>SEARCH(":",T260)</f>
        <v>6</v>
      </c>
      <c r="V260" t="str">
        <f>MID(T260,U260+1,LEN(T260)-(U260))</f>
        <v xml:space="preserve"> 76226 ** -315, -775, 4404, 324, 1319, 3171, 4743, 4495</v>
      </c>
      <c r="W260" t="str">
        <f>TRIM(V260)</f>
        <v>76226 ** -315, -775, 4404, 324, 1319, 3171, 4743, 4495</v>
      </c>
      <c r="X260">
        <f>SEARCH("~*",W260)</f>
        <v>7</v>
      </c>
      <c r="Y260" t="str">
        <f>LEFT(W260,X260-1)</f>
        <v xml:space="preserve">76226 </v>
      </c>
      <c r="AA260" t="str">
        <f>CONCATENATE(A260,",",D260,",",E260,",",F260,",",G260,",",H260,",",I260,",",J260,",",K260)</f>
        <v>76226,-315,-775,4404,324,1319,3171,4743,4495</v>
      </c>
    </row>
    <row r="261" spans="1:27">
      <c r="A261" s="1">
        <f>IF(ISBLANK(T261),"",VALUE(Y261))</f>
        <v>72388</v>
      </c>
      <c r="B261" s="1">
        <f>A261*4/10 -18</f>
        <v>28937.200000000001</v>
      </c>
      <c r="C261" s="3">
        <f>B261/7000000</f>
        <v>4.1338857142857142E-3</v>
      </c>
      <c r="D261" s="6">
        <f>VALUE(MID(W261,$X261+2,L261-(X261+2)))</f>
        <v>-315</v>
      </c>
      <c r="E261" s="6">
        <f>VALUE(MID($W261,L261+1,M261-(L261+1)))</f>
        <v>-778</v>
      </c>
      <c r="F261" s="6">
        <f>VALUE(MID($W261,M261+1,N261-(M261+1)))</f>
        <v>4405</v>
      </c>
      <c r="G261" s="6">
        <f>VALUE(MID($W261,N261+1,O261-(N261+1)))</f>
        <v>329</v>
      </c>
      <c r="H261" s="6">
        <f>VALUE(MID($W261,O261+1,P261-(O261+1)))</f>
        <v>1317</v>
      </c>
      <c r="I261" s="6">
        <f>VALUE(MID($W261,P261+1,Q261-(P261+1)))</f>
        <v>3168</v>
      </c>
      <c r="J261" s="6">
        <f>VALUE(MID($W261,Q261+1,R261-(Q261+1)))</f>
        <v>4741</v>
      </c>
      <c r="K261" s="4">
        <f>VALUE(MID(W261,R261+1,LEN(W261)-(R261)))</f>
        <v>4495</v>
      </c>
      <c r="L261" s="4">
        <f>SEARCH(",",W261,X261)</f>
        <v>14</v>
      </c>
      <c r="M261" s="4">
        <f>SEARCH(",",$W261,L261+1)</f>
        <v>20</v>
      </c>
      <c r="N261" s="4">
        <f>SEARCH(",",$W261,M261+1)</f>
        <v>26</v>
      </c>
      <c r="O261" s="4">
        <f>SEARCH(",",$W261,N261+1)</f>
        <v>31</v>
      </c>
      <c r="P261" s="4">
        <f>SEARCH(",",$W261,O261+1)</f>
        <v>37</v>
      </c>
      <c r="Q261" s="4">
        <f>SEARCH(",",$W261,P261+1)</f>
        <v>43</v>
      </c>
      <c r="R261" s="4">
        <f>SEARCH(",",$W261,Q261+1)</f>
        <v>49</v>
      </c>
      <c r="T261" t="s">
        <v>691</v>
      </c>
      <c r="U261">
        <f>SEARCH(":",T261)</f>
        <v>6</v>
      </c>
      <c r="V261" t="str">
        <f>MID(T261,U261+1,LEN(T261)-(U261))</f>
        <v xml:space="preserve"> 72388 ** -315, -778, 4405, 329, 1317, 3168, 4741, 4495</v>
      </c>
      <c r="W261" t="str">
        <f>TRIM(V261)</f>
        <v>72388 ** -315, -778, 4405, 329, 1317, 3168, 4741, 4495</v>
      </c>
      <c r="X261">
        <f>SEARCH("~*",W261)</f>
        <v>7</v>
      </c>
      <c r="Y261" t="str">
        <f>LEFT(W261,X261-1)</f>
        <v xml:space="preserve">72388 </v>
      </c>
      <c r="AA261" t="str">
        <f>CONCATENATE(A261,",",D261,",",E261,",",F261,",",G261,",",H261,",",I261,",",J261,",",K261)</f>
        <v>72388,-315,-778,4405,329,1317,3168,4741,4495</v>
      </c>
    </row>
    <row r="262" spans="1:27">
      <c r="A262" s="1">
        <f>IF(ISBLANK(T262),"",VALUE(Y262))</f>
        <v>68210</v>
      </c>
      <c r="B262" s="1">
        <f>A262*4/10 -18</f>
        <v>27266</v>
      </c>
      <c r="C262" s="3">
        <f>B262/7000000</f>
        <v>3.895142857142857E-3</v>
      </c>
      <c r="D262" s="6">
        <f>VALUE(MID(W262,$X262+2,L262-(X262+2)))</f>
        <v>-323</v>
      </c>
      <c r="E262" s="6">
        <f>VALUE(MID($W262,L262+1,M262-(L262+1)))</f>
        <v>-776</v>
      </c>
      <c r="F262" s="6">
        <f>VALUE(MID($W262,M262+1,N262-(M262+1)))</f>
        <v>4402</v>
      </c>
      <c r="G262" s="6">
        <f>VALUE(MID($W262,N262+1,O262-(N262+1)))</f>
        <v>324</v>
      </c>
      <c r="H262" s="6">
        <f>VALUE(MID($W262,O262+1,P262-(O262+1)))</f>
        <v>1314</v>
      </c>
      <c r="I262" s="6">
        <f>VALUE(MID($W262,P262+1,Q262-(P262+1)))</f>
        <v>3171</v>
      </c>
      <c r="J262" s="6">
        <f>VALUE(MID($W262,Q262+1,R262-(Q262+1)))</f>
        <v>4744</v>
      </c>
      <c r="K262" s="4">
        <f>VALUE(MID(W262,R262+1,LEN(W262)-(R262)))</f>
        <v>4494</v>
      </c>
      <c r="L262" s="4">
        <f>SEARCH(",",W262,X262)</f>
        <v>14</v>
      </c>
      <c r="M262" s="4">
        <f>SEARCH(",",$W262,L262+1)</f>
        <v>20</v>
      </c>
      <c r="N262" s="4">
        <f>SEARCH(",",$W262,M262+1)</f>
        <v>26</v>
      </c>
      <c r="O262" s="4">
        <f>SEARCH(",",$W262,N262+1)</f>
        <v>31</v>
      </c>
      <c r="P262" s="4">
        <f>SEARCH(",",$W262,O262+1)</f>
        <v>37</v>
      </c>
      <c r="Q262" s="4">
        <f>SEARCH(",",$W262,P262+1)</f>
        <v>43</v>
      </c>
      <c r="R262" s="4">
        <f>SEARCH(",",$W262,Q262+1)</f>
        <v>49</v>
      </c>
      <c r="T262" t="s">
        <v>818</v>
      </c>
      <c r="U262">
        <f>SEARCH(":",T262)</f>
        <v>6</v>
      </c>
      <c r="V262" t="str">
        <f>MID(T262,U262+1,LEN(T262)-(U262))</f>
        <v xml:space="preserve"> 68210 ** -323, -776, 4402, 324, 1314, 3171, 4744, 4494</v>
      </c>
      <c r="W262" t="str">
        <f>TRIM(V262)</f>
        <v>68210 ** -323, -776, 4402, 324, 1314, 3171, 4744, 4494</v>
      </c>
      <c r="X262">
        <f>SEARCH("~*",W262)</f>
        <v>7</v>
      </c>
      <c r="Y262" t="str">
        <f>LEFT(W262,X262-1)</f>
        <v xml:space="preserve">68210 </v>
      </c>
      <c r="AA262" t="str">
        <f>CONCATENATE(A262,",",D262,",",E262,",",F262,",",G262,",",H262,",",I262,",",J262,",",K262)</f>
        <v>68210,-323,-776,4402,324,1314,3171,4744,4494</v>
      </c>
    </row>
    <row r="263" spans="1:27">
      <c r="A263" s="1">
        <f>IF(ISBLANK(T263),"",VALUE(Y263))</f>
        <v>66584</v>
      </c>
      <c r="B263" s="1">
        <f>A263*4/10 -18</f>
        <v>26615.599999999999</v>
      </c>
      <c r="C263" s="3">
        <f>B263/7000000</f>
        <v>3.8022285714285711E-3</v>
      </c>
      <c r="D263" s="6">
        <f>VALUE(MID(W263,$X263+2,L263-(X263+2)))</f>
        <v>-317</v>
      </c>
      <c r="E263" s="6">
        <f>VALUE(MID($W263,L263+1,M263-(L263+1)))</f>
        <v>-774</v>
      </c>
      <c r="F263" s="6">
        <f>VALUE(MID($W263,M263+1,N263-(M263+1)))</f>
        <v>4403</v>
      </c>
      <c r="G263" s="6">
        <f>VALUE(MID($W263,N263+1,O263-(N263+1)))</f>
        <v>328</v>
      </c>
      <c r="H263" s="6">
        <f>VALUE(MID($W263,O263+1,P263-(O263+1)))</f>
        <v>1318</v>
      </c>
      <c r="I263" s="6">
        <f>VALUE(MID($W263,P263+1,Q263-(P263+1)))</f>
        <v>3173</v>
      </c>
      <c r="J263" s="6">
        <f>VALUE(MID($W263,Q263+1,R263-(Q263+1)))</f>
        <v>4743</v>
      </c>
      <c r="K263" s="4">
        <f>VALUE(MID(W263,R263+1,LEN(W263)-(R263)))</f>
        <v>4496</v>
      </c>
      <c r="L263" s="4">
        <f>SEARCH(",",W263,X263)</f>
        <v>14</v>
      </c>
      <c r="M263" s="4">
        <f>SEARCH(",",$W263,L263+1)</f>
        <v>20</v>
      </c>
      <c r="N263" s="4">
        <f>SEARCH(",",$W263,M263+1)</f>
        <v>26</v>
      </c>
      <c r="O263" s="4">
        <f>SEARCH(",",$W263,N263+1)</f>
        <v>31</v>
      </c>
      <c r="P263" s="4">
        <f>SEARCH(",",$W263,O263+1)</f>
        <v>37</v>
      </c>
      <c r="Q263" s="4">
        <f>SEARCH(",",$W263,P263+1)</f>
        <v>43</v>
      </c>
      <c r="R263" s="4">
        <f>SEARCH(",",$W263,Q263+1)</f>
        <v>49</v>
      </c>
      <c r="T263" t="s">
        <v>643</v>
      </c>
      <c r="U263">
        <f>SEARCH(":",T263)</f>
        <v>6</v>
      </c>
      <c r="V263" t="str">
        <f>MID(T263,U263+1,LEN(T263)-(U263))</f>
        <v xml:space="preserve"> 66584 ** -317, -774, 4403, 328, 1318, 3173, 4743, 4496</v>
      </c>
      <c r="W263" t="str">
        <f>TRIM(V263)</f>
        <v>66584 ** -317, -774, 4403, 328, 1318, 3173, 4743, 4496</v>
      </c>
      <c r="X263">
        <f>SEARCH("~*",W263)</f>
        <v>7</v>
      </c>
      <c r="Y263" t="str">
        <f>LEFT(W263,X263-1)</f>
        <v xml:space="preserve">66584 </v>
      </c>
      <c r="AA263" t="str">
        <f>CONCATENATE(A263,",",D263,",",E263,",",F263,",",G263,",",H263,",",I263,",",J263,",",K263)</f>
        <v>66584,-317,-774,4403,328,1318,3173,4743,4496</v>
      </c>
    </row>
    <row r="264" spans="1:27">
      <c r="A264" s="1">
        <f>IF(ISBLANK(T264),"",VALUE(Y264))</f>
        <v>61564</v>
      </c>
      <c r="B264" s="1">
        <f>A264*4/10 -18</f>
        <v>24607.599999999999</v>
      </c>
      <c r="C264" s="3">
        <f>B264/7000000</f>
        <v>3.5153714285714286E-3</v>
      </c>
      <c r="D264" s="6">
        <f>VALUE(MID(W264,$X264+2,L264-(X264+2)))</f>
        <v>-322</v>
      </c>
      <c r="E264" s="6">
        <f>VALUE(MID($W264,L264+1,M264-(L264+1)))</f>
        <v>-776</v>
      </c>
      <c r="F264" s="6">
        <f>VALUE(MID($W264,M264+1,N264-(M264+1)))</f>
        <v>4404</v>
      </c>
      <c r="G264" s="6">
        <f>VALUE(MID($W264,N264+1,O264-(N264+1)))</f>
        <v>323</v>
      </c>
      <c r="H264" s="6">
        <f>VALUE(MID($W264,O264+1,P264-(O264+1)))</f>
        <v>1313</v>
      </c>
      <c r="I264" s="6">
        <f>VALUE(MID($W264,P264+1,Q264-(P264+1)))</f>
        <v>3173</v>
      </c>
      <c r="J264" s="6">
        <f>VALUE(MID($W264,Q264+1,R264-(Q264+1)))</f>
        <v>4742</v>
      </c>
      <c r="K264" s="4">
        <f>VALUE(MID(W264,R264+1,LEN(W264)-(R264)))</f>
        <v>4500</v>
      </c>
      <c r="L264" s="4">
        <f>SEARCH(",",W264,X264)</f>
        <v>14</v>
      </c>
      <c r="M264" s="4">
        <f>SEARCH(",",$W264,L264+1)</f>
        <v>20</v>
      </c>
      <c r="N264" s="4">
        <f>SEARCH(",",$W264,M264+1)</f>
        <v>26</v>
      </c>
      <c r="O264" s="4">
        <f>SEARCH(",",$W264,N264+1)</f>
        <v>31</v>
      </c>
      <c r="P264" s="4">
        <f>SEARCH(",",$W264,O264+1)</f>
        <v>37</v>
      </c>
      <c r="Q264" s="4">
        <f>SEARCH(",",$W264,P264+1)</f>
        <v>43</v>
      </c>
      <c r="R264" s="4">
        <f>SEARCH(",",$W264,Q264+1)</f>
        <v>49</v>
      </c>
      <c r="T264" t="s">
        <v>652</v>
      </c>
      <c r="U264">
        <f>SEARCH(":",T264)</f>
        <v>6</v>
      </c>
      <c r="V264" t="str">
        <f>MID(T264,U264+1,LEN(T264)-(U264))</f>
        <v xml:space="preserve"> 61564 ** -322, -776, 4404, 323, 1313, 3173, 4742, 4500</v>
      </c>
      <c r="W264" t="str">
        <f>TRIM(V264)</f>
        <v>61564 ** -322, -776, 4404, 323, 1313, 3173, 4742, 4500</v>
      </c>
      <c r="X264">
        <f>SEARCH("~*",W264)</f>
        <v>7</v>
      </c>
      <c r="Y264" t="str">
        <f>LEFT(W264,X264-1)</f>
        <v xml:space="preserve">61564 </v>
      </c>
      <c r="AA264" t="str">
        <f>CONCATENATE(A264,",",D264,",",E264,",",F264,",",G264,",",H264,",",I264,",",J264,",",K264)</f>
        <v>61564,-322,-776,4404,323,1313,3173,4742,4500</v>
      </c>
    </row>
    <row r="265" spans="1:27">
      <c r="A265" s="1">
        <f>IF(ISBLANK(T265),"",VALUE(Y265))</f>
        <v>60857</v>
      </c>
      <c r="B265" s="1">
        <f>A265*4/10 -18</f>
        <v>24324.799999999999</v>
      </c>
      <c r="C265" s="3">
        <f>B265/7000000</f>
        <v>3.4749714285714287E-3</v>
      </c>
      <c r="D265" s="6">
        <f>VALUE(MID(W265,$X265+2,L265-(X265+2)))</f>
        <v>-320</v>
      </c>
      <c r="E265" s="6">
        <f>VALUE(MID($W265,L265+1,M265-(L265+1)))</f>
        <v>-778</v>
      </c>
      <c r="F265" s="6">
        <f>VALUE(MID($W265,M265+1,N265-(M265+1)))</f>
        <v>4404</v>
      </c>
      <c r="G265" s="6">
        <f>VALUE(MID($W265,N265+1,O265-(N265+1)))</f>
        <v>321</v>
      </c>
      <c r="H265" s="6">
        <f>VALUE(MID($W265,O265+1,P265-(O265+1)))</f>
        <v>1321</v>
      </c>
      <c r="I265" s="6">
        <f>VALUE(MID($W265,P265+1,Q265-(P265+1)))</f>
        <v>3175</v>
      </c>
      <c r="J265" s="6">
        <f>VALUE(MID($W265,Q265+1,R265-(Q265+1)))</f>
        <v>4745</v>
      </c>
      <c r="K265" s="4">
        <f>VALUE(MID(W265,R265+1,LEN(W265)-(R265)))</f>
        <v>4491</v>
      </c>
      <c r="L265" s="4">
        <f>SEARCH(",",W265,X265)</f>
        <v>14</v>
      </c>
      <c r="M265" s="4">
        <f>SEARCH(",",$W265,L265+1)</f>
        <v>20</v>
      </c>
      <c r="N265" s="4">
        <f>SEARCH(",",$W265,M265+1)</f>
        <v>26</v>
      </c>
      <c r="O265" s="4">
        <f>SEARCH(",",$W265,N265+1)</f>
        <v>31</v>
      </c>
      <c r="P265" s="4">
        <f>SEARCH(",",$W265,O265+1)</f>
        <v>37</v>
      </c>
      <c r="Q265" s="4">
        <f>SEARCH(",",$W265,P265+1)</f>
        <v>43</v>
      </c>
      <c r="R265" s="4">
        <f>SEARCH(",",$W265,Q265+1)</f>
        <v>49</v>
      </c>
      <c r="T265" t="s">
        <v>859</v>
      </c>
      <c r="U265">
        <f>SEARCH(":",T265)</f>
        <v>6</v>
      </c>
      <c r="V265" t="str">
        <f>MID(T265,U265+1,LEN(T265)-(U265))</f>
        <v xml:space="preserve"> 60857 ** -320, -778, 4404, 321, 1321, 3175, 4745, 4491</v>
      </c>
      <c r="W265" t="str">
        <f>TRIM(V265)</f>
        <v>60857 ** -320, -778, 4404, 321, 1321, 3175, 4745, 4491</v>
      </c>
      <c r="X265">
        <f>SEARCH("~*",W265)</f>
        <v>7</v>
      </c>
      <c r="Y265" t="str">
        <f>LEFT(W265,X265-1)</f>
        <v xml:space="preserve">60857 </v>
      </c>
      <c r="AA265" t="str">
        <f>CONCATENATE(A265,",",D265,",",E265,",",F265,",",G265,",",H265,",",I265,",",J265,",",K265)</f>
        <v>60857,-320,-778,4404,321,1321,3175,4745,4491</v>
      </c>
    </row>
    <row r="266" spans="1:27">
      <c r="A266" s="1">
        <f>IF(ISBLANK(T266),"",VALUE(Y266))</f>
        <v>58729</v>
      </c>
      <c r="B266" s="1">
        <f>A266*4/10 -18</f>
        <v>23473.599999999999</v>
      </c>
      <c r="C266" s="3">
        <f>B266/7000000</f>
        <v>3.3533714285714283E-3</v>
      </c>
      <c r="D266" s="6">
        <f>VALUE(MID(W266,$X266+2,L266-(X266+2)))</f>
        <v>-316</v>
      </c>
      <c r="E266" s="6">
        <f>VALUE(MID($W266,L266+1,M266-(L266+1)))</f>
        <v>-777</v>
      </c>
      <c r="F266" s="6">
        <f>VALUE(MID($W266,M266+1,N266-(M266+1)))</f>
        <v>4403</v>
      </c>
      <c r="G266" s="6">
        <f>VALUE(MID($W266,N266+1,O266-(N266+1)))</f>
        <v>322</v>
      </c>
      <c r="H266" s="6">
        <f>VALUE(MID($W266,O266+1,P266-(O266+1)))</f>
        <v>1312</v>
      </c>
      <c r="I266" s="6">
        <f>VALUE(MID($W266,P266+1,Q266-(P266+1)))</f>
        <v>3172</v>
      </c>
      <c r="J266" s="6">
        <f>VALUE(MID($W266,Q266+1,R266-(Q266+1)))</f>
        <v>4745</v>
      </c>
      <c r="K266" s="4">
        <f>VALUE(MID(W266,R266+1,LEN(W266)-(R266)))</f>
        <v>4500</v>
      </c>
      <c r="L266" s="4">
        <f>SEARCH(",",W266,X266)</f>
        <v>14</v>
      </c>
      <c r="M266" s="4">
        <f>SEARCH(",",$W266,L266+1)</f>
        <v>20</v>
      </c>
      <c r="N266" s="4">
        <f>SEARCH(",",$W266,M266+1)</f>
        <v>26</v>
      </c>
      <c r="O266" s="4">
        <f>SEARCH(",",$W266,N266+1)</f>
        <v>31</v>
      </c>
      <c r="P266" s="4">
        <f>SEARCH(",",$W266,O266+1)</f>
        <v>37</v>
      </c>
      <c r="Q266" s="4">
        <f>SEARCH(",",$W266,P266+1)</f>
        <v>43</v>
      </c>
      <c r="R266" s="4">
        <f>SEARCH(",",$W266,Q266+1)</f>
        <v>49</v>
      </c>
      <c r="T266" t="s">
        <v>848</v>
      </c>
      <c r="U266">
        <f>SEARCH(":",T266)</f>
        <v>6</v>
      </c>
      <c r="V266" t="str">
        <f>MID(T266,U266+1,LEN(T266)-(U266))</f>
        <v xml:space="preserve"> 58729 ** -316, -777, 4403, 322, 1312, 3172, 4745, 4500</v>
      </c>
      <c r="W266" t="str">
        <f>TRIM(V266)</f>
        <v>58729 ** -316, -777, 4403, 322, 1312, 3172, 4745, 4500</v>
      </c>
      <c r="X266">
        <f>SEARCH("~*",W266)</f>
        <v>7</v>
      </c>
      <c r="Y266" t="str">
        <f>LEFT(W266,X266-1)</f>
        <v xml:space="preserve">58729 </v>
      </c>
      <c r="AA266" t="str">
        <f>CONCATENATE(A266,",",D266,",",E266,",",F266,",",G266,",",H266,",",I266,",",J266,",",K266)</f>
        <v>58729,-316,-777,4403,322,1312,3172,4745,4500</v>
      </c>
    </row>
    <row r="267" spans="1:27">
      <c r="A267" s="1">
        <f>IF(ISBLANK(T267),"",VALUE(Y267))</f>
        <v>55745</v>
      </c>
      <c r="B267" s="1">
        <f>A267*4/10 -18</f>
        <v>22280</v>
      </c>
      <c r="C267" s="3">
        <f>B267/7000000</f>
        <v>3.1828571428571427E-3</v>
      </c>
      <c r="D267" s="6">
        <f>VALUE(MID(W267,$X267+2,L267-(X267+2)))</f>
        <v>-316</v>
      </c>
      <c r="E267" s="6">
        <f>VALUE(MID($W267,L267+1,M267-(L267+1)))</f>
        <v>-779</v>
      </c>
      <c r="F267" s="6">
        <f>VALUE(MID($W267,M267+1,N267-(M267+1)))</f>
        <v>4399</v>
      </c>
      <c r="G267" s="6">
        <f>VALUE(MID($W267,N267+1,O267-(N267+1)))</f>
        <v>326</v>
      </c>
      <c r="H267" s="6">
        <f>VALUE(MID($W267,O267+1,P267-(O267+1)))</f>
        <v>1316</v>
      </c>
      <c r="I267" s="6">
        <f>VALUE(MID($W267,P267+1,Q267-(P267+1)))</f>
        <v>3172</v>
      </c>
      <c r="J267" s="6">
        <f>VALUE(MID($W267,Q267+1,R267-(Q267+1)))</f>
        <v>4743</v>
      </c>
      <c r="K267" s="4">
        <f>VALUE(MID(W267,R267+1,LEN(W267)-(R267)))</f>
        <v>4498</v>
      </c>
      <c r="L267" s="4">
        <f>SEARCH(",",W267,X267)</f>
        <v>14</v>
      </c>
      <c r="M267" s="4">
        <f>SEARCH(",",$W267,L267+1)</f>
        <v>20</v>
      </c>
      <c r="N267" s="4">
        <f>SEARCH(",",$W267,M267+1)</f>
        <v>26</v>
      </c>
      <c r="O267" s="4">
        <f>SEARCH(",",$W267,N267+1)</f>
        <v>31</v>
      </c>
      <c r="P267" s="4">
        <f>SEARCH(",",$W267,O267+1)</f>
        <v>37</v>
      </c>
      <c r="Q267" s="4">
        <f>SEARCH(",",$W267,P267+1)</f>
        <v>43</v>
      </c>
      <c r="R267" s="4">
        <f>SEARCH(",",$W267,Q267+1)</f>
        <v>49</v>
      </c>
      <c r="T267" t="s">
        <v>648</v>
      </c>
      <c r="U267">
        <f>SEARCH(":",T267)</f>
        <v>6</v>
      </c>
      <c r="V267" t="str">
        <f>MID(T267,U267+1,LEN(T267)-(U267))</f>
        <v xml:space="preserve"> 55745 ** -316, -779, 4399, 326, 1316, 3172, 4743, 4498</v>
      </c>
      <c r="W267" t="str">
        <f>TRIM(V267)</f>
        <v>55745 ** -316, -779, 4399, 326, 1316, 3172, 4743, 4498</v>
      </c>
      <c r="X267">
        <f>SEARCH("~*",W267)</f>
        <v>7</v>
      </c>
      <c r="Y267" t="str">
        <f>LEFT(W267,X267-1)</f>
        <v xml:space="preserve">55745 </v>
      </c>
      <c r="AA267" t="str">
        <f>CONCATENATE(A267,",",D267,",",E267,",",F267,",",G267,",",H267,",",I267,",",J267,",",K267)</f>
        <v>55745,-316,-779,4399,326,1316,3172,4743,4498</v>
      </c>
    </row>
    <row r="268" spans="1:27">
      <c r="A268" s="1">
        <f>IF(ISBLANK(T268),"",VALUE(Y268))</f>
        <v>55410</v>
      </c>
      <c r="B268" s="1">
        <f>A268*4/10 -18</f>
        <v>22146</v>
      </c>
      <c r="C268" s="3">
        <f>B268/7000000</f>
        <v>3.1637142857142858E-3</v>
      </c>
      <c r="D268" s="6">
        <f>VALUE(MID(W268,$X268+2,L268-(X268+2)))</f>
        <v>-321</v>
      </c>
      <c r="E268" s="6">
        <f>VALUE(MID($W268,L268+1,M268-(L268+1)))</f>
        <v>-774</v>
      </c>
      <c r="F268" s="6">
        <f>VALUE(MID($W268,M268+1,N268-(M268+1)))</f>
        <v>4408</v>
      </c>
      <c r="G268" s="6">
        <f>VALUE(MID($W268,N268+1,O268-(N268+1)))</f>
        <v>324</v>
      </c>
      <c r="H268" s="6">
        <f>VALUE(MID($W268,O268+1,P268-(O268+1)))</f>
        <v>1321</v>
      </c>
      <c r="I268" s="6">
        <f>VALUE(MID($W268,P268+1,Q268-(P268+1)))</f>
        <v>3174</v>
      </c>
      <c r="J268" s="6">
        <f>VALUE(MID($W268,Q268+1,R268-(Q268+1)))</f>
        <v>4739</v>
      </c>
      <c r="K268" s="4">
        <f>VALUE(MID(W268,R268+1,LEN(W268)-(R268)))</f>
        <v>4495</v>
      </c>
      <c r="L268" s="4">
        <f>SEARCH(",",W268,X268)</f>
        <v>14</v>
      </c>
      <c r="M268" s="4">
        <f>SEARCH(",",$W268,L268+1)</f>
        <v>20</v>
      </c>
      <c r="N268" s="4">
        <f>SEARCH(",",$W268,M268+1)</f>
        <v>26</v>
      </c>
      <c r="O268" s="4">
        <f>SEARCH(",",$W268,N268+1)</f>
        <v>31</v>
      </c>
      <c r="P268" s="4">
        <f>SEARCH(",",$W268,O268+1)</f>
        <v>37</v>
      </c>
      <c r="Q268" s="4">
        <f>SEARCH(",",$W268,P268+1)</f>
        <v>43</v>
      </c>
      <c r="R268" s="4">
        <f>SEARCH(",",$W268,Q268+1)</f>
        <v>49</v>
      </c>
      <c r="T268" t="s">
        <v>696</v>
      </c>
      <c r="U268">
        <f>SEARCH(":",T268)</f>
        <v>6</v>
      </c>
      <c r="V268" t="str">
        <f>MID(T268,U268+1,LEN(T268)-(U268))</f>
        <v xml:space="preserve"> 55410 ** -321, -774, 4408, 324, 1321, 3174, 4739, 4495</v>
      </c>
      <c r="W268" t="str">
        <f>TRIM(V268)</f>
        <v>55410 ** -321, -774, 4408, 324, 1321, 3174, 4739, 4495</v>
      </c>
      <c r="X268">
        <f>SEARCH("~*",W268)</f>
        <v>7</v>
      </c>
      <c r="Y268" t="str">
        <f>LEFT(W268,X268-1)</f>
        <v xml:space="preserve">55410 </v>
      </c>
      <c r="AA268" t="str">
        <f>CONCATENATE(A268,",",D268,",",E268,",",F268,",",G268,",",H268,",",I268,",",J268,",",K268)</f>
        <v>55410,-321,-774,4408,324,1321,3174,4739,4495</v>
      </c>
    </row>
    <row r="269" spans="1:27">
      <c r="A269" s="1">
        <f>IF(ISBLANK(T269),"",VALUE(Y269))</f>
        <v>55392</v>
      </c>
      <c r="B269" s="1">
        <f>A269*4/10 -18</f>
        <v>22138.799999999999</v>
      </c>
      <c r="C269" s="3">
        <f>B269/7000000</f>
        <v>3.1626857142857141E-3</v>
      </c>
      <c r="D269" s="6">
        <f>VALUE(MID(W269,$X269+2,L269-(X269+2)))</f>
        <v>-318</v>
      </c>
      <c r="E269" s="6">
        <f>VALUE(MID($W269,L269+1,M269-(L269+1)))</f>
        <v>-776</v>
      </c>
      <c r="F269" s="6">
        <f>VALUE(MID($W269,M269+1,N269-(M269+1)))</f>
        <v>4405</v>
      </c>
      <c r="G269" s="6">
        <f>VALUE(MID($W269,N269+1,O269-(N269+1)))</f>
        <v>327</v>
      </c>
      <c r="H269" s="6">
        <f>VALUE(MID($W269,O269+1,P269-(O269+1)))</f>
        <v>1313</v>
      </c>
      <c r="I269" s="6">
        <f>VALUE(MID($W269,P269+1,Q269-(P269+1)))</f>
        <v>3174</v>
      </c>
      <c r="J269" s="6">
        <f>VALUE(MID($W269,Q269+1,R269-(Q269+1)))</f>
        <v>4741</v>
      </c>
      <c r="K269" s="4">
        <f>VALUE(MID(W269,R269+1,LEN(W269)-(R269)))</f>
        <v>4495</v>
      </c>
      <c r="L269" s="4">
        <f>SEARCH(",",W269,X269)</f>
        <v>14</v>
      </c>
      <c r="M269" s="4">
        <f>SEARCH(",",$W269,L269+1)</f>
        <v>20</v>
      </c>
      <c r="N269" s="4">
        <f>SEARCH(",",$W269,M269+1)</f>
        <v>26</v>
      </c>
      <c r="O269" s="4">
        <f>SEARCH(",",$W269,N269+1)</f>
        <v>31</v>
      </c>
      <c r="P269" s="4">
        <f>SEARCH(",",$W269,O269+1)</f>
        <v>37</v>
      </c>
      <c r="Q269" s="4">
        <f>SEARCH(",",$W269,P269+1)</f>
        <v>43</v>
      </c>
      <c r="R269" s="4">
        <f>SEARCH(",",$W269,Q269+1)</f>
        <v>49</v>
      </c>
      <c r="T269" t="s">
        <v>854</v>
      </c>
      <c r="U269">
        <f>SEARCH(":",T269)</f>
        <v>6</v>
      </c>
      <c r="V269" t="str">
        <f>MID(T269,U269+1,LEN(T269)-(U269))</f>
        <v xml:space="preserve"> 55392 ** -318, -776, 4405, 327, 1313, 3174, 4741, 4495</v>
      </c>
      <c r="W269" t="str">
        <f>TRIM(V269)</f>
        <v>55392 ** -318, -776, 4405, 327, 1313, 3174, 4741, 4495</v>
      </c>
      <c r="X269">
        <f>SEARCH("~*",W269)</f>
        <v>7</v>
      </c>
      <c r="Y269" t="str">
        <f>LEFT(W269,X269-1)</f>
        <v xml:space="preserve">55392 </v>
      </c>
      <c r="AA269" t="str">
        <f>CONCATENATE(A269,",",D269,",",E269,",",F269,",",G269,",",H269,",",I269,",",J269,",",K269)</f>
        <v>55392,-318,-776,4405,327,1313,3174,4741,4495</v>
      </c>
    </row>
    <row r="270" spans="1:27">
      <c r="A270" s="1">
        <f>IF(ISBLANK(T270),"",VALUE(Y270))</f>
        <v>55252</v>
      </c>
      <c r="B270" s="1">
        <f>A270*4/10 -18</f>
        <v>22082.799999999999</v>
      </c>
      <c r="C270" s="3">
        <f>B270/7000000</f>
        <v>3.1546857142857143E-3</v>
      </c>
      <c r="D270" s="6">
        <f>VALUE(MID(W270,$X270+2,L270-(X270+2)))</f>
        <v>-319</v>
      </c>
      <c r="E270" s="6">
        <f>VALUE(MID($W270,L270+1,M270-(L270+1)))</f>
        <v>-778</v>
      </c>
      <c r="F270" s="6">
        <f>VALUE(MID($W270,M270+1,N270-(M270+1)))</f>
        <v>4404</v>
      </c>
      <c r="G270" s="6">
        <f>VALUE(MID($W270,N270+1,O270-(N270+1)))</f>
        <v>321</v>
      </c>
      <c r="H270" s="6">
        <f>VALUE(MID($W270,O270+1,P270-(O270+1)))</f>
        <v>1318</v>
      </c>
      <c r="I270" s="6">
        <f>VALUE(MID($W270,P270+1,Q270-(P270+1)))</f>
        <v>3167</v>
      </c>
      <c r="J270" s="6">
        <f>VALUE(MID($W270,Q270+1,R270-(Q270+1)))</f>
        <v>4748</v>
      </c>
      <c r="K270" s="4">
        <f>VALUE(MID(W270,R270+1,LEN(W270)-(R270)))</f>
        <v>4497</v>
      </c>
      <c r="L270" s="4">
        <f>SEARCH(",",W270,X270)</f>
        <v>14</v>
      </c>
      <c r="M270" s="4">
        <f>SEARCH(",",$W270,L270+1)</f>
        <v>20</v>
      </c>
      <c r="N270" s="4">
        <f>SEARCH(",",$W270,M270+1)</f>
        <v>26</v>
      </c>
      <c r="O270" s="4">
        <f>SEARCH(",",$W270,N270+1)</f>
        <v>31</v>
      </c>
      <c r="P270" s="4">
        <f>SEARCH(",",$W270,O270+1)</f>
        <v>37</v>
      </c>
      <c r="Q270" s="4">
        <f>SEARCH(",",$W270,P270+1)</f>
        <v>43</v>
      </c>
      <c r="R270" s="4">
        <f>SEARCH(",",$W270,Q270+1)</f>
        <v>49</v>
      </c>
      <c r="T270" t="s">
        <v>588</v>
      </c>
      <c r="U270">
        <f>SEARCH(":",T270)</f>
        <v>6</v>
      </c>
      <c r="V270" t="str">
        <f>MID(T270,U270+1,LEN(T270)-(U270))</f>
        <v xml:space="preserve"> 55252 ** -319, -778, 4404, 321, 1318, 3167, 4748, 4497</v>
      </c>
      <c r="W270" t="str">
        <f>TRIM(V270)</f>
        <v>55252 ** -319, -778, 4404, 321, 1318, 3167, 4748, 4497</v>
      </c>
      <c r="X270">
        <f>SEARCH("~*",W270)</f>
        <v>7</v>
      </c>
      <c r="Y270" t="str">
        <f>LEFT(W270,X270-1)</f>
        <v xml:space="preserve">55252 </v>
      </c>
      <c r="AA270" t="str">
        <f>CONCATENATE(A270,",",D270,",",E270,",",F270,",",G270,",",H270,",",I270,",",J270,",",K270)</f>
        <v>55252,-319,-778,4404,321,1318,3167,4748,4497</v>
      </c>
    </row>
    <row r="271" spans="1:27">
      <c r="A271" s="1">
        <f>IF(ISBLANK(T271),"",VALUE(Y271))</f>
        <v>53609</v>
      </c>
      <c r="B271" s="1">
        <f>A271*4/10 -18</f>
        <v>21425.599999999999</v>
      </c>
      <c r="C271" s="3">
        <f>B271/7000000</f>
        <v>3.0607999999999998E-3</v>
      </c>
      <c r="D271" s="6">
        <f>VALUE(MID(W271,$X271+2,L271-(X271+2)))</f>
        <v>-324</v>
      </c>
      <c r="E271" s="6">
        <f>VALUE(MID($W271,L271+1,M271-(L271+1)))</f>
        <v>-777</v>
      </c>
      <c r="F271" s="6">
        <f>VALUE(MID($W271,M271+1,N271-(M271+1)))</f>
        <v>4401</v>
      </c>
      <c r="G271" s="6">
        <f>VALUE(MID($W271,N271+1,O271-(N271+1)))</f>
        <v>324</v>
      </c>
      <c r="H271" s="6">
        <f>VALUE(MID($W271,O271+1,P271-(O271+1)))</f>
        <v>1319</v>
      </c>
      <c r="I271" s="6">
        <f>VALUE(MID($W271,P271+1,Q271-(P271+1)))</f>
        <v>3170</v>
      </c>
      <c r="J271" s="6">
        <f>VALUE(MID($W271,Q271+1,R271-(Q271+1)))</f>
        <v>4743</v>
      </c>
      <c r="K271" s="4">
        <f>VALUE(MID(W271,R271+1,LEN(W271)-(R271)))</f>
        <v>4491</v>
      </c>
      <c r="L271" s="4">
        <f>SEARCH(",",W271,X271)</f>
        <v>14</v>
      </c>
      <c r="M271" s="4">
        <f>SEARCH(",",$W271,L271+1)</f>
        <v>20</v>
      </c>
      <c r="N271" s="4">
        <f>SEARCH(",",$W271,M271+1)</f>
        <v>26</v>
      </c>
      <c r="O271" s="4">
        <f>SEARCH(",",$W271,N271+1)</f>
        <v>31</v>
      </c>
      <c r="P271" s="4">
        <f>SEARCH(",",$W271,O271+1)</f>
        <v>37</v>
      </c>
      <c r="Q271" s="4">
        <f>SEARCH(",",$W271,P271+1)</f>
        <v>43</v>
      </c>
      <c r="R271" s="4">
        <f>SEARCH(",",$W271,Q271+1)</f>
        <v>49</v>
      </c>
      <c r="T271" t="s">
        <v>782</v>
      </c>
      <c r="U271">
        <f>SEARCH(":",T271)</f>
        <v>6</v>
      </c>
      <c r="V271" t="str">
        <f>MID(T271,U271+1,LEN(T271)-(U271))</f>
        <v xml:space="preserve"> 53609 ** -324, -777, 4401, 324, 1319, 3170, 4743, 4491</v>
      </c>
      <c r="W271" t="str">
        <f>TRIM(V271)</f>
        <v>53609 ** -324, -777, 4401, 324, 1319, 3170, 4743, 4491</v>
      </c>
      <c r="X271">
        <f>SEARCH("~*",W271)</f>
        <v>7</v>
      </c>
      <c r="Y271" t="str">
        <f>LEFT(W271,X271-1)</f>
        <v xml:space="preserve">53609 </v>
      </c>
      <c r="AA271" t="str">
        <f>CONCATENATE(A271,",",D271,",",E271,",",F271,",",G271,",",H271,",",I271,",",J271,",",K271)</f>
        <v>53609,-324,-777,4401,324,1319,3170,4743,4491</v>
      </c>
    </row>
    <row r="272" spans="1:27">
      <c r="A272" s="1">
        <f>IF(ISBLANK(T272),"",VALUE(Y272))</f>
        <v>52100</v>
      </c>
      <c r="B272" s="1">
        <f>A272*4/10 -18</f>
        <v>20822</v>
      </c>
      <c r="C272" s="3">
        <f>B272/7000000</f>
        <v>2.9745714285714284E-3</v>
      </c>
      <c r="D272" s="6">
        <f>VALUE(MID(W272,$X272+2,L272-(X272+2)))</f>
        <v>-323</v>
      </c>
      <c r="E272" s="6">
        <f>VALUE(MID($W272,L272+1,M272-(L272+1)))</f>
        <v>-780</v>
      </c>
      <c r="F272" s="6">
        <f>VALUE(MID($W272,M272+1,N272-(M272+1)))</f>
        <v>4399</v>
      </c>
      <c r="G272" s="6">
        <f>VALUE(MID($W272,N272+1,O272-(N272+1)))</f>
        <v>326</v>
      </c>
      <c r="H272" s="6">
        <f>VALUE(MID($W272,O272+1,P272-(O272+1)))</f>
        <v>1316</v>
      </c>
      <c r="I272" s="6">
        <f>VALUE(MID($W272,P272+1,Q272-(P272+1)))</f>
        <v>3170</v>
      </c>
      <c r="J272" s="6">
        <f>VALUE(MID($W272,Q272+1,R272-(Q272+1)))</f>
        <v>4746</v>
      </c>
      <c r="K272" s="4">
        <f>VALUE(MID(W272,R272+1,LEN(W272)-(R272)))</f>
        <v>4493</v>
      </c>
      <c r="L272" s="4">
        <f>SEARCH(",",W272,X272)</f>
        <v>14</v>
      </c>
      <c r="M272" s="4">
        <f>SEARCH(",",$W272,L272+1)</f>
        <v>20</v>
      </c>
      <c r="N272" s="4">
        <f>SEARCH(",",$W272,M272+1)</f>
        <v>26</v>
      </c>
      <c r="O272" s="4">
        <f>SEARCH(",",$W272,N272+1)</f>
        <v>31</v>
      </c>
      <c r="P272" s="4">
        <f>SEARCH(",",$W272,O272+1)</f>
        <v>37</v>
      </c>
      <c r="Q272" s="4">
        <f>SEARCH(",",$W272,P272+1)</f>
        <v>43</v>
      </c>
      <c r="R272" s="4">
        <f>SEARCH(",",$W272,Q272+1)</f>
        <v>49</v>
      </c>
      <c r="T272" t="s">
        <v>714</v>
      </c>
      <c r="U272">
        <f>SEARCH(":",T272)</f>
        <v>6</v>
      </c>
      <c r="V272" t="str">
        <f>MID(T272,U272+1,LEN(T272)-(U272))</f>
        <v xml:space="preserve"> 52100 ** -323, -780, 4399, 326, 1316, 3170, 4746, 4493</v>
      </c>
      <c r="W272" t="str">
        <f>TRIM(V272)</f>
        <v>52100 ** -323, -780, 4399, 326, 1316, 3170, 4746, 4493</v>
      </c>
      <c r="X272">
        <f>SEARCH("~*",W272)</f>
        <v>7</v>
      </c>
      <c r="Y272" t="str">
        <f>LEFT(W272,X272-1)</f>
        <v xml:space="preserve">52100 </v>
      </c>
      <c r="AA272" t="str">
        <f>CONCATENATE(A272,",",D272,",",E272,",",F272,",",G272,",",H272,",",I272,",",J272,",",K272)</f>
        <v>52100,-323,-780,4399,326,1316,3170,4746,4493</v>
      </c>
    </row>
    <row r="273" spans="1:28">
      <c r="A273" s="1">
        <f>IF(ISBLANK(T273),"",VALUE(Y273))</f>
        <v>41506</v>
      </c>
      <c r="B273" s="1">
        <f>A273*4/10 -18</f>
        <v>16584.400000000001</v>
      </c>
      <c r="C273" s="3">
        <f>B273/7000000</f>
        <v>2.3692000000000001E-3</v>
      </c>
      <c r="D273" s="6">
        <f>VALUE(MID(W273,$X273+2,L273-(X273+2)))</f>
        <v>-320</v>
      </c>
      <c r="E273" s="6">
        <f>VALUE(MID($W273,L273+1,M273-(L273+1)))</f>
        <v>-781</v>
      </c>
      <c r="F273" s="6">
        <f>VALUE(MID($W273,M273+1,N273-(M273+1)))</f>
        <v>4400</v>
      </c>
      <c r="G273" s="6">
        <f>VALUE(MID($W273,N273+1,O273-(N273+1)))</f>
        <v>328</v>
      </c>
      <c r="H273" s="6">
        <f>VALUE(MID($W273,O273+1,P273-(O273+1)))</f>
        <v>1316</v>
      </c>
      <c r="I273" s="6">
        <f>VALUE(MID($W273,P273+1,Q273-(P273+1)))</f>
        <v>3170</v>
      </c>
      <c r="J273" s="6">
        <f>VALUE(MID($W273,Q273+1,R273-(Q273+1)))</f>
        <v>4740</v>
      </c>
      <c r="K273" s="4">
        <f>VALUE(MID(W273,R273+1,LEN(W273)-(R273)))</f>
        <v>4491</v>
      </c>
      <c r="L273" s="4">
        <f>SEARCH(",",W273,X273)</f>
        <v>14</v>
      </c>
      <c r="M273" s="4">
        <f>SEARCH(",",$W273,L273+1)</f>
        <v>20</v>
      </c>
      <c r="N273" s="4">
        <f>SEARCH(",",$W273,M273+1)</f>
        <v>26</v>
      </c>
      <c r="O273" s="4">
        <f>SEARCH(",",$W273,N273+1)</f>
        <v>31</v>
      </c>
      <c r="P273" s="4">
        <f>SEARCH(",",$W273,O273+1)</f>
        <v>37</v>
      </c>
      <c r="Q273" s="4">
        <f>SEARCH(",",$W273,P273+1)</f>
        <v>43</v>
      </c>
      <c r="R273" s="4">
        <f>SEARCH(",",$W273,Q273+1)</f>
        <v>49</v>
      </c>
      <c r="T273" t="s">
        <v>843</v>
      </c>
      <c r="U273">
        <f>SEARCH(":",T273)</f>
        <v>6</v>
      </c>
      <c r="V273" t="str">
        <f>MID(T273,U273+1,LEN(T273)-(U273))</f>
        <v xml:space="preserve"> 41506 ** -320, -781, 4400, 328, 1316, 3170, 4740, 4491</v>
      </c>
      <c r="W273" t="str">
        <f>TRIM(V273)</f>
        <v>41506 ** -320, -781, 4400, 328, 1316, 3170, 4740, 4491</v>
      </c>
      <c r="X273">
        <f>SEARCH("~*",W273)</f>
        <v>7</v>
      </c>
      <c r="Y273" t="str">
        <f>LEFT(W273,X273-1)</f>
        <v xml:space="preserve">41506 </v>
      </c>
      <c r="AA273" t="str">
        <f>CONCATENATE(A273,",",D273,",",E273,",",F273,",",G273,",",H273,",",I273,",",J273,",",K273)</f>
        <v>41506,-320,-781,4400,328,1316,3170,4740,4491</v>
      </c>
    </row>
    <row r="274" spans="1:28">
      <c r="A274" s="1">
        <f>IF(ISBLANK(T274),"",VALUE(Y274))</f>
        <v>41409</v>
      </c>
      <c r="B274" s="1">
        <f>A274*4/10 -18</f>
        <v>16545.599999999999</v>
      </c>
      <c r="C274" s="3">
        <f>B274/7000000</f>
        <v>2.3636571428571427E-3</v>
      </c>
      <c r="D274" s="6">
        <f>VALUE(MID(W274,$X274+2,L274-(X274+2)))</f>
        <v>-320</v>
      </c>
      <c r="E274" s="6">
        <f>VALUE(MID($W274,L274+1,M274-(L274+1)))</f>
        <v>-781</v>
      </c>
      <c r="F274" s="6">
        <f>VALUE(MID($W274,M274+1,N274-(M274+1)))</f>
        <v>4403</v>
      </c>
      <c r="G274" s="6">
        <f>VALUE(MID($W274,N274+1,O274-(N274+1)))</f>
        <v>329</v>
      </c>
      <c r="H274" s="6">
        <f>VALUE(MID($W274,O274+1,P274-(O274+1)))</f>
        <v>1320</v>
      </c>
      <c r="I274" s="6">
        <f>VALUE(MID($W274,P274+1,Q274-(P274+1)))</f>
        <v>3175</v>
      </c>
      <c r="J274" s="6">
        <f>VALUE(MID($W274,Q274+1,R274-(Q274+1)))</f>
        <v>4741</v>
      </c>
      <c r="K274" s="4">
        <f>VALUE(MID(W274,R274+1,LEN(W274)-(R274)))</f>
        <v>4494</v>
      </c>
      <c r="L274" s="4">
        <f>SEARCH(",",W274,X274)</f>
        <v>14</v>
      </c>
      <c r="M274" s="4">
        <f>SEARCH(",",$W274,L274+1)</f>
        <v>20</v>
      </c>
      <c r="N274" s="4">
        <f>SEARCH(",",$W274,M274+1)</f>
        <v>26</v>
      </c>
      <c r="O274" s="4">
        <f>SEARCH(",",$W274,N274+1)</f>
        <v>31</v>
      </c>
      <c r="P274" s="4">
        <f>SEARCH(",",$W274,O274+1)</f>
        <v>37</v>
      </c>
      <c r="Q274" s="4">
        <f>SEARCH(",",$W274,P274+1)</f>
        <v>43</v>
      </c>
      <c r="R274" s="4">
        <f>SEARCH(",",$W274,Q274+1)</f>
        <v>49</v>
      </c>
      <c r="T274" t="s">
        <v>658</v>
      </c>
      <c r="U274">
        <f>SEARCH(":",T274)</f>
        <v>6</v>
      </c>
      <c r="V274" t="str">
        <f>MID(T274,U274+1,LEN(T274)-(U274))</f>
        <v xml:space="preserve"> 41409 ** -320, -781, 4403, 329, 1320, 3175, 4741, 4494</v>
      </c>
      <c r="W274" t="str">
        <f>TRIM(V274)</f>
        <v>41409 ** -320, -781, 4403, 329, 1320, 3175, 4741, 4494</v>
      </c>
      <c r="X274">
        <f>SEARCH("~*",W274)</f>
        <v>7</v>
      </c>
      <c r="Y274" t="str">
        <f>LEFT(W274,X274-1)</f>
        <v xml:space="preserve">41409 </v>
      </c>
      <c r="AA274" t="str">
        <f>CONCATENATE(A274,",",D274,",",E274,",",F274,",",G274,",",H274,",",I274,",",J274,",",K274)</f>
        <v>41409,-320,-781,4403,329,1320,3175,4741,4494</v>
      </c>
    </row>
    <row r="275" spans="1:28">
      <c r="A275" s="1">
        <f>IF(ISBLANK(T275),"",VALUE(Y275))</f>
        <v>35650</v>
      </c>
      <c r="B275" s="1">
        <f>A275*4/10 -18</f>
        <v>14242</v>
      </c>
      <c r="C275" s="3">
        <f>B275/7000000</f>
        <v>2.0345714285714286E-3</v>
      </c>
      <c r="D275" s="6">
        <f>VALUE(MID(W275,$X275+2,L275-(X275+2)))</f>
        <v>-318</v>
      </c>
      <c r="E275" s="6">
        <f>VALUE(MID($W275,L275+1,M275-(L275+1)))</f>
        <v>-775</v>
      </c>
      <c r="F275" s="6">
        <f>VALUE(MID($W275,M275+1,N275-(M275+1)))</f>
        <v>4401</v>
      </c>
      <c r="G275" s="6">
        <f>VALUE(MID($W275,N275+1,O275-(N275+1)))</f>
        <v>327</v>
      </c>
      <c r="H275" s="6">
        <f>VALUE(MID($W275,O275+1,P275-(O275+1)))</f>
        <v>1316</v>
      </c>
      <c r="I275" s="6">
        <f>VALUE(MID($W275,P275+1,Q275-(P275+1)))</f>
        <v>3175</v>
      </c>
      <c r="J275" s="6">
        <f>VALUE(MID($W275,Q275+1,R275-(Q275+1)))</f>
        <v>4748</v>
      </c>
      <c r="K275" s="4">
        <f>VALUE(MID(W275,R275+1,LEN(W275)-(R275)))</f>
        <v>4494</v>
      </c>
      <c r="L275" s="4">
        <f>SEARCH(",",W275,X275)</f>
        <v>14</v>
      </c>
      <c r="M275" s="4">
        <f>SEARCH(",",$W275,L275+1)</f>
        <v>20</v>
      </c>
      <c r="N275" s="4">
        <f>SEARCH(",",$W275,M275+1)</f>
        <v>26</v>
      </c>
      <c r="O275" s="4">
        <f>SEARCH(",",$W275,N275+1)</f>
        <v>31</v>
      </c>
      <c r="P275" s="4">
        <f>SEARCH(",",$W275,O275+1)</f>
        <v>37</v>
      </c>
      <c r="Q275" s="4">
        <f>SEARCH(",",$W275,P275+1)</f>
        <v>43</v>
      </c>
      <c r="R275" s="4">
        <f>SEARCH(",",$W275,Q275+1)</f>
        <v>49</v>
      </c>
      <c r="T275" t="s">
        <v>788</v>
      </c>
      <c r="U275">
        <f>SEARCH(":",T275)</f>
        <v>6</v>
      </c>
      <c r="V275" t="str">
        <f>MID(T275,U275+1,LEN(T275)-(U275))</f>
        <v xml:space="preserve"> 35650 ** -318, -775, 4401, 327, 1316, 3175, 4748, 4494</v>
      </c>
      <c r="W275" t="str">
        <f>TRIM(V275)</f>
        <v>35650 ** -318, -775, 4401, 327, 1316, 3175, 4748, 4494</v>
      </c>
      <c r="X275">
        <f>SEARCH("~*",W275)</f>
        <v>7</v>
      </c>
      <c r="Y275" t="str">
        <f>LEFT(W275,X275-1)</f>
        <v xml:space="preserve">35650 </v>
      </c>
      <c r="AA275" t="str">
        <f>CONCATENATE(A275,",",D275,",",E275,",",F275,",",G275,",",H275,",",I275,",",J275,",",K275)</f>
        <v>35650,-318,-775,4401,327,1316,3175,4748,4494</v>
      </c>
    </row>
    <row r="276" spans="1:28">
      <c r="A276" s="1">
        <f>IF(ISBLANK(T276),"",VALUE(Y276))</f>
        <v>35456</v>
      </c>
      <c r="B276" s="1">
        <f>A276*4/10 -18</f>
        <v>14164.4</v>
      </c>
      <c r="C276" s="3">
        <f>B276/7000000</f>
        <v>2.0234857142857141E-3</v>
      </c>
      <c r="D276" s="6">
        <f>VALUE(MID(W276,$X276+2,L276-(X276+2)))</f>
        <v>-320</v>
      </c>
      <c r="E276" s="6">
        <f>VALUE(MID($W276,L276+1,M276-(L276+1)))</f>
        <v>-780</v>
      </c>
      <c r="F276" s="6">
        <f>VALUE(MID($W276,M276+1,N276-(M276+1)))</f>
        <v>4401</v>
      </c>
      <c r="G276" s="6">
        <f>VALUE(MID($W276,N276+1,O276-(N276+1)))</f>
        <v>323</v>
      </c>
      <c r="H276" s="6">
        <f>VALUE(MID($W276,O276+1,P276-(O276+1)))</f>
        <v>1317</v>
      </c>
      <c r="I276" s="6">
        <f>VALUE(MID($W276,P276+1,Q276-(P276+1)))</f>
        <v>3168</v>
      </c>
      <c r="J276" s="6">
        <f>VALUE(MID($W276,Q276+1,R276-(Q276+1)))</f>
        <v>4744</v>
      </c>
      <c r="K276" s="4">
        <f>VALUE(MID(W276,R276+1,LEN(W276)-(R276)))</f>
        <v>4491</v>
      </c>
      <c r="L276" s="4">
        <f>SEARCH(",",W276,X276)</f>
        <v>14</v>
      </c>
      <c r="M276" s="4">
        <f>SEARCH(",",$W276,L276+1)</f>
        <v>20</v>
      </c>
      <c r="N276" s="4">
        <f>SEARCH(",",$W276,M276+1)</f>
        <v>26</v>
      </c>
      <c r="O276" s="4">
        <f>SEARCH(",",$W276,N276+1)</f>
        <v>31</v>
      </c>
      <c r="P276" s="4">
        <f>SEARCH(",",$W276,O276+1)</f>
        <v>37</v>
      </c>
      <c r="Q276" s="4">
        <f>SEARCH(",",$W276,P276+1)</f>
        <v>43</v>
      </c>
      <c r="R276" s="4">
        <f>SEARCH(",",$W276,Q276+1)</f>
        <v>49</v>
      </c>
      <c r="T276" t="s">
        <v>611</v>
      </c>
      <c r="U276">
        <f>SEARCH(":",T276)</f>
        <v>6</v>
      </c>
      <c r="V276" t="str">
        <f>MID(T276,U276+1,LEN(T276)-(U276))</f>
        <v xml:space="preserve"> 35456 ** -320, -780, 4401, 323, 1317, 3168, 4744, 4491</v>
      </c>
      <c r="W276" t="str">
        <f>TRIM(V276)</f>
        <v>35456 ** -320, -780, 4401, 323, 1317, 3168, 4744, 4491</v>
      </c>
      <c r="X276">
        <f>SEARCH("~*",W276)</f>
        <v>7</v>
      </c>
      <c r="Y276" t="str">
        <f>LEFT(W276,X276-1)</f>
        <v xml:space="preserve">35456 </v>
      </c>
      <c r="AA276" t="str">
        <f>CONCATENATE(A276,",",D276,",",E276,",",F276,",",G276,",",H276,",",I276,",",J276,",",K276)</f>
        <v>35456,-320,-780,4401,323,1317,3168,4744,4491</v>
      </c>
    </row>
    <row r="277" spans="1:28">
      <c r="A277" s="1">
        <f>IF(ISBLANK(T277),"",VALUE(Y277))</f>
        <v>26811</v>
      </c>
      <c r="B277" s="1">
        <f>A277*4/10 -18</f>
        <v>10706.4</v>
      </c>
      <c r="C277" s="3">
        <f>B277/7000000</f>
        <v>1.5294857142857143E-3</v>
      </c>
      <c r="D277" s="6">
        <f>VALUE(MID(W277,$X277+2,L277-(X277+2)))</f>
        <v>-320</v>
      </c>
      <c r="E277" s="6">
        <f>VALUE(MID($W277,L277+1,M277-(L277+1)))</f>
        <v>-777</v>
      </c>
      <c r="F277" s="6">
        <f>VALUE(MID($W277,M277+1,N277-(M277+1)))</f>
        <v>4404</v>
      </c>
      <c r="G277" s="6">
        <f>VALUE(MID($W277,N277+1,O277-(N277+1)))</f>
        <v>329</v>
      </c>
      <c r="H277" s="6">
        <f>VALUE(MID($W277,O277+1,P277-(O277+1)))</f>
        <v>1314</v>
      </c>
      <c r="I277" s="6">
        <f>VALUE(MID($W277,P277+1,Q277-(P277+1)))</f>
        <v>3175</v>
      </c>
      <c r="J277" s="6">
        <f>VALUE(MID($W277,Q277+1,R277-(Q277+1)))</f>
        <v>4742</v>
      </c>
      <c r="K277" s="4">
        <f>VALUE(MID(W277,R277+1,LEN(W277)-(R277)))</f>
        <v>4495</v>
      </c>
      <c r="L277" s="4">
        <f>SEARCH(",",W277,X277)</f>
        <v>14</v>
      </c>
      <c r="M277" s="4">
        <f>SEARCH(",",$W277,L277+1)</f>
        <v>20</v>
      </c>
      <c r="N277" s="4">
        <f>SEARCH(",",$W277,M277+1)</f>
        <v>26</v>
      </c>
      <c r="O277" s="4">
        <f>SEARCH(",",$W277,N277+1)</f>
        <v>31</v>
      </c>
      <c r="P277" s="4">
        <f>SEARCH(",",$W277,O277+1)</f>
        <v>37</v>
      </c>
      <c r="Q277" s="4">
        <f>SEARCH(",",$W277,P277+1)</f>
        <v>43</v>
      </c>
      <c r="R277" s="4">
        <f>SEARCH(",",$W277,Q277+1)</f>
        <v>49</v>
      </c>
      <c r="T277" t="s">
        <v>799</v>
      </c>
      <c r="U277">
        <f>SEARCH(":",T277)</f>
        <v>6</v>
      </c>
      <c r="V277" t="str">
        <f>MID(T277,U277+1,LEN(T277)-(U277))</f>
        <v xml:space="preserve"> 26811 ** -320, -777, 4404, 329, 1314, 3175, 4742, 4495</v>
      </c>
      <c r="W277" t="str">
        <f>TRIM(V277)</f>
        <v>26811 ** -320, -777, 4404, 329, 1314, 3175, 4742, 4495</v>
      </c>
      <c r="X277">
        <f>SEARCH("~*",W277)</f>
        <v>7</v>
      </c>
      <c r="Y277" t="str">
        <f>LEFT(W277,X277-1)</f>
        <v xml:space="preserve">26811 </v>
      </c>
      <c r="AA277" t="str">
        <f>CONCATENATE(A277,",",D277,",",E277,",",F277,",",G277,",",H277,",",I277,",",J277,",",K277)</f>
        <v>26811,-320,-777,4404,329,1314,3175,4742,4495</v>
      </c>
    </row>
    <row r="278" spans="1:28">
      <c r="A278" s="1">
        <f>IF(ISBLANK(T278),"",VALUE(Y278))</f>
        <v>22211</v>
      </c>
      <c r="B278" s="1">
        <f>A278*4/10 -18</f>
        <v>8866.4</v>
      </c>
      <c r="C278" s="3">
        <f>B278/7000000</f>
        <v>1.2666285714285715E-3</v>
      </c>
      <c r="D278" s="6">
        <f>VALUE(MID(W278,$X278+2,L278-(X278+2)))</f>
        <v>-321</v>
      </c>
      <c r="E278" s="6">
        <f>VALUE(MID($W278,L278+1,M278-(L278+1)))</f>
        <v>-782</v>
      </c>
      <c r="F278" s="6">
        <f>VALUE(MID($W278,M278+1,N278-(M278+1)))</f>
        <v>4402</v>
      </c>
      <c r="G278" s="6">
        <f>VALUE(MID($W278,N278+1,O278-(N278+1)))</f>
        <v>325</v>
      </c>
      <c r="H278" s="6">
        <f>VALUE(MID($W278,O278+1,P278-(O278+1)))</f>
        <v>1318</v>
      </c>
      <c r="I278" s="6">
        <f>VALUE(MID($W278,P278+1,Q278-(P278+1)))</f>
        <v>3174</v>
      </c>
      <c r="J278" s="6">
        <f>VALUE(MID($W278,Q278+1,R278-(Q278+1)))</f>
        <v>4740</v>
      </c>
      <c r="K278" s="4">
        <f>VALUE(MID(W278,R278+1,LEN(W278)-(R278)))</f>
        <v>4495</v>
      </c>
      <c r="L278" s="4">
        <f>SEARCH(",",W278,X278)</f>
        <v>14</v>
      </c>
      <c r="M278" s="4">
        <f>SEARCH(",",$W278,L278+1)</f>
        <v>20</v>
      </c>
      <c r="N278" s="4">
        <f>SEARCH(",",$W278,M278+1)</f>
        <v>26</v>
      </c>
      <c r="O278" s="4">
        <f>SEARCH(",",$W278,N278+1)</f>
        <v>31</v>
      </c>
      <c r="P278" s="4">
        <f>SEARCH(",",$W278,O278+1)</f>
        <v>37</v>
      </c>
      <c r="Q278" s="4">
        <f>SEARCH(",",$W278,P278+1)</f>
        <v>43</v>
      </c>
      <c r="R278" s="4">
        <f>SEARCH(",",$W278,Q278+1)</f>
        <v>49</v>
      </c>
      <c r="T278" t="s">
        <v>743</v>
      </c>
      <c r="U278">
        <f>SEARCH(":",T278)</f>
        <v>6</v>
      </c>
      <c r="V278" t="str">
        <f>MID(T278,U278+1,LEN(T278)-(U278))</f>
        <v xml:space="preserve"> 22211 ** -321, -782, 4402, 325, 1318, 3174, 4740, 4495</v>
      </c>
      <c r="W278" t="str">
        <f>TRIM(V278)</f>
        <v>22211 ** -321, -782, 4402, 325, 1318, 3174, 4740, 4495</v>
      </c>
      <c r="X278">
        <f>SEARCH("~*",W278)</f>
        <v>7</v>
      </c>
      <c r="Y278" t="str">
        <f>LEFT(W278,X278-1)</f>
        <v xml:space="preserve">22211 </v>
      </c>
      <c r="AA278" t="str">
        <f>CONCATENATE(A278,",",D278,",",E278,",",F278,",",G278,",",H278,",",I278,",",J278,",",K278)</f>
        <v>22211,-321,-782,4402,325,1318,3174,4740,4495</v>
      </c>
    </row>
    <row r="279" spans="1:28">
      <c r="A279" s="1">
        <f>IF(ISBLANK(T279),"",VALUE(Y279))</f>
        <v>18437</v>
      </c>
      <c r="B279" s="1">
        <f>A279*4/10 -18</f>
        <v>7356.8</v>
      </c>
      <c r="C279" s="3">
        <f>B279/7000000</f>
        <v>1.0509714285714285E-3</v>
      </c>
      <c r="D279" s="6">
        <f>VALUE(MID(W279,$X279+2,L279-(X279+2)))</f>
        <v>-317</v>
      </c>
      <c r="E279" s="6">
        <f>VALUE(MID($W279,L279+1,M279-(L279+1)))</f>
        <v>-776</v>
      </c>
      <c r="F279" s="6">
        <f>VALUE(MID($W279,M279+1,N279-(M279+1)))</f>
        <v>4401</v>
      </c>
      <c r="G279" s="6">
        <f>VALUE(MID($W279,N279+1,O279-(N279+1)))</f>
        <v>325</v>
      </c>
      <c r="H279" s="6">
        <f>VALUE(MID($W279,O279+1,P279-(O279+1)))</f>
        <v>1313</v>
      </c>
      <c r="I279" s="6">
        <f>VALUE(MID($W279,P279+1,Q279-(P279+1)))</f>
        <v>3173</v>
      </c>
      <c r="J279" s="6">
        <f>VALUE(MID($W279,Q279+1,R279-(Q279+1)))</f>
        <v>4740</v>
      </c>
      <c r="K279" s="4">
        <f>VALUE(MID(W279,R279+1,LEN(W279)-(R279)))</f>
        <v>4498</v>
      </c>
      <c r="L279" s="4">
        <f>SEARCH(",",W279,X279)</f>
        <v>14</v>
      </c>
      <c r="M279" s="4">
        <f>SEARCH(",",$W279,L279+1)</f>
        <v>20</v>
      </c>
      <c r="N279" s="4">
        <f>SEARCH(",",$W279,M279+1)</f>
        <v>26</v>
      </c>
      <c r="O279" s="4">
        <f>SEARCH(",",$W279,N279+1)</f>
        <v>31</v>
      </c>
      <c r="P279" s="4">
        <f>SEARCH(",",$W279,O279+1)</f>
        <v>37</v>
      </c>
      <c r="Q279" s="4">
        <f>SEARCH(",",$W279,P279+1)</f>
        <v>43</v>
      </c>
      <c r="R279" s="4">
        <f>SEARCH(",",$W279,Q279+1)</f>
        <v>49</v>
      </c>
      <c r="T279" t="s">
        <v>807</v>
      </c>
      <c r="U279">
        <f>SEARCH(":",T279)</f>
        <v>6</v>
      </c>
      <c r="V279" t="str">
        <f>MID(T279,U279+1,LEN(T279)-(U279))</f>
        <v xml:space="preserve"> 18437 ** -317, -776, 4401, 325, 1313, 3173, 4740, 4498</v>
      </c>
      <c r="W279" t="str">
        <f>TRIM(V279)</f>
        <v>18437 ** -317, -776, 4401, 325, 1313, 3173, 4740, 4498</v>
      </c>
      <c r="X279">
        <f>SEARCH("~*",W279)</f>
        <v>7</v>
      </c>
      <c r="Y279" t="str">
        <f>LEFT(W279,X279-1)</f>
        <v xml:space="preserve">18437 </v>
      </c>
      <c r="AA279" t="str">
        <f>CONCATENATE(A279,",",D279,",",E279,",",F279,",",G279,",",H279,",",I279,",",J279,",",K279)</f>
        <v>18437,-317,-776,4401,325,1313,3173,4740,4498</v>
      </c>
    </row>
    <row r="280" spans="1:28">
      <c r="A280" s="1">
        <f>IF(ISBLANK(T280),"",VALUE(Y280))</f>
        <v>9895</v>
      </c>
      <c r="B280" s="1">
        <f>A280*4/10 -18</f>
        <v>3940</v>
      </c>
      <c r="C280" s="3">
        <f>B280/7000000</f>
        <v>5.6285714285714283E-4</v>
      </c>
      <c r="D280" s="6">
        <f>VALUE(MID(W280,$X280+2,L280-(X280+2)))</f>
        <v>-319</v>
      </c>
      <c r="E280" s="6">
        <f>VALUE(MID($W280,L280+1,M280-(L280+1)))</f>
        <v>-778</v>
      </c>
      <c r="F280" s="6">
        <f>VALUE(MID($W280,M280+1,N280-(M280+1)))</f>
        <v>4407</v>
      </c>
      <c r="G280" s="6">
        <f>VALUE(MID($W280,N280+1,O280-(N280+1)))</f>
        <v>321</v>
      </c>
      <c r="H280" s="6">
        <f>VALUE(MID($W280,O280+1,P280-(O280+1)))</f>
        <v>1312</v>
      </c>
      <c r="I280" s="6">
        <f>VALUE(MID($W280,P280+1,Q280-(P280+1)))</f>
        <v>3170</v>
      </c>
      <c r="J280" s="6">
        <f>VALUE(MID($W280,Q280+1,R280-(Q280+1)))</f>
        <v>4739</v>
      </c>
      <c r="K280" s="4">
        <f>VALUE(MID(W280,R280+1,LEN(W280)-(R280)))</f>
        <v>4500</v>
      </c>
      <c r="L280" s="4">
        <f>SEARCH(",",W280,X280)</f>
        <v>13</v>
      </c>
      <c r="M280" s="4">
        <f>SEARCH(",",$W280,L280+1)</f>
        <v>19</v>
      </c>
      <c r="N280" s="4">
        <f>SEARCH(",",$W280,M280+1)</f>
        <v>25</v>
      </c>
      <c r="O280" s="4">
        <f>SEARCH(",",$W280,N280+1)</f>
        <v>30</v>
      </c>
      <c r="P280" s="4">
        <f>SEARCH(",",$W280,O280+1)</f>
        <v>36</v>
      </c>
      <c r="Q280" s="4">
        <f>SEARCH(",",$W280,P280+1)</f>
        <v>42</v>
      </c>
      <c r="R280" s="4">
        <f>SEARCH(",",$W280,Q280+1)</f>
        <v>48</v>
      </c>
      <c r="T280" t="s">
        <v>675</v>
      </c>
      <c r="U280">
        <f>SEARCH(":",T280)</f>
        <v>6</v>
      </c>
      <c r="V280" t="str">
        <f>MID(T280,U280+1,LEN(T280)-(U280))</f>
        <v xml:space="preserve"> 9895 ** -319, -778, 4407, 321, 1312, 3170, 4739, 4500</v>
      </c>
      <c r="W280" t="str">
        <f>TRIM(V280)</f>
        <v>9895 ** -319, -778, 4407, 321, 1312, 3170, 4739, 4500</v>
      </c>
      <c r="X280">
        <f>SEARCH("~*",W280)</f>
        <v>6</v>
      </c>
      <c r="Y280" t="str">
        <f>LEFT(W280,X280-1)</f>
        <v xml:space="preserve">9895 </v>
      </c>
      <c r="AA280" t="str">
        <f>CONCATENATE(A280,",",D280,",",E280,",",F280,",",G280,",",H280,",",I280,",",J280,",",K280)</f>
        <v>9895,-319,-778,4407,321,1312,3170,4739,4500</v>
      </c>
    </row>
    <row r="281" spans="1:28">
      <c r="A281" s="1">
        <f>IF(ISBLANK(T281),"",VALUE(Y281))</f>
        <v>1164</v>
      </c>
      <c r="B281" s="1">
        <f>A281*4/10 -18</f>
        <v>447.6</v>
      </c>
      <c r="C281" s="3">
        <f>B281/7000000</f>
        <v>6.3942857142857144E-5</v>
      </c>
      <c r="D281" s="6">
        <f>VALUE(MID(W281,$X281+2,L281-(X281+2)))</f>
        <v>-320</v>
      </c>
      <c r="E281" s="6">
        <f>VALUE(MID($W281,L281+1,M281-(L281+1)))</f>
        <v>-775</v>
      </c>
      <c r="F281" s="6">
        <f>VALUE(MID($W281,M281+1,N281-(M281+1)))</f>
        <v>4404</v>
      </c>
      <c r="G281" s="6">
        <f>VALUE(MID($W281,N281+1,O281-(N281+1)))</f>
        <v>322</v>
      </c>
      <c r="H281" s="6">
        <f>VALUE(MID($W281,O281+1,P281-(O281+1)))</f>
        <v>1321</v>
      </c>
      <c r="I281" s="6">
        <f>VALUE(MID($W281,P281+1,Q281-(P281+1)))</f>
        <v>3175</v>
      </c>
      <c r="J281" s="6">
        <f>VALUE(MID($W281,Q281+1,R281-(Q281+1)))</f>
        <v>4743</v>
      </c>
      <c r="K281" s="4">
        <f>VALUE(MID(W281,R281+1,LEN(W281)-(R281)))</f>
        <v>4494</v>
      </c>
      <c r="L281" s="4">
        <f>SEARCH(",",W281,X281)</f>
        <v>13</v>
      </c>
      <c r="M281" s="4">
        <f>SEARCH(",",$W281,L281+1)</f>
        <v>19</v>
      </c>
      <c r="N281" s="4">
        <f>SEARCH(",",$W281,M281+1)</f>
        <v>25</v>
      </c>
      <c r="O281" s="4">
        <f>SEARCH(",",$W281,N281+1)</f>
        <v>30</v>
      </c>
      <c r="P281" s="4">
        <f>SEARCH(",",$W281,O281+1)</f>
        <v>36</v>
      </c>
      <c r="Q281" s="4">
        <f>SEARCH(",",$W281,P281+1)</f>
        <v>42</v>
      </c>
      <c r="R281" s="4">
        <f>SEARCH(",",$W281,Q281+1)</f>
        <v>48</v>
      </c>
      <c r="T281" t="s">
        <v>736</v>
      </c>
      <c r="U281">
        <f>SEARCH(":",T281)</f>
        <v>6</v>
      </c>
      <c r="V281" t="str">
        <f>MID(T281,U281+1,LEN(T281)-(U281))</f>
        <v xml:space="preserve"> 1164 ** -320, -775, 4404, 322, 1321, 3175, 4743, 4494</v>
      </c>
      <c r="W281" t="str">
        <f>TRIM(V281)</f>
        <v>1164 ** -320, -775, 4404, 322, 1321, 3175, 4743, 4494</v>
      </c>
      <c r="X281">
        <f>SEARCH("~*",W281)</f>
        <v>6</v>
      </c>
      <c r="Y281" t="str">
        <f>LEFT(W281,X281-1)</f>
        <v xml:space="preserve">1164 </v>
      </c>
      <c r="AA281" t="str">
        <f>CONCATENATE(A281,",",D281,",",E281,",",F281,",",G281,",",H281,",",I281,",",J281,",",K281)</f>
        <v>1164,-320,-775,4404,322,1321,3175,4743,4494</v>
      </c>
    </row>
    <row r="282" spans="1:28">
      <c r="T282" t="s">
        <v>868</v>
      </c>
    </row>
    <row r="283" spans="1:28">
      <c r="T283" t="s">
        <v>869</v>
      </c>
      <c r="AA283" t="e">
        <f>SUM(#REF!)</f>
        <v>#REF!</v>
      </c>
      <c r="AB283" s="12" t="e">
        <f>AA283/SUM(B2:B281)</f>
        <v>#REF!</v>
      </c>
    </row>
    <row r="284" spans="1:28">
      <c r="T284" t="s">
        <v>870</v>
      </c>
    </row>
    <row r="285" spans="1:28">
      <c r="T285" t="s">
        <v>871</v>
      </c>
    </row>
    <row r="286" spans="1:28">
      <c r="T286" t="s">
        <v>872</v>
      </c>
    </row>
    <row r="287" spans="1:28">
      <c r="T287" t="s">
        <v>873</v>
      </c>
    </row>
    <row r="288" spans="1:28">
      <c r="T288" t="s">
        <v>874</v>
      </c>
    </row>
    <row r="289" spans="20:20">
      <c r="T289" t="s">
        <v>875</v>
      </c>
    </row>
    <row r="290" spans="20:20">
      <c r="T290" t="s">
        <v>876</v>
      </c>
    </row>
    <row r="291" spans="20:20">
      <c r="T291" t="s">
        <v>877</v>
      </c>
    </row>
    <row r="292" spans="20:20">
      <c r="T292" t="s">
        <v>878</v>
      </c>
    </row>
    <row r="293" spans="20:20">
      <c r="T293" t="s">
        <v>879</v>
      </c>
    </row>
    <row r="294" spans="20:20">
      <c r="T294" t="s">
        <v>880</v>
      </c>
    </row>
    <row r="295" spans="20:20">
      <c r="T295" t="s">
        <v>881</v>
      </c>
    </row>
    <row r="296" spans="20:20">
      <c r="T296" t="s">
        <v>882</v>
      </c>
    </row>
    <row r="297" spans="20:20">
      <c r="T297" t="s">
        <v>883</v>
      </c>
    </row>
    <row r="298" spans="20:20">
      <c r="T298" t="s">
        <v>884</v>
      </c>
    </row>
    <row r="299" spans="20:20">
      <c r="T299" t="s">
        <v>885</v>
      </c>
    </row>
    <row r="300" spans="20:20">
      <c r="T300" t="s">
        <v>886</v>
      </c>
    </row>
    <row r="301" spans="20:20">
      <c r="T301" t="s">
        <v>887</v>
      </c>
    </row>
  </sheetData>
  <sortState ref="A2:AB301">
    <sortCondition descending="1" ref="A2:A301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81"/>
  <sheetViews>
    <sheetView tabSelected="1" workbookViewId="0">
      <selection activeCell="K4" sqref="K4:R4"/>
    </sheetView>
  </sheetViews>
  <sheetFormatPr defaultRowHeight="15"/>
  <cols>
    <col min="1" max="1" width="14" style="5" bestFit="1" customWidth="1"/>
    <col min="2" max="2" width="12.28515625" style="5" bestFit="1" customWidth="1"/>
    <col min="3" max="3" width="12.5703125" style="5" bestFit="1" customWidth="1"/>
    <col min="4" max="4" width="10.5703125" style="5" bestFit="1" customWidth="1"/>
    <col min="5" max="5" width="11.5703125" style="5" bestFit="1" customWidth="1"/>
    <col min="6" max="8" width="12.5703125" style="5" bestFit="1" customWidth="1"/>
    <col min="9" max="10" width="9.140625" style="5"/>
    <col min="11" max="11" width="28.85546875" style="5" bestFit="1" customWidth="1"/>
    <col min="12" max="12" width="13.42578125" style="5" bestFit="1" customWidth="1"/>
    <col min="13" max="13" width="13.7109375" style="5" bestFit="1" customWidth="1"/>
    <col min="14" max="15" width="12.5703125" style="5" bestFit="1" customWidth="1"/>
    <col min="16" max="18" width="13.7109375" style="5" bestFit="1" customWidth="1"/>
    <col min="19" max="16384" width="9.140625" style="5"/>
  </cols>
  <sheetData>
    <row r="1" spans="1:18">
      <c r="A1" s="5" t="s">
        <v>265</v>
      </c>
      <c r="B1" s="5" t="s">
        <v>266</v>
      </c>
      <c r="C1" s="5" t="s">
        <v>267</v>
      </c>
      <c r="D1" s="5" t="s">
        <v>268</v>
      </c>
      <c r="E1" s="5" t="s">
        <v>269</v>
      </c>
      <c r="F1" s="5" t="s">
        <v>270</v>
      </c>
      <c r="G1" s="5" t="s">
        <v>271</v>
      </c>
      <c r="H1" s="5" t="s">
        <v>272</v>
      </c>
      <c r="K1" s="5" t="s">
        <v>286</v>
      </c>
      <c r="L1" s="5">
        <f>SUM(clones!B2:B281)</f>
        <v>83928667.199999988</v>
      </c>
    </row>
    <row r="2" spans="1:18">
      <c r="A2" s="5">
        <f>clones!D2*clones!$B2</f>
        <v>-576653952</v>
      </c>
      <c r="B2" s="5">
        <f>clones!E2*clones!$B2</f>
        <v>-1401989920.8000002</v>
      </c>
      <c r="C2" s="5">
        <f>clones!F2*clones!$B2</f>
        <v>7934397970.8000002</v>
      </c>
      <c r="D2" s="5">
        <f>clones!G2*clones!$B2</f>
        <v>583862126.39999998</v>
      </c>
      <c r="E2" s="5">
        <f>clones!H2*clones!$B2</f>
        <v>2371489377.5999999</v>
      </c>
      <c r="F2" s="5">
        <f>clones!I2*clones!$B2</f>
        <v>5712478212</v>
      </c>
      <c r="G2" s="5">
        <f>clones!J2*clones!$B2</f>
        <v>8547092794.8000002</v>
      </c>
      <c r="H2" s="5">
        <f>clones!K2*clones!$B2</f>
        <v>8100185982</v>
      </c>
      <c r="K2" s="5" t="s">
        <v>265</v>
      </c>
      <c r="L2" s="5" t="s">
        <v>266</v>
      </c>
      <c r="M2" s="5" t="s">
        <v>267</v>
      </c>
      <c r="N2" s="5" t="s">
        <v>268</v>
      </c>
      <c r="O2" s="5" t="s">
        <v>269</v>
      </c>
      <c r="P2" s="5" t="s">
        <v>270</v>
      </c>
      <c r="Q2" s="5" t="s">
        <v>271</v>
      </c>
      <c r="R2" s="5" t="s">
        <v>272</v>
      </c>
    </row>
    <row r="3" spans="1:18">
      <c r="A3" s="5">
        <f>clones!D3*clones!$B3</f>
        <v>-529273600</v>
      </c>
      <c r="B3" s="5">
        <f>clones!E3*clones!$B3</f>
        <v>-1286796440</v>
      </c>
      <c r="C3" s="5">
        <f>clones!F3*clones!$B3</f>
        <v>7282473940</v>
      </c>
      <c r="D3" s="5">
        <f>clones!G3*clones!$B3</f>
        <v>535889520</v>
      </c>
      <c r="E3" s="5">
        <f>clones!H3*clones!$B3</f>
        <v>2176637680</v>
      </c>
      <c r="F3" s="5">
        <f>clones!I3*clones!$B3</f>
        <v>5243116600</v>
      </c>
      <c r="G3" s="5">
        <f>clones!J3*clones!$B3</f>
        <v>7844827140</v>
      </c>
      <c r="H3" s="5">
        <f>clones!K3*clones!$B3</f>
        <v>7434640100</v>
      </c>
      <c r="K3" s="5">
        <f>SUM(A:A)</f>
        <v>-26857173504</v>
      </c>
      <c r="L3" s="5">
        <f t="shared" ref="L3:R3" si="0">SUM(B:B)</f>
        <v>-65296503081.599991</v>
      </c>
      <c r="M3" s="5">
        <f t="shared" si="0"/>
        <v>369537921681.60016</v>
      </c>
      <c r="N3" s="5">
        <f t="shared" si="0"/>
        <v>27192888172.799999</v>
      </c>
      <c r="O3" s="5">
        <f t="shared" si="0"/>
        <v>110450126035.2</v>
      </c>
      <c r="P3" s="5">
        <f t="shared" si="0"/>
        <v>266053875024</v>
      </c>
      <c r="Q3" s="5">
        <f t="shared" si="0"/>
        <v>398073668529.60004</v>
      </c>
      <c r="R3" s="5">
        <f t="shared" si="0"/>
        <v>377259359064</v>
      </c>
    </row>
    <row r="4" spans="1:18">
      <c r="A4" s="5">
        <f>clones!D4*clones!$B4</f>
        <v>-528900608</v>
      </c>
      <c r="B4" s="5">
        <f>clones!E4*clones!$B4</f>
        <v>-1285889603.1999998</v>
      </c>
      <c r="C4" s="5">
        <f>clones!F4*clones!$B4</f>
        <v>7277341803.1999998</v>
      </c>
      <c r="D4" s="5">
        <f>clones!G4*clones!$B4</f>
        <v>535511865.59999996</v>
      </c>
      <c r="E4" s="5">
        <f>clones!H4*clones!$B4</f>
        <v>2175103750.4000001</v>
      </c>
      <c r="F4" s="5">
        <f>clones!I4*clones!$B4</f>
        <v>5239421648</v>
      </c>
      <c r="G4" s="5">
        <f>clones!J4*clones!$B4</f>
        <v>7839298699.1999998</v>
      </c>
      <c r="H4" s="5">
        <f>clones!K4*clones!$B4</f>
        <v>7429400728</v>
      </c>
      <c r="J4" s="5" t="s">
        <v>287</v>
      </c>
      <c r="K4" s="13">
        <f>K3/$L$1</f>
        <v>-320.00000000000006</v>
      </c>
      <c r="L4" s="13">
        <f t="shared" ref="L4:R4" si="1">L3/$L$1</f>
        <v>-778</v>
      </c>
      <c r="M4" s="13">
        <f t="shared" si="1"/>
        <v>4403.0000000000027</v>
      </c>
      <c r="N4" s="13">
        <f t="shared" si="1"/>
        <v>324.00000000000006</v>
      </c>
      <c r="O4" s="13">
        <f t="shared" si="1"/>
        <v>1316.0000000000002</v>
      </c>
      <c r="P4" s="13">
        <f t="shared" si="1"/>
        <v>3170.0000000000005</v>
      </c>
      <c r="Q4" s="13">
        <f t="shared" si="1"/>
        <v>4743.0000000000009</v>
      </c>
      <c r="R4" s="13">
        <f t="shared" si="1"/>
        <v>4495.0000000000009</v>
      </c>
    </row>
    <row r="5" spans="1:18">
      <c r="A5" s="5">
        <f>clones!D5*clones!$B5</f>
        <v>-509118976</v>
      </c>
      <c r="B5" s="5">
        <f>clones!E5*clones!$B5</f>
        <v>-1237795510.4000001</v>
      </c>
      <c r="C5" s="5">
        <f>clones!F5*clones!$B5</f>
        <v>7005158910.4000006</v>
      </c>
      <c r="D5" s="5">
        <f>clones!G5*clones!$B5</f>
        <v>515482963.19999999</v>
      </c>
      <c r="E5" s="5">
        <f>clones!H5*clones!$B5</f>
        <v>2093751788.8</v>
      </c>
      <c r="F5" s="5">
        <f>clones!I5*clones!$B5</f>
        <v>5043459856</v>
      </c>
      <c r="G5" s="5">
        <f>clones!J5*clones!$B5</f>
        <v>7546097822.4000006</v>
      </c>
      <c r="H5" s="5">
        <f>clones!K5*clones!$B5</f>
        <v>7151530616</v>
      </c>
    </row>
    <row r="6" spans="1:18">
      <c r="A6" s="5">
        <f>clones!D6*clones!$B6</f>
        <v>-408070528</v>
      </c>
      <c r="B6" s="5">
        <f>clones!E6*clones!$B6</f>
        <v>-992121471.19999993</v>
      </c>
      <c r="C6" s="5">
        <f>clones!F6*clones!$B6</f>
        <v>5614795421.1999998</v>
      </c>
      <c r="D6" s="5">
        <f>clones!G6*clones!$B6</f>
        <v>413171409.59999996</v>
      </c>
      <c r="E6" s="5">
        <f>clones!H6*clones!$B6</f>
        <v>1678190046.3999999</v>
      </c>
      <c r="F6" s="5">
        <f>clones!I6*clones!$B6</f>
        <v>4042448667.9999995</v>
      </c>
      <c r="G6" s="5">
        <f>clones!J6*clones!$B6</f>
        <v>6048370357.1999998</v>
      </c>
      <c r="H6" s="5">
        <f>clones!K6*clones!$B6</f>
        <v>5732115698</v>
      </c>
    </row>
    <row r="7" spans="1:18">
      <c r="A7" s="5">
        <f>clones!D7*clones!$B7</f>
        <v>-400342400</v>
      </c>
      <c r="B7" s="5">
        <f>clones!E7*clones!$B7</f>
        <v>-973332460</v>
      </c>
      <c r="C7" s="5">
        <f>clones!F7*clones!$B7</f>
        <v>5508461210</v>
      </c>
      <c r="D7" s="5">
        <f>clones!G7*clones!$B7</f>
        <v>405346680</v>
      </c>
      <c r="E7" s="5">
        <f>clones!H7*clones!$B7</f>
        <v>1646408120</v>
      </c>
      <c r="F7" s="5">
        <f>clones!I7*clones!$B7</f>
        <v>3965891900</v>
      </c>
      <c r="G7" s="5">
        <f>clones!J7*clones!$B7</f>
        <v>5933825010</v>
      </c>
      <c r="H7" s="5">
        <f>clones!K7*clones!$B7</f>
        <v>5623559650</v>
      </c>
    </row>
    <row r="8" spans="1:18">
      <c r="A8" s="5">
        <f>clones!D8*clones!$B8</f>
        <v>-371677696</v>
      </c>
      <c r="B8" s="5">
        <f>clones!E8*clones!$B8</f>
        <v>-903641398.4000001</v>
      </c>
      <c r="C8" s="5">
        <f>clones!F8*clones!$B8</f>
        <v>5114052798.4000006</v>
      </c>
      <c r="D8" s="5">
        <f>clones!G8*clones!$B8</f>
        <v>376323667.19999999</v>
      </c>
      <c r="E8" s="5">
        <f>clones!H8*clones!$B8</f>
        <v>1528524524.8</v>
      </c>
      <c r="F8" s="5">
        <f>clones!I8*clones!$B8</f>
        <v>3681932176</v>
      </c>
      <c r="G8" s="5">
        <f>clones!J8*clones!$B8</f>
        <v>5508960350.4000006</v>
      </c>
      <c r="H8" s="5">
        <f>clones!K8*clones!$B8</f>
        <v>5220910136</v>
      </c>
    </row>
    <row r="9" spans="1:18">
      <c r="A9" s="5">
        <f>clones!D9*clones!$B9</f>
        <v>-332368000</v>
      </c>
      <c r="B9" s="5">
        <f>clones!E9*clones!$B9</f>
        <v>-808069700</v>
      </c>
      <c r="C9" s="5">
        <f>clones!F9*clones!$B9</f>
        <v>4573175950</v>
      </c>
      <c r="D9" s="5">
        <f>clones!G9*clones!$B9</f>
        <v>336522600</v>
      </c>
      <c r="E9" s="5">
        <f>clones!H9*clones!$B9</f>
        <v>1366863400</v>
      </c>
      <c r="F9" s="5">
        <f>clones!I9*clones!$B9</f>
        <v>3292520500</v>
      </c>
      <c r="G9" s="5">
        <f>clones!J9*clones!$B9</f>
        <v>4926316950</v>
      </c>
      <c r="H9" s="5">
        <f>clones!K9*clones!$B9</f>
        <v>4668731750</v>
      </c>
    </row>
    <row r="10" spans="1:18">
      <c r="A10" s="5">
        <f>clones!D10*clones!$B10</f>
        <v>-328801792</v>
      </c>
      <c r="B10" s="5">
        <f>clones!E10*clones!$B10</f>
        <v>-799399356.79999995</v>
      </c>
      <c r="C10" s="5">
        <f>clones!F10*clones!$B10</f>
        <v>4524107156.8000002</v>
      </c>
      <c r="D10" s="5">
        <f>clones!G10*clones!$B10</f>
        <v>332911814.39999998</v>
      </c>
      <c r="E10" s="5">
        <f>clones!H10*clones!$B10</f>
        <v>1352197369.5999999</v>
      </c>
      <c r="F10" s="5">
        <f>clones!I10*clones!$B10</f>
        <v>3257192752</v>
      </c>
      <c r="G10" s="5">
        <f>clones!J10*clones!$B10</f>
        <v>4873459060.8000002</v>
      </c>
      <c r="H10" s="5">
        <f>clones!K10*clones!$B10</f>
        <v>4618637672</v>
      </c>
    </row>
    <row r="11" spans="1:18">
      <c r="A11" s="5">
        <f>clones!D11*clones!$B11</f>
        <v>-317858176</v>
      </c>
      <c r="B11" s="5">
        <f>clones!E11*clones!$B11</f>
        <v>-772792690.4000001</v>
      </c>
      <c r="C11" s="5">
        <f>clones!F11*clones!$B11</f>
        <v>4373529840.4000006</v>
      </c>
      <c r="D11" s="5">
        <f>clones!G11*clones!$B11</f>
        <v>321831403.19999999</v>
      </c>
      <c r="E11" s="5">
        <f>clones!H11*clones!$B11</f>
        <v>1307191748.8</v>
      </c>
      <c r="F11" s="5">
        <f>clones!I11*clones!$B11</f>
        <v>3148782556</v>
      </c>
      <c r="G11" s="5">
        <f>clones!J11*clones!$B11</f>
        <v>4711254152.4000006</v>
      </c>
      <c r="H11" s="5">
        <f>clones!K11*clones!$B11</f>
        <v>4464914066</v>
      </c>
    </row>
    <row r="12" spans="1:18">
      <c r="A12" s="5">
        <f>clones!D12*clones!$B12</f>
        <v>-316892544</v>
      </c>
      <c r="B12" s="5">
        <f>clones!E12*clones!$B12</f>
        <v>-770444997.5999999</v>
      </c>
      <c r="C12" s="5">
        <f>clones!F12*clones!$B12</f>
        <v>4360243347.5999994</v>
      </c>
      <c r="D12" s="5">
        <f>clones!G12*clones!$B12</f>
        <v>320853700.80000001</v>
      </c>
      <c r="E12" s="5">
        <f>clones!H12*clones!$B12</f>
        <v>1303220587.2</v>
      </c>
      <c r="F12" s="5">
        <f>clones!I12*clones!$B12</f>
        <v>3139216764</v>
      </c>
      <c r="G12" s="5">
        <f>clones!J12*clones!$B12</f>
        <v>4696941675.5999994</v>
      </c>
      <c r="H12" s="5">
        <f>clones!K12*clones!$B12</f>
        <v>4451349954</v>
      </c>
    </row>
    <row r="13" spans="1:18">
      <c r="A13" s="5">
        <f>clones!D13*clones!$B13</f>
        <v>-310639232</v>
      </c>
      <c r="B13" s="5">
        <f>clones!E13*clones!$B13</f>
        <v>-755241632.79999995</v>
      </c>
      <c r="C13" s="5">
        <f>clones!F13*clones!$B13</f>
        <v>4274201682.7999997</v>
      </c>
      <c r="D13" s="5">
        <f>clones!G13*clones!$B13</f>
        <v>314522222.39999998</v>
      </c>
      <c r="E13" s="5">
        <f>clones!H13*clones!$B13</f>
        <v>1277503841.5999999</v>
      </c>
      <c r="F13" s="5">
        <f>clones!I13*clones!$B13</f>
        <v>3077269892</v>
      </c>
      <c r="G13" s="5">
        <f>clones!J13*clones!$B13</f>
        <v>4604255866.8000002</v>
      </c>
      <c r="H13" s="5">
        <f>clones!K13*clones!$B13</f>
        <v>4363510462</v>
      </c>
    </row>
    <row r="14" spans="1:18">
      <c r="A14" s="5">
        <f>clones!D14*clones!$B14</f>
        <v>-298752768</v>
      </c>
      <c r="B14" s="5">
        <f>clones!E14*clones!$B14</f>
        <v>-726342667.20000005</v>
      </c>
      <c r="C14" s="5">
        <f>clones!F14*clones!$B14</f>
        <v>4110651367.2000003</v>
      </c>
      <c r="D14" s="5">
        <f>clones!G14*clones!$B14</f>
        <v>302487177.60000002</v>
      </c>
      <c r="E14" s="5">
        <f>clones!H14*clones!$B14</f>
        <v>1228620758.4000001</v>
      </c>
      <c r="F14" s="5">
        <f>clones!I14*clones!$B14</f>
        <v>2959519608</v>
      </c>
      <c r="G14" s="5">
        <f>clones!J14*clones!$B14</f>
        <v>4428076183.1999998</v>
      </c>
      <c r="H14" s="5">
        <f>clones!K14*clones!$B14</f>
        <v>4196542788</v>
      </c>
    </row>
    <row r="15" spans="1:18">
      <c r="A15" s="5">
        <f>clones!D15*clones!$B15</f>
        <v>-280833920</v>
      </c>
      <c r="B15" s="5">
        <f>clones!E15*clones!$B15</f>
        <v>-682777468</v>
      </c>
      <c r="C15" s="5">
        <f>clones!F15*clones!$B15</f>
        <v>3864099218</v>
      </c>
      <c r="D15" s="5">
        <f>clones!G15*clones!$B15</f>
        <v>284344344</v>
      </c>
      <c r="E15" s="5">
        <f>clones!H15*clones!$B15</f>
        <v>1154929496</v>
      </c>
      <c r="F15" s="5">
        <f>clones!I15*clones!$B15</f>
        <v>2782011020</v>
      </c>
      <c r="G15" s="5">
        <f>clones!J15*clones!$B15</f>
        <v>4162485258</v>
      </c>
      <c r="H15" s="5">
        <f>clones!K15*clones!$B15</f>
        <v>3944838970</v>
      </c>
    </row>
    <row r="16" spans="1:18">
      <c r="A16" s="5">
        <f>clones!D16*clones!$B16</f>
        <v>-265529088</v>
      </c>
      <c r="B16" s="5">
        <f>clones!E16*clones!$B16</f>
        <v>-645567595.20000005</v>
      </c>
      <c r="C16" s="5">
        <f>clones!F16*clones!$B16</f>
        <v>3653514295.2000003</v>
      </c>
      <c r="D16" s="5">
        <f>clones!G16*clones!$B16</f>
        <v>268848201.60000002</v>
      </c>
      <c r="E16" s="5">
        <f>clones!H16*clones!$B16</f>
        <v>1091988374.4000001</v>
      </c>
      <c r="F16" s="5">
        <f>clones!I16*clones!$B16</f>
        <v>2630397528</v>
      </c>
      <c r="G16" s="5">
        <f>clones!J16*clones!$B16</f>
        <v>3935638951.2000003</v>
      </c>
      <c r="H16" s="5">
        <f>clones!K16*clones!$B16</f>
        <v>3729853908</v>
      </c>
    </row>
    <row r="17" spans="1:8">
      <c r="A17" s="5">
        <f>clones!D17*clones!$B17</f>
        <v>-259100928</v>
      </c>
      <c r="B17" s="5">
        <f>clones!E17*clones!$B17</f>
        <v>-629939131.20000005</v>
      </c>
      <c r="C17" s="5">
        <f>clones!F17*clones!$B17</f>
        <v>3565066831.2000003</v>
      </c>
      <c r="D17" s="5">
        <f>clones!G17*clones!$B17</f>
        <v>262339689.59999999</v>
      </c>
      <c r="E17" s="5">
        <f>clones!H17*clones!$B17</f>
        <v>1065552566.4</v>
      </c>
      <c r="F17" s="5">
        <f>clones!I17*clones!$B17</f>
        <v>2566718568</v>
      </c>
      <c r="G17" s="5">
        <f>clones!J17*clones!$B17</f>
        <v>3840361567.2000003</v>
      </c>
      <c r="H17" s="5">
        <f>clones!K17*clones!$B17</f>
        <v>3639558348</v>
      </c>
    </row>
    <row r="18" spans="1:8">
      <c r="A18" s="5">
        <f>clones!D18*clones!$B18</f>
        <v>-249665024</v>
      </c>
      <c r="B18" s="5">
        <f>clones!E18*clones!$B18</f>
        <v>-606998089.5999999</v>
      </c>
      <c r="C18" s="5">
        <f>clones!F18*clones!$B18</f>
        <v>3435234689.5999999</v>
      </c>
      <c r="D18" s="5">
        <f>clones!G18*clones!$B18</f>
        <v>252785836.79999998</v>
      </c>
      <c r="E18" s="5">
        <f>clones!H18*clones!$B18</f>
        <v>1026747411.1999999</v>
      </c>
      <c r="F18" s="5">
        <f>clones!I18*clones!$B18</f>
        <v>2473244144</v>
      </c>
      <c r="G18" s="5">
        <f>clones!J18*clones!$B18</f>
        <v>3700503777.5999999</v>
      </c>
      <c r="H18" s="5">
        <f>clones!K18*clones!$B18</f>
        <v>3507013384</v>
      </c>
    </row>
    <row r="19" spans="1:8">
      <c r="A19" s="5">
        <f>clones!D19*clones!$B19</f>
        <v>-247267712</v>
      </c>
      <c r="B19" s="5">
        <f>clones!E19*clones!$B19</f>
        <v>-601169624.79999995</v>
      </c>
      <c r="C19" s="5">
        <f>clones!F19*clones!$B19</f>
        <v>3402249174.7999997</v>
      </c>
      <c r="D19" s="5">
        <f>clones!G19*clones!$B19</f>
        <v>250358558.40000001</v>
      </c>
      <c r="E19" s="5">
        <f>clones!H19*clones!$B19</f>
        <v>1016888465.6</v>
      </c>
      <c r="F19" s="5">
        <f>clones!I19*clones!$B19</f>
        <v>2449495772</v>
      </c>
      <c r="G19" s="5">
        <f>clones!J19*clones!$B19</f>
        <v>3664971118.7999997</v>
      </c>
      <c r="H19" s="5">
        <f>clones!K19*clones!$B19</f>
        <v>3473338642</v>
      </c>
    </row>
    <row r="20" spans="1:8">
      <c r="A20" s="5">
        <f>clones!D20*clones!$B20</f>
        <v>-244429312</v>
      </c>
      <c r="B20" s="5">
        <f>clones!E20*clones!$B20</f>
        <v>-594268764.79999995</v>
      </c>
      <c r="C20" s="5">
        <f>clones!F20*clones!$B20</f>
        <v>3363194564.7999997</v>
      </c>
      <c r="D20" s="5">
        <f>clones!G20*clones!$B20</f>
        <v>247484678.40000001</v>
      </c>
      <c r="E20" s="5">
        <f>clones!H20*clones!$B20</f>
        <v>1005215545.6</v>
      </c>
      <c r="F20" s="5">
        <f>clones!I20*clones!$B20</f>
        <v>2421377872</v>
      </c>
      <c r="G20" s="5">
        <f>clones!J20*clones!$B20</f>
        <v>3622900708.7999997</v>
      </c>
      <c r="H20" s="5">
        <f>clones!K20*clones!$B20</f>
        <v>3433467992</v>
      </c>
    </row>
    <row r="21" spans="1:8">
      <c r="A21" s="5">
        <f>clones!D21*clones!$B21</f>
        <v>-229723136</v>
      </c>
      <c r="B21" s="5">
        <f>clones!E21*clones!$B21</f>
        <v>-558514374.4000001</v>
      </c>
      <c r="C21" s="5">
        <f>clones!F21*clones!$B21</f>
        <v>3160846774.4000001</v>
      </c>
      <c r="D21" s="5">
        <f>clones!G21*clones!$B21</f>
        <v>232594675.20000002</v>
      </c>
      <c r="E21" s="5">
        <f>clones!H21*clones!$B21</f>
        <v>944736396.80000007</v>
      </c>
      <c r="F21" s="5">
        <f>clones!I21*clones!$B21</f>
        <v>2275694816</v>
      </c>
      <c r="G21" s="5">
        <f>clones!J21*clones!$B21</f>
        <v>3404927606.4000001</v>
      </c>
      <c r="H21" s="5">
        <f>clones!K21*clones!$B21</f>
        <v>3226892176</v>
      </c>
    </row>
    <row r="22" spans="1:8">
      <c r="A22" s="5">
        <f>clones!D22*clones!$B22</f>
        <v>-226276096</v>
      </c>
      <c r="B22" s="5">
        <f>clones!E22*clones!$B22</f>
        <v>-550133758.4000001</v>
      </c>
      <c r="C22" s="5">
        <f>clones!F22*clones!$B22</f>
        <v>3113417658.4000001</v>
      </c>
      <c r="D22" s="5">
        <f>clones!G22*clones!$B22</f>
        <v>229104547.20000002</v>
      </c>
      <c r="E22" s="5">
        <f>clones!H22*clones!$B22</f>
        <v>930560444.80000007</v>
      </c>
      <c r="F22" s="5">
        <f>clones!I22*clones!$B22</f>
        <v>2241547576</v>
      </c>
      <c r="G22" s="5">
        <f>clones!J22*clones!$B22</f>
        <v>3353836010.4000001</v>
      </c>
      <c r="H22" s="5">
        <f>clones!K22*clones!$B22</f>
        <v>3178472036</v>
      </c>
    </row>
    <row r="23" spans="1:8">
      <c r="A23" s="5">
        <f>clones!D23*clones!$B23</f>
        <v>-220756224</v>
      </c>
      <c r="B23" s="5">
        <f>clones!E23*clones!$B23</f>
        <v>-536713569.59999996</v>
      </c>
      <c r="C23" s="5">
        <f>clones!F23*clones!$B23</f>
        <v>3037467669.5999999</v>
      </c>
      <c r="D23" s="5">
        <f>clones!G23*clones!$B23</f>
        <v>223515676.79999998</v>
      </c>
      <c r="E23" s="5">
        <f>clones!H23*clones!$B23</f>
        <v>907859971.19999993</v>
      </c>
      <c r="F23" s="5">
        <f>clones!I23*clones!$B23</f>
        <v>2186866344</v>
      </c>
      <c r="G23" s="5">
        <f>clones!J23*clones!$B23</f>
        <v>3272021157.5999999</v>
      </c>
      <c r="H23" s="5">
        <f>clones!K23*clones!$B23</f>
        <v>3100935084</v>
      </c>
    </row>
    <row r="24" spans="1:8">
      <c r="A24" s="5">
        <f>clones!D24*clones!$B24</f>
        <v>-219144704</v>
      </c>
      <c r="B24" s="5">
        <f>clones!E24*clones!$B24</f>
        <v>-532795561.59999996</v>
      </c>
      <c r="C24" s="5">
        <f>clones!F24*clones!$B24</f>
        <v>3015294161.5999999</v>
      </c>
      <c r="D24" s="5">
        <f>clones!G24*clones!$B24</f>
        <v>221884012.79999998</v>
      </c>
      <c r="E24" s="5">
        <f>clones!H24*clones!$B24</f>
        <v>901232595.19999993</v>
      </c>
      <c r="F24" s="5">
        <f>clones!I24*clones!$B24</f>
        <v>2170902224</v>
      </c>
      <c r="G24" s="5">
        <f>clones!J24*clones!$B24</f>
        <v>3248135409.5999999</v>
      </c>
      <c r="H24" s="5">
        <f>clones!K24*clones!$B24</f>
        <v>3078298264</v>
      </c>
    </row>
    <row r="25" spans="1:8">
      <c r="A25" s="5">
        <f>clones!D25*clones!$B25</f>
        <v>-214043776</v>
      </c>
      <c r="B25" s="5">
        <f>clones!E25*clones!$B25</f>
        <v>-520393930.40000004</v>
      </c>
      <c r="C25" s="5">
        <f>clones!F25*clones!$B25</f>
        <v>2945108580.4000001</v>
      </c>
      <c r="D25" s="5">
        <f>clones!G25*clones!$B25</f>
        <v>216719323.20000002</v>
      </c>
      <c r="E25" s="5">
        <f>clones!H25*clones!$B25</f>
        <v>880255028.80000007</v>
      </c>
      <c r="F25" s="5">
        <f>clones!I25*clones!$B25</f>
        <v>2120371156.0000002</v>
      </c>
      <c r="G25" s="5">
        <f>clones!J25*clones!$B25</f>
        <v>3172530092.4000001</v>
      </c>
      <c r="H25" s="5">
        <f>clones!K25*clones!$B25</f>
        <v>3006646166</v>
      </c>
    </row>
    <row r="26" spans="1:8">
      <c r="A26" s="5">
        <f>clones!D26*clones!$B26</f>
        <v>-213038464</v>
      </c>
      <c r="B26" s="5">
        <f>clones!E26*clones!$B26</f>
        <v>-517949765.59999996</v>
      </c>
      <c r="C26" s="5">
        <f>clones!F26*clones!$B26</f>
        <v>2931276115.5999999</v>
      </c>
      <c r="D26" s="5">
        <f>clones!G26*clones!$B26</f>
        <v>215701444.79999998</v>
      </c>
      <c r="E26" s="5">
        <f>clones!H26*clones!$B26</f>
        <v>876120683.19999993</v>
      </c>
      <c r="F26" s="5">
        <f>clones!I26*clones!$B26</f>
        <v>2110412283.9999998</v>
      </c>
      <c r="G26" s="5">
        <f>clones!J26*clones!$B26</f>
        <v>3157629483.5999999</v>
      </c>
      <c r="H26" s="5">
        <f>clones!K26*clones!$B26</f>
        <v>2992524674</v>
      </c>
    </row>
    <row r="27" spans="1:8">
      <c r="A27" s="5">
        <f>clones!D27*clones!$B27</f>
        <v>-212029056</v>
      </c>
      <c r="B27" s="5">
        <f>clones!E27*clones!$B27</f>
        <v>-515495642.40000004</v>
      </c>
      <c r="C27" s="5">
        <f>clones!F27*clones!$B27</f>
        <v>2917387292.4000001</v>
      </c>
      <c r="D27" s="5">
        <f>clones!G27*clones!$B27</f>
        <v>214679419.20000002</v>
      </c>
      <c r="E27" s="5">
        <f>clones!H27*clones!$B27</f>
        <v>871969492.80000007</v>
      </c>
      <c r="F27" s="5">
        <f>clones!I27*clones!$B27</f>
        <v>2100412836.0000002</v>
      </c>
      <c r="G27" s="5">
        <f>clones!J27*clones!$B27</f>
        <v>3142668164.4000001</v>
      </c>
      <c r="H27" s="5">
        <f>clones!K27*clones!$B27</f>
        <v>2978345646</v>
      </c>
    </row>
    <row r="28" spans="1:8">
      <c r="A28" s="5">
        <f>clones!D28*clones!$B28</f>
        <v>-206436480</v>
      </c>
      <c r="B28" s="5">
        <f>clones!E28*clones!$B28</f>
        <v>-501898692</v>
      </c>
      <c r="C28" s="5">
        <f>clones!F28*clones!$B28</f>
        <v>2840436942</v>
      </c>
      <c r="D28" s="5">
        <f>clones!G28*clones!$B28</f>
        <v>209016936</v>
      </c>
      <c r="E28" s="5">
        <f>clones!H28*clones!$B28</f>
        <v>848970024</v>
      </c>
      <c r="F28" s="5">
        <f>clones!I28*clones!$B28</f>
        <v>2045011380</v>
      </c>
      <c r="G28" s="5">
        <f>clones!J28*clones!$B28</f>
        <v>3059775702</v>
      </c>
      <c r="H28" s="5">
        <f>clones!K28*clones!$B28</f>
        <v>2899787430</v>
      </c>
    </row>
    <row r="29" spans="1:8">
      <c r="A29" s="5">
        <f>clones!D29*clones!$B29</f>
        <v>-197906560</v>
      </c>
      <c r="B29" s="5">
        <f>clones!E29*clones!$B29</f>
        <v>-481160324</v>
      </c>
      <c r="C29" s="5">
        <f>clones!F29*clones!$B29</f>
        <v>2723070574</v>
      </c>
      <c r="D29" s="5">
        <f>clones!G29*clones!$B29</f>
        <v>200380392</v>
      </c>
      <c r="E29" s="5">
        <f>clones!H29*clones!$B29</f>
        <v>813890728</v>
      </c>
      <c r="F29" s="5">
        <f>clones!I29*clones!$B29</f>
        <v>1960511860</v>
      </c>
      <c r="G29" s="5">
        <f>clones!J29*clones!$B29</f>
        <v>2933346294</v>
      </c>
      <c r="H29" s="5">
        <f>clones!K29*clones!$B29</f>
        <v>2779968710</v>
      </c>
    </row>
    <row r="30" spans="1:8">
      <c r="A30" s="5">
        <f>clones!D30*clones!$B30</f>
        <v>-197524480</v>
      </c>
      <c r="B30" s="5">
        <f>clones!E30*clones!$B30</f>
        <v>-480231392</v>
      </c>
      <c r="C30" s="5">
        <f>clones!F30*clones!$B30</f>
        <v>2717813392</v>
      </c>
      <c r="D30" s="5">
        <f>clones!G30*clones!$B30</f>
        <v>199993536</v>
      </c>
      <c r="E30" s="5">
        <f>clones!H30*clones!$B30</f>
        <v>812319424</v>
      </c>
      <c r="F30" s="5">
        <f>clones!I30*clones!$B30</f>
        <v>1956726880</v>
      </c>
      <c r="G30" s="5">
        <f>clones!J30*clones!$B30</f>
        <v>2927683152</v>
      </c>
      <c r="H30" s="5">
        <f>clones!K30*clones!$B30</f>
        <v>2774601680</v>
      </c>
    </row>
    <row r="31" spans="1:8">
      <c r="A31" s="5">
        <f>clones!D31*clones!$B31</f>
        <v>-192495232</v>
      </c>
      <c r="B31" s="5">
        <f>clones!E31*clones!$B31</f>
        <v>-468004032.79999995</v>
      </c>
      <c r="C31" s="5">
        <f>clones!F31*clones!$B31</f>
        <v>2648614082.7999997</v>
      </c>
      <c r="D31" s="5">
        <f>clones!G31*clones!$B31</f>
        <v>194901422.40000001</v>
      </c>
      <c r="E31" s="5">
        <f>clones!H31*clones!$B31</f>
        <v>791636641.60000002</v>
      </c>
      <c r="F31" s="5">
        <f>clones!I31*clones!$B31</f>
        <v>1906905892</v>
      </c>
      <c r="G31" s="5">
        <f>clones!J31*clones!$B31</f>
        <v>2853140266.7999997</v>
      </c>
      <c r="H31" s="5">
        <f>clones!K31*clones!$B31</f>
        <v>2703956462</v>
      </c>
    </row>
    <row r="32" spans="1:8">
      <c r="A32" s="5">
        <f>clones!D32*clones!$B32</f>
        <v>-189986176</v>
      </c>
      <c r="B32" s="5">
        <f>clones!E32*clones!$B32</f>
        <v>-461903890.40000004</v>
      </c>
      <c r="C32" s="5">
        <f>clones!F32*clones!$B32</f>
        <v>2614091040.4000001</v>
      </c>
      <c r="D32" s="5">
        <f>clones!G32*clones!$B32</f>
        <v>192361003.20000002</v>
      </c>
      <c r="E32" s="5">
        <f>clones!H32*clones!$B32</f>
        <v>781318148.80000007</v>
      </c>
      <c r="F32" s="5">
        <f>clones!I32*clones!$B32</f>
        <v>1882050556.0000002</v>
      </c>
      <c r="G32" s="5">
        <f>clones!J32*clones!$B32</f>
        <v>2815951352.4000001</v>
      </c>
      <c r="H32" s="5">
        <f>clones!K32*clones!$B32</f>
        <v>2668712066</v>
      </c>
    </row>
    <row r="33" spans="1:8">
      <c r="A33" s="5">
        <f>clones!D33*clones!$B33</f>
        <v>-188336640</v>
      </c>
      <c r="B33" s="5">
        <f>clones!E33*clones!$B33</f>
        <v>-457893456</v>
      </c>
      <c r="C33" s="5">
        <f>clones!F33*clones!$B33</f>
        <v>2591394456</v>
      </c>
      <c r="D33" s="5">
        <f>clones!G33*clones!$B33</f>
        <v>190690848</v>
      </c>
      <c r="E33" s="5">
        <f>clones!H33*clones!$B33</f>
        <v>774534432</v>
      </c>
      <c r="F33" s="5">
        <f>clones!I33*clones!$B33</f>
        <v>1865709840</v>
      </c>
      <c r="G33" s="5">
        <f>clones!J33*clones!$B33</f>
        <v>2791502136</v>
      </c>
      <c r="H33" s="5">
        <f>clones!K33*clones!$B33</f>
        <v>2645541240</v>
      </c>
    </row>
    <row r="34" spans="1:8">
      <c r="A34" s="5">
        <f>clones!D34*clones!$B34</f>
        <v>-187309952</v>
      </c>
      <c r="B34" s="5">
        <f>clones!E34*clones!$B34</f>
        <v>-455397320.79999995</v>
      </c>
      <c r="C34" s="5">
        <f>clones!F34*clones!$B34</f>
        <v>2577267870.7999997</v>
      </c>
      <c r="D34" s="5">
        <f>clones!G34*clones!$B34</f>
        <v>189651326.40000001</v>
      </c>
      <c r="E34" s="5">
        <f>clones!H34*clones!$B34</f>
        <v>770312177.60000002</v>
      </c>
      <c r="F34" s="5">
        <f>clones!I34*clones!$B34</f>
        <v>1855539212</v>
      </c>
      <c r="G34" s="5">
        <f>clones!J34*clones!$B34</f>
        <v>2776284694.7999997</v>
      </c>
      <c r="H34" s="5">
        <f>clones!K34*clones!$B34</f>
        <v>2631119482</v>
      </c>
    </row>
    <row r="35" spans="1:8">
      <c r="A35" s="5">
        <f>clones!D35*clones!$B35</f>
        <v>-185699968</v>
      </c>
      <c r="B35" s="5">
        <f>clones!E35*clones!$B35</f>
        <v>-451483047.20000005</v>
      </c>
      <c r="C35" s="5">
        <f>clones!F35*clones!$B35</f>
        <v>2555115497.2000003</v>
      </c>
      <c r="D35" s="5">
        <f>clones!G35*clones!$B35</f>
        <v>188021217.59999999</v>
      </c>
      <c r="E35" s="5">
        <f>clones!H35*clones!$B35</f>
        <v>763691118.39999998</v>
      </c>
      <c r="F35" s="5">
        <f>clones!I35*clones!$B35</f>
        <v>1839590308</v>
      </c>
      <c r="G35" s="5">
        <f>clones!J35*clones!$B35</f>
        <v>2752421713.2000003</v>
      </c>
      <c r="H35" s="5">
        <f>clones!K35*clones!$B35</f>
        <v>2608504238</v>
      </c>
    </row>
    <row r="36" spans="1:8">
      <c r="A36" s="5">
        <f>clones!D36*clones!$B36</f>
        <v>-184979840</v>
      </c>
      <c r="B36" s="5">
        <f>clones!E36*clones!$B36</f>
        <v>-449732236</v>
      </c>
      <c r="C36" s="5">
        <f>clones!F36*clones!$B36</f>
        <v>2545206986</v>
      </c>
      <c r="D36" s="5">
        <f>clones!G36*clones!$B36</f>
        <v>187292088</v>
      </c>
      <c r="E36" s="5">
        <f>clones!H36*clones!$B36</f>
        <v>760729592</v>
      </c>
      <c r="F36" s="5">
        <f>clones!I36*clones!$B36</f>
        <v>1832456540</v>
      </c>
      <c r="G36" s="5">
        <f>clones!J36*clones!$B36</f>
        <v>2741748066</v>
      </c>
      <c r="H36" s="5">
        <f>clones!K36*clones!$B36</f>
        <v>2598388690</v>
      </c>
    </row>
    <row r="37" spans="1:8">
      <c r="A37" s="5">
        <f>clones!D37*clones!$B37</f>
        <v>-184338176</v>
      </c>
      <c r="B37" s="5">
        <f>clones!E37*clones!$B37</f>
        <v>-448172190.40000004</v>
      </c>
      <c r="C37" s="5">
        <f>clones!F37*clones!$B37</f>
        <v>2536378090.4000001</v>
      </c>
      <c r="D37" s="5">
        <f>clones!G37*clones!$B37</f>
        <v>186642403.20000002</v>
      </c>
      <c r="E37" s="5">
        <f>clones!H37*clones!$B37</f>
        <v>758090748.80000007</v>
      </c>
      <c r="F37" s="5">
        <f>clones!I37*clones!$B37</f>
        <v>1826100056.0000002</v>
      </c>
      <c r="G37" s="5">
        <f>clones!J37*clones!$B37</f>
        <v>2732237402.4000001</v>
      </c>
      <c r="H37" s="5">
        <f>clones!K37*clones!$B37</f>
        <v>2589375316</v>
      </c>
    </row>
    <row r="38" spans="1:8">
      <c r="A38" s="5">
        <f>clones!D38*clones!$B38</f>
        <v>-183772928</v>
      </c>
      <c r="B38" s="5">
        <f>clones!E38*clones!$B38</f>
        <v>-446797931.20000005</v>
      </c>
      <c r="C38" s="5">
        <f>clones!F38*clones!$B38</f>
        <v>2528600631.2000003</v>
      </c>
      <c r="D38" s="5">
        <f>clones!G38*clones!$B38</f>
        <v>186070089.59999999</v>
      </c>
      <c r="E38" s="5">
        <f>clones!H38*clones!$B38</f>
        <v>755766166.39999998</v>
      </c>
      <c r="F38" s="5">
        <f>clones!I38*clones!$B38</f>
        <v>1820500568</v>
      </c>
      <c r="G38" s="5">
        <f>clones!J38*clones!$B38</f>
        <v>2723859367.2000003</v>
      </c>
      <c r="H38" s="5">
        <f>clones!K38*clones!$B38</f>
        <v>2581435348</v>
      </c>
    </row>
    <row r="39" spans="1:8">
      <c r="A39" s="5">
        <f>clones!D39*clones!$B39</f>
        <v>-182302208</v>
      </c>
      <c r="B39" s="5">
        <f>clones!E39*clones!$B39</f>
        <v>-443222243.20000005</v>
      </c>
      <c r="C39" s="5">
        <f>clones!F39*clones!$B39</f>
        <v>2508364443.2000003</v>
      </c>
      <c r="D39" s="5">
        <f>clones!G39*clones!$B39</f>
        <v>184580985.59999999</v>
      </c>
      <c r="E39" s="5">
        <f>clones!H39*clones!$B39</f>
        <v>749717830.39999998</v>
      </c>
      <c r="F39" s="5">
        <f>clones!I39*clones!$B39</f>
        <v>1805931248</v>
      </c>
      <c r="G39" s="5">
        <f>clones!J39*clones!$B39</f>
        <v>2702060539.2000003</v>
      </c>
      <c r="H39" s="5">
        <f>clones!K39*clones!$B39</f>
        <v>2560776328</v>
      </c>
    </row>
    <row r="40" spans="1:8">
      <c r="A40" s="5">
        <f>clones!D40*clones!$B40</f>
        <v>-180684544</v>
      </c>
      <c r="B40" s="5">
        <f>clones!E40*clones!$B40</f>
        <v>-439289297.59999996</v>
      </c>
      <c r="C40" s="5">
        <f>clones!F40*clones!$B40</f>
        <v>2486106397.5999999</v>
      </c>
      <c r="D40" s="5">
        <f>clones!G40*clones!$B40</f>
        <v>182943100.79999998</v>
      </c>
      <c r="E40" s="5">
        <f>clones!H40*clones!$B40</f>
        <v>743065187.19999993</v>
      </c>
      <c r="F40" s="5">
        <f>clones!I40*clones!$B40</f>
        <v>1789906263.9999998</v>
      </c>
      <c r="G40" s="5">
        <f>clones!J40*clones!$B40</f>
        <v>2678083725.5999999</v>
      </c>
      <c r="H40" s="5">
        <f>clones!K40*clones!$B40</f>
        <v>2538053204</v>
      </c>
    </row>
    <row r="41" spans="1:8">
      <c r="A41" s="5">
        <f>clones!D41*clones!$B41</f>
        <v>-175171328</v>
      </c>
      <c r="B41" s="5">
        <f>clones!E41*clones!$B41</f>
        <v>-425885291.20000005</v>
      </c>
      <c r="C41" s="5">
        <f>clones!F41*clones!$B41</f>
        <v>2410247991.2000003</v>
      </c>
      <c r="D41" s="5">
        <f>clones!G41*clones!$B41</f>
        <v>177360969.59999999</v>
      </c>
      <c r="E41" s="5">
        <f>clones!H41*clones!$B41</f>
        <v>720392086.39999998</v>
      </c>
      <c r="F41" s="5">
        <f>clones!I41*clones!$B41</f>
        <v>1735290968</v>
      </c>
      <c r="G41" s="5">
        <f>clones!J41*clones!$B41</f>
        <v>2596367527.2000003</v>
      </c>
      <c r="H41" s="5">
        <f>clones!K41*clones!$B41</f>
        <v>2460609748</v>
      </c>
    </row>
    <row r="42" spans="1:8">
      <c r="A42" s="5">
        <f>clones!D42*clones!$B42</f>
        <v>-173654016</v>
      </c>
      <c r="B42" s="5">
        <f>clones!E42*clones!$B42</f>
        <v>-422196326.40000004</v>
      </c>
      <c r="C42" s="5">
        <f>clones!F42*clones!$B42</f>
        <v>2389370726.4000001</v>
      </c>
      <c r="D42" s="5">
        <f>clones!G42*clones!$B42</f>
        <v>175824691.20000002</v>
      </c>
      <c r="E42" s="5">
        <f>clones!H42*clones!$B42</f>
        <v>714152140.80000007</v>
      </c>
      <c r="F42" s="5">
        <f>clones!I42*clones!$B42</f>
        <v>1720260096.0000002</v>
      </c>
      <c r="G42" s="5">
        <f>clones!J42*clones!$B42</f>
        <v>2573878118.4000001</v>
      </c>
      <c r="H42" s="5">
        <f>clones!K42*clones!$B42</f>
        <v>2439296256</v>
      </c>
    </row>
    <row r="43" spans="1:8">
      <c r="A43" s="5">
        <f>clones!D43*clones!$B43</f>
        <v>-172399488</v>
      </c>
      <c r="B43" s="5">
        <f>clones!E43*clones!$B43</f>
        <v>-419146255.20000005</v>
      </c>
      <c r="C43" s="5">
        <f>clones!F43*clones!$B43</f>
        <v>2372109205.2000003</v>
      </c>
      <c r="D43" s="5">
        <f>clones!G43*clones!$B43</f>
        <v>174554481.59999999</v>
      </c>
      <c r="E43" s="5">
        <f>clones!H43*clones!$B43</f>
        <v>708992894.39999998</v>
      </c>
      <c r="F43" s="5">
        <f>clones!I43*clones!$B43</f>
        <v>1707832428</v>
      </c>
      <c r="G43" s="5">
        <f>clones!J43*clones!$B43</f>
        <v>2555283661.2000003</v>
      </c>
      <c r="H43" s="5">
        <f>clones!K43*clones!$B43</f>
        <v>2421674058</v>
      </c>
    </row>
    <row r="44" spans="1:8">
      <c r="A44" s="5">
        <f>clones!D44*clones!$B44</f>
        <v>-171795072</v>
      </c>
      <c r="B44" s="5">
        <f>clones!E44*clones!$B44</f>
        <v>-417676768.79999995</v>
      </c>
      <c r="C44" s="5">
        <f>clones!F44*clones!$B44</f>
        <v>2363792818.7999997</v>
      </c>
      <c r="D44" s="5">
        <f>clones!G44*clones!$B44</f>
        <v>173942510.40000001</v>
      </c>
      <c r="E44" s="5">
        <f>clones!H44*clones!$B44</f>
        <v>706507233.60000002</v>
      </c>
      <c r="F44" s="5">
        <f>clones!I44*clones!$B44</f>
        <v>1701844932</v>
      </c>
      <c r="G44" s="5">
        <f>clones!J44*clones!$B44</f>
        <v>2546325082.7999997</v>
      </c>
      <c r="H44" s="5">
        <f>clones!K44*clones!$B44</f>
        <v>2413183902</v>
      </c>
    </row>
    <row r="45" spans="1:8">
      <c r="A45" s="5">
        <f>clones!D45*clones!$B45</f>
        <v>-168641536</v>
      </c>
      <c r="B45" s="5">
        <f>clones!E45*clones!$B45</f>
        <v>-410009734.40000004</v>
      </c>
      <c r="C45" s="5">
        <f>clones!F45*clones!$B45</f>
        <v>2320402134.4000001</v>
      </c>
      <c r="D45" s="5">
        <f>clones!G45*clones!$B45</f>
        <v>170749555.20000002</v>
      </c>
      <c r="E45" s="5">
        <f>clones!H45*clones!$B45</f>
        <v>693538316.80000007</v>
      </c>
      <c r="F45" s="5">
        <f>clones!I45*clones!$B45</f>
        <v>1670605216.0000002</v>
      </c>
      <c r="G45" s="5">
        <f>clones!J45*clones!$B45</f>
        <v>2499583766.4000001</v>
      </c>
      <c r="H45" s="5">
        <f>clones!K45*clones!$B45</f>
        <v>2368886576</v>
      </c>
    </row>
    <row r="46" spans="1:8">
      <c r="A46" s="5">
        <f>clones!D46*clones!$B46</f>
        <v>-168347008</v>
      </c>
      <c r="B46" s="5">
        <f>clones!E46*clones!$B46</f>
        <v>-409293663.20000005</v>
      </c>
      <c r="C46" s="5">
        <f>clones!F46*clones!$B46</f>
        <v>2316349613.2000003</v>
      </c>
      <c r="D46" s="5">
        <f>clones!G46*clones!$B46</f>
        <v>170451345.59999999</v>
      </c>
      <c r="E46" s="5">
        <f>clones!H46*clones!$B46</f>
        <v>692327070.39999998</v>
      </c>
      <c r="F46" s="5">
        <f>clones!I46*clones!$B46</f>
        <v>1667687548</v>
      </c>
      <c r="G46" s="5">
        <f>clones!J46*clones!$B46</f>
        <v>2495218309.2000003</v>
      </c>
      <c r="H46" s="5">
        <f>clones!K46*clones!$B46</f>
        <v>2364749378</v>
      </c>
    </row>
    <row r="47" spans="1:8">
      <c r="A47" s="5">
        <f>clones!D47*clones!$B47</f>
        <v>-167961216</v>
      </c>
      <c r="B47" s="5">
        <f>clones!E47*clones!$B47</f>
        <v>-408355706.40000004</v>
      </c>
      <c r="C47" s="5">
        <f>clones!F47*clones!$B47</f>
        <v>2311041356.4000001</v>
      </c>
      <c r="D47" s="5">
        <f>clones!G47*clones!$B47</f>
        <v>170060731.20000002</v>
      </c>
      <c r="E47" s="5">
        <f>clones!H47*clones!$B47</f>
        <v>690740500.80000007</v>
      </c>
      <c r="F47" s="5">
        <f>clones!I47*clones!$B47</f>
        <v>1663865796.0000002</v>
      </c>
      <c r="G47" s="5">
        <f>clones!J47*clones!$B47</f>
        <v>2489500148.4000001</v>
      </c>
      <c r="H47" s="5">
        <f>clones!K47*clones!$B47</f>
        <v>2359330206</v>
      </c>
    </row>
    <row r="48" spans="1:8">
      <c r="A48" s="5">
        <f>clones!D48*clones!$B48</f>
        <v>-166027904</v>
      </c>
      <c r="B48" s="5">
        <f>clones!E48*clones!$B48</f>
        <v>-403655341.60000002</v>
      </c>
      <c r="C48" s="5">
        <f>clones!F48*clones!$B48</f>
        <v>2284440191.5999999</v>
      </c>
      <c r="D48" s="5">
        <f>clones!G48*clones!$B48</f>
        <v>168103252.80000001</v>
      </c>
      <c r="E48" s="5">
        <f>clones!H48*clones!$B48</f>
        <v>682789755.20000005</v>
      </c>
      <c r="F48" s="5">
        <f>clones!I48*clones!$B48</f>
        <v>1644713924</v>
      </c>
      <c r="G48" s="5">
        <f>clones!J48*clones!$B48</f>
        <v>2460844839.5999999</v>
      </c>
      <c r="H48" s="5">
        <f>clones!K48*clones!$B48</f>
        <v>2332173214</v>
      </c>
    </row>
    <row r="49" spans="1:8">
      <c r="A49" s="5">
        <f>clones!D49*clones!$B49</f>
        <v>-165673600</v>
      </c>
      <c r="B49" s="5">
        <f>clones!E49*clones!$B49</f>
        <v>-402793940</v>
      </c>
      <c r="C49" s="5">
        <f>clones!F49*clones!$B49</f>
        <v>2279565190</v>
      </c>
      <c r="D49" s="5">
        <f>clones!G49*clones!$B49</f>
        <v>167744520</v>
      </c>
      <c r="E49" s="5">
        <f>clones!H49*clones!$B49</f>
        <v>681332680</v>
      </c>
      <c r="F49" s="5">
        <f>clones!I49*clones!$B49</f>
        <v>1641204100</v>
      </c>
      <c r="G49" s="5">
        <f>clones!J49*clones!$B49</f>
        <v>2455593390</v>
      </c>
      <c r="H49" s="5">
        <f>clones!K49*clones!$B49</f>
        <v>2327196350</v>
      </c>
    </row>
    <row r="50" spans="1:8">
      <c r="A50" s="5">
        <f>clones!D50*clones!$B50</f>
        <v>-163054976</v>
      </c>
      <c r="B50" s="5">
        <f>clones!E50*clones!$B50</f>
        <v>-396427410.39999998</v>
      </c>
      <c r="C50" s="5">
        <f>clones!F50*clones!$B50</f>
        <v>2243534560.4000001</v>
      </c>
      <c r="D50" s="5">
        <f>clones!G50*clones!$B50</f>
        <v>165093163.19999999</v>
      </c>
      <c r="E50" s="5">
        <f>clones!H50*clones!$B50</f>
        <v>670563588.79999995</v>
      </c>
      <c r="F50" s="5">
        <f>clones!I50*clones!$B50</f>
        <v>1615263356</v>
      </c>
      <c r="G50" s="5">
        <f>clones!J50*clones!$B50</f>
        <v>2416780472.4000001</v>
      </c>
      <c r="H50" s="5">
        <f>clones!K50*clones!$B50</f>
        <v>2290412866</v>
      </c>
    </row>
    <row r="51" spans="1:8">
      <c r="A51" s="5">
        <f>clones!D51*clones!$B51</f>
        <v>-156765184</v>
      </c>
      <c r="B51" s="5">
        <f>clones!E51*clones!$B51</f>
        <v>-381135353.60000002</v>
      </c>
      <c r="C51" s="5">
        <f>clones!F51*clones!$B51</f>
        <v>2156990953.5999999</v>
      </c>
      <c r="D51" s="5">
        <f>clones!G51*clones!$B51</f>
        <v>158724748.80000001</v>
      </c>
      <c r="E51" s="5">
        <f>clones!H51*clones!$B51</f>
        <v>644696819.20000005</v>
      </c>
      <c r="F51" s="5">
        <f>clones!I51*clones!$B51</f>
        <v>1552955104</v>
      </c>
      <c r="G51" s="5">
        <f>clones!J51*clones!$B51</f>
        <v>2323553961.5999999</v>
      </c>
      <c r="H51" s="5">
        <f>clones!K51*clones!$B51</f>
        <v>2202060944</v>
      </c>
    </row>
    <row r="52" spans="1:8">
      <c r="A52" s="5">
        <f>clones!D52*clones!$B52</f>
        <v>-155226240</v>
      </c>
      <c r="B52" s="5">
        <f>clones!E52*clones!$B52</f>
        <v>-377393796</v>
      </c>
      <c r="C52" s="5">
        <f>clones!F52*clones!$B52</f>
        <v>2135816046</v>
      </c>
      <c r="D52" s="5">
        <f>clones!G52*clones!$B52</f>
        <v>157166568</v>
      </c>
      <c r="E52" s="5">
        <f>clones!H52*clones!$B52</f>
        <v>638367912</v>
      </c>
      <c r="F52" s="5">
        <f>clones!I52*clones!$B52</f>
        <v>1537709940</v>
      </c>
      <c r="G52" s="5">
        <f>clones!J52*clones!$B52</f>
        <v>2300743926</v>
      </c>
      <c r="H52" s="5">
        <f>clones!K52*clones!$B52</f>
        <v>2180443590</v>
      </c>
    </row>
    <row r="53" spans="1:8">
      <c r="A53" s="5">
        <f>clones!D53*clones!$B53</f>
        <v>-154693376</v>
      </c>
      <c r="B53" s="5">
        <f>clones!E53*clones!$B53</f>
        <v>-376098270.39999998</v>
      </c>
      <c r="C53" s="5">
        <f>clones!F53*clones!$B53</f>
        <v>2128484170.3999999</v>
      </c>
      <c r="D53" s="5">
        <f>clones!G53*clones!$B53</f>
        <v>156627043.19999999</v>
      </c>
      <c r="E53" s="5">
        <f>clones!H53*clones!$B53</f>
        <v>636176508.79999995</v>
      </c>
      <c r="F53" s="5">
        <f>clones!I53*clones!$B53</f>
        <v>1532431256</v>
      </c>
      <c r="G53" s="5">
        <f>clones!J53*clones!$B53</f>
        <v>2292845882.4000001</v>
      </c>
      <c r="H53" s="5">
        <f>clones!K53*clones!$B53</f>
        <v>2172958516</v>
      </c>
    </row>
    <row r="54" spans="1:8">
      <c r="A54" s="5">
        <f>clones!D54*clones!$B54</f>
        <v>-152822656</v>
      </c>
      <c r="B54" s="5">
        <f>clones!E54*clones!$B54</f>
        <v>-371550082.39999998</v>
      </c>
      <c r="C54" s="5">
        <f>clones!F54*clones!$B54</f>
        <v>2102744232.3999999</v>
      </c>
      <c r="D54" s="5">
        <f>clones!G54*clones!$B54</f>
        <v>154732939.19999999</v>
      </c>
      <c r="E54" s="5">
        <f>clones!H54*clones!$B54</f>
        <v>628483172.79999995</v>
      </c>
      <c r="F54" s="5">
        <f>clones!I54*clones!$B54</f>
        <v>1513899436</v>
      </c>
      <c r="G54" s="5">
        <f>clones!J54*clones!$B54</f>
        <v>2265118304.4000001</v>
      </c>
      <c r="H54" s="5">
        <f>clones!K54*clones!$B54</f>
        <v>2146680746</v>
      </c>
    </row>
    <row r="55" spans="1:8">
      <c r="A55" s="5">
        <f>clones!D55*clones!$B55</f>
        <v>-150641152</v>
      </c>
      <c r="B55" s="5">
        <f>clones!E55*clones!$B55</f>
        <v>-366246300.79999995</v>
      </c>
      <c r="C55" s="5">
        <f>clones!F55*clones!$B55</f>
        <v>2072728100.8</v>
      </c>
      <c r="D55" s="5">
        <f>clones!G55*clones!$B55</f>
        <v>152524166.40000001</v>
      </c>
      <c r="E55" s="5">
        <f>clones!H55*clones!$B55</f>
        <v>619511737.60000002</v>
      </c>
      <c r="F55" s="5">
        <f>clones!I55*clones!$B55</f>
        <v>1492288912</v>
      </c>
      <c r="G55" s="5">
        <f>clones!J55*clones!$B55</f>
        <v>2232784324.7999997</v>
      </c>
      <c r="H55" s="5">
        <f>clones!K55*clones!$B55</f>
        <v>2116037432</v>
      </c>
    </row>
    <row r="56" spans="1:8">
      <c r="A56" s="5">
        <f>clones!D56*clones!$B56</f>
        <v>-149725568</v>
      </c>
      <c r="B56" s="5">
        <f>clones!E56*clones!$B56</f>
        <v>-364020287.20000005</v>
      </c>
      <c r="C56" s="5">
        <f>clones!F56*clones!$B56</f>
        <v>2060130237.2</v>
      </c>
      <c r="D56" s="5">
        <f>clones!G56*clones!$B56</f>
        <v>151597137.59999999</v>
      </c>
      <c r="E56" s="5">
        <f>clones!H56*clones!$B56</f>
        <v>615746398.39999998</v>
      </c>
      <c r="F56" s="5">
        <f>clones!I56*clones!$B56</f>
        <v>1483218908</v>
      </c>
      <c r="G56" s="5">
        <f>clones!J56*clones!$B56</f>
        <v>2219213653.2000003</v>
      </c>
      <c r="H56" s="5">
        <f>clones!K56*clones!$B56</f>
        <v>2103176338</v>
      </c>
    </row>
    <row r="57" spans="1:8">
      <c r="A57" s="5">
        <f>clones!D57*clones!$B57</f>
        <v>-147673600</v>
      </c>
      <c r="B57" s="5">
        <f>clones!E57*clones!$B57</f>
        <v>-359031440</v>
      </c>
      <c r="C57" s="5">
        <f>clones!F57*clones!$B57</f>
        <v>2031896440</v>
      </c>
      <c r="D57" s="5">
        <f>clones!G57*clones!$B57</f>
        <v>149519520</v>
      </c>
      <c r="E57" s="5">
        <f>clones!H57*clones!$B57</f>
        <v>607307680</v>
      </c>
      <c r="F57" s="5">
        <f>clones!I57*clones!$B57</f>
        <v>1462891600</v>
      </c>
      <c r="G57" s="5">
        <f>clones!J57*clones!$B57</f>
        <v>2188799640</v>
      </c>
      <c r="H57" s="5">
        <f>clones!K57*clones!$B57</f>
        <v>2074352600</v>
      </c>
    </row>
    <row r="58" spans="1:8">
      <c r="A58" s="5">
        <f>clones!D58*clones!$B58</f>
        <v>-146819584</v>
      </c>
      <c r="B58" s="5">
        <f>clones!E58*clones!$B58</f>
        <v>-356955113.60000002</v>
      </c>
      <c r="C58" s="5">
        <f>clones!F58*clones!$B58</f>
        <v>2020145713.6000001</v>
      </c>
      <c r="D58" s="5">
        <f>clones!G58*clones!$B58</f>
        <v>148654828.80000001</v>
      </c>
      <c r="E58" s="5">
        <f>clones!H58*clones!$B58</f>
        <v>603795539.20000005</v>
      </c>
      <c r="F58" s="5">
        <f>clones!I58*clones!$B58</f>
        <v>1454431504</v>
      </c>
      <c r="G58" s="5">
        <f>clones!J58*clones!$B58</f>
        <v>2176141521.5999999</v>
      </c>
      <c r="H58" s="5">
        <f>clones!K58*clones!$B58</f>
        <v>2062356344</v>
      </c>
    </row>
    <row r="59" spans="1:8">
      <c r="A59" s="5">
        <f>clones!D59*clones!$B59</f>
        <v>-146818048</v>
      </c>
      <c r="B59" s="5">
        <f>clones!E59*clones!$B59</f>
        <v>-356951379.20000005</v>
      </c>
      <c r="C59" s="5">
        <f>clones!F59*clones!$B59</f>
        <v>2020124579.2</v>
      </c>
      <c r="D59" s="5">
        <f>clones!G59*clones!$B59</f>
        <v>148653273.59999999</v>
      </c>
      <c r="E59" s="5">
        <f>clones!H59*clones!$B59</f>
        <v>603789222.39999998</v>
      </c>
      <c r="F59" s="5">
        <f>clones!I59*clones!$B59</f>
        <v>1454416288</v>
      </c>
      <c r="G59" s="5">
        <f>clones!J59*clones!$B59</f>
        <v>2176118755.2000003</v>
      </c>
      <c r="H59" s="5">
        <f>clones!K59*clones!$B59</f>
        <v>2062334768</v>
      </c>
    </row>
    <row r="60" spans="1:8">
      <c r="A60" s="5">
        <f>clones!D60*clones!$B60</f>
        <v>-144337024</v>
      </c>
      <c r="B60" s="5">
        <f>clones!E60*clones!$B60</f>
        <v>-350919389.60000002</v>
      </c>
      <c r="C60" s="5">
        <f>clones!F60*clones!$B60</f>
        <v>1985987239.6000001</v>
      </c>
      <c r="D60" s="5">
        <f>clones!G60*clones!$B60</f>
        <v>146141236.80000001</v>
      </c>
      <c r="E60" s="5">
        <f>clones!H60*clones!$B60</f>
        <v>593586011.20000005</v>
      </c>
      <c r="F60" s="5">
        <f>clones!I60*clones!$B60</f>
        <v>1429838644</v>
      </c>
      <c r="G60" s="5">
        <f>clones!J60*clones!$B60</f>
        <v>2139345327.6000001</v>
      </c>
      <c r="H60" s="5">
        <f>clones!K60*clones!$B60</f>
        <v>2027484134</v>
      </c>
    </row>
    <row r="61" spans="1:8">
      <c r="A61" s="5">
        <f>clones!D61*clones!$B61</f>
        <v>-143491328</v>
      </c>
      <c r="B61" s="5">
        <f>clones!E61*clones!$B61</f>
        <v>-348863291.20000005</v>
      </c>
      <c r="C61" s="5">
        <f>clones!F61*clones!$B61</f>
        <v>1974350991.2</v>
      </c>
      <c r="D61" s="5">
        <f>clones!G61*clones!$B61</f>
        <v>145284969.59999999</v>
      </c>
      <c r="E61" s="5">
        <f>clones!H61*clones!$B61</f>
        <v>590108086.39999998</v>
      </c>
      <c r="F61" s="5">
        <f>clones!I61*clones!$B61</f>
        <v>1421460968</v>
      </c>
      <c r="G61" s="5">
        <f>clones!J61*clones!$B61</f>
        <v>2126810527.2</v>
      </c>
      <c r="H61" s="5">
        <f>clones!K61*clones!$B61</f>
        <v>2015604748</v>
      </c>
    </row>
    <row r="62" spans="1:8">
      <c r="A62" s="5">
        <f>clones!D62*clones!$B62</f>
        <v>-140380672</v>
      </c>
      <c r="B62" s="5">
        <f>clones!E62*clones!$B62</f>
        <v>-341300508.79999995</v>
      </c>
      <c r="C62" s="5">
        <f>clones!F62*clones!$B62</f>
        <v>1931550308.8</v>
      </c>
      <c r="D62" s="5">
        <f>clones!G62*clones!$B62</f>
        <v>142135430.40000001</v>
      </c>
      <c r="E62" s="5">
        <f>clones!H62*clones!$B62</f>
        <v>577315513.60000002</v>
      </c>
      <c r="F62" s="5">
        <f>clones!I62*clones!$B62</f>
        <v>1390646032</v>
      </c>
      <c r="G62" s="5">
        <f>clones!J62*clones!$B62</f>
        <v>2080704772.8</v>
      </c>
      <c r="H62" s="5">
        <f>clones!K62*clones!$B62</f>
        <v>1971909752</v>
      </c>
    </row>
    <row r="63" spans="1:8">
      <c r="A63" s="5">
        <f>clones!D63*clones!$B63</f>
        <v>-139995904</v>
      </c>
      <c r="B63" s="5">
        <f>clones!E63*clones!$B63</f>
        <v>-340365041.60000002</v>
      </c>
      <c r="C63" s="5">
        <f>clones!F63*clones!$B63</f>
        <v>1926256141.6000001</v>
      </c>
      <c r="D63" s="5">
        <f>clones!G63*clones!$B63</f>
        <v>141745852.80000001</v>
      </c>
      <c r="E63" s="5">
        <f>clones!H63*clones!$B63</f>
        <v>575733155.20000005</v>
      </c>
      <c r="F63" s="5">
        <f>clones!I63*clones!$B63</f>
        <v>1386834424</v>
      </c>
      <c r="G63" s="5">
        <f>clones!J63*clones!$B63</f>
        <v>2075001789.6000001</v>
      </c>
      <c r="H63" s="5">
        <f>clones!K63*clones!$B63</f>
        <v>1966504964</v>
      </c>
    </row>
    <row r="64" spans="1:8">
      <c r="A64" s="5">
        <f>clones!D64*clones!$B64</f>
        <v>-139510144</v>
      </c>
      <c r="B64" s="5">
        <f>clones!E64*clones!$B64</f>
        <v>-339184037.60000002</v>
      </c>
      <c r="C64" s="5">
        <f>clones!F64*clones!$B64</f>
        <v>1919572387.6000001</v>
      </c>
      <c r="D64" s="5">
        <f>clones!G64*clones!$B64</f>
        <v>141254020.80000001</v>
      </c>
      <c r="E64" s="5">
        <f>clones!H64*clones!$B64</f>
        <v>573735467.20000005</v>
      </c>
      <c r="F64" s="5">
        <f>clones!I64*clones!$B64</f>
        <v>1382022364</v>
      </c>
      <c r="G64" s="5">
        <f>clones!J64*clones!$B64</f>
        <v>2067801915.6000001</v>
      </c>
      <c r="H64" s="5">
        <f>clones!K64*clones!$B64</f>
        <v>1959681554</v>
      </c>
    </row>
    <row r="65" spans="1:8">
      <c r="A65" s="5">
        <f>clones!D65*clones!$B65</f>
        <v>-139497216</v>
      </c>
      <c r="B65" s="5">
        <f>clones!E65*clones!$B65</f>
        <v>-339152606.39999998</v>
      </c>
      <c r="C65" s="5">
        <f>clones!F65*clones!$B65</f>
        <v>1919394506.3999999</v>
      </c>
      <c r="D65" s="5">
        <f>clones!G65*clones!$B65</f>
        <v>141240931.19999999</v>
      </c>
      <c r="E65" s="5">
        <f>clones!H65*clones!$B65</f>
        <v>573682300.79999995</v>
      </c>
      <c r="F65" s="5">
        <f>clones!I65*clones!$B65</f>
        <v>1381894296</v>
      </c>
      <c r="G65" s="5">
        <f>clones!J65*clones!$B65</f>
        <v>2067610298.3999999</v>
      </c>
      <c r="H65" s="5">
        <f>clones!K65*clones!$B65</f>
        <v>1959499956</v>
      </c>
    </row>
    <row r="66" spans="1:8">
      <c r="A66" s="5">
        <f>clones!D66*clones!$B66</f>
        <v>-139310080</v>
      </c>
      <c r="B66" s="5">
        <f>clones!E66*clones!$B66</f>
        <v>-338697632</v>
      </c>
      <c r="C66" s="5">
        <f>clones!F66*clones!$B66</f>
        <v>1916819632</v>
      </c>
      <c r="D66" s="5">
        <f>clones!G66*clones!$B66</f>
        <v>141051456</v>
      </c>
      <c r="E66" s="5">
        <f>clones!H66*clones!$B66</f>
        <v>572912704</v>
      </c>
      <c r="F66" s="5">
        <f>clones!I66*clones!$B66</f>
        <v>1380040480</v>
      </c>
      <c r="G66" s="5">
        <f>clones!J66*clones!$B66</f>
        <v>2064836592</v>
      </c>
      <c r="H66" s="5">
        <f>clones!K66*clones!$B66</f>
        <v>1956871280</v>
      </c>
    </row>
    <row r="67" spans="1:8">
      <c r="A67" s="5">
        <f>clones!D67*clones!$B67</f>
        <v>-138185088</v>
      </c>
      <c r="B67" s="5">
        <f>clones!E67*clones!$B67</f>
        <v>-335962495.20000005</v>
      </c>
      <c r="C67" s="5">
        <f>clones!F67*clones!$B67</f>
        <v>1901340445.2</v>
      </c>
      <c r="D67" s="5">
        <f>clones!G67*clones!$B67</f>
        <v>139912401.59999999</v>
      </c>
      <c r="E67" s="5">
        <f>clones!H67*clones!$B67</f>
        <v>568286174.39999998</v>
      </c>
      <c r="F67" s="5">
        <f>clones!I67*clones!$B67</f>
        <v>1368896028</v>
      </c>
      <c r="G67" s="5">
        <f>clones!J67*clones!$B67</f>
        <v>2048162101.2</v>
      </c>
      <c r="H67" s="5">
        <f>clones!K67*clones!$B67</f>
        <v>1941068658</v>
      </c>
    </row>
    <row r="68" spans="1:8">
      <c r="A68" s="5">
        <f>clones!D68*clones!$B68</f>
        <v>-137481600</v>
      </c>
      <c r="B68" s="5">
        <f>clones!E68*clones!$B68</f>
        <v>-334252140</v>
      </c>
      <c r="C68" s="5">
        <f>clones!F68*clones!$B68</f>
        <v>1891660890</v>
      </c>
      <c r="D68" s="5">
        <f>clones!G68*clones!$B68</f>
        <v>139200120</v>
      </c>
      <c r="E68" s="5">
        <f>clones!H68*clones!$B68</f>
        <v>565393080</v>
      </c>
      <c r="F68" s="5">
        <f>clones!I68*clones!$B68</f>
        <v>1361927100</v>
      </c>
      <c r="G68" s="5">
        <f>clones!J68*clones!$B68</f>
        <v>2037735090</v>
      </c>
      <c r="H68" s="5">
        <f>clones!K68*clones!$B68</f>
        <v>1931186850</v>
      </c>
    </row>
    <row r="69" spans="1:8">
      <c r="A69" s="5">
        <f>clones!D69*clones!$B69</f>
        <v>-134268032</v>
      </c>
      <c r="B69" s="5">
        <f>clones!E69*clones!$B69</f>
        <v>-326439152.79999995</v>
      </c>
      <c r="C69" s="5">
        <f>clones!F69*clones!$B69</f>
        <v>1847444202.8</v>
      </c>
      <c r="D69" s="5">
        <f>clones!G69*clones!$B69</f>
        <v>135946382.40000001</v>
      </c>
      <c r="E69" s="5">
        <f>clones!H69*clones!$B69</f>
        <v>552177281.60000002</v>
      </c>
      <c r="F69" s="5">
        <f>clones!I69*clones!$B69</f>
        <v>1330092692</v>
      </c>
      <c r="G69" s="5">
        <f>clones!J69*clones!$B69</f>
        <v>1990103986.8</v>
      </c>
      <c r="H69" s="5">
        <f>clones!K69*clones!$B69</f>
        <v>1886046262</v>
      </c>
    </row>
    <row r="70" spans="1:8">
      <c r="A70" s="5">
        <f>clones!D70*clones!$B70</f>
        <v>-133054464</v>
      </c>
      <c r="B70" s="5">
        <f>clones!E70*clones!$B70</f>
        <v>-323488665.60000002</v>
      </c>
      <c r="C70" s="5">
        <f>clones!F70*clones!$B70</f>
        <v>1830746265.6000001</v>
      </c>
      <c r="D70" s="5">
        <f>clones!G70*clones!$B70</f>
        <v>134717644.80000001</v>
      </c>
      <c r="E70" s="5">
        <f>clones!H70*clones!$B70</f>
        <v>547186483.20000005</v>
      </c>
      <c r="F70" s="5">
        <f>clones!I70*clones!$B70</f>
        <v>1318070784</v>
      </c>
      <c r="G70" s="5">
        <f>clones!J70*clones!$B70</f>
        <v>1972116633.6000001</v>
      </c>
      <c r="H70" s="5">
        <f>clones!K70*clones!$B70</f>
        <v>1868999424</v>
      </c>
    </row>
    <row r="71" spans="1:8">
      <c r="A71" s="5">
        <f>clones!D71*clones!$B71</f>
        <v>-133021696</v>
      </c>
      <c r="B71" s="5">
        <f>clones!E71*clones!$B71</f>
        <v>-323408998.39999998</v>
      </c>
      <c r="C71" s="5">
        <f>clones!F71*clones!$B71</f>
        <v>1830295398.3999999</v>
      </c>
      <c r="D71" s="5">
        <f>clones!G71*clones!$B71</f>
        <v>134684467.19999999</v>
      </c>
      <c r="E71" s="5">
        <f>clones!H71*clones!$B71</f>
        <v>547051724.79999995</v>
      </c>
      <c r="F71" s="5">
        <f>clones!I71*clones!$B71</f>
        <v>1317746176</v>
      </c>
      <c r="G71" s="5">
        <f>clones!J71*clones!$B71</f>
        <v>1971630950.3999999</v>
      </c>
      <c r="H71" s="5">
        <f>clones!K71*clones!$B71</f>
        <v>1868539136</v>
      </c>
    </row>
    <row r="72" spans="1:8">
      <c r="A72" s="5">
        <f>clones!D72*clones!$B72</f>
        <v>-132868608</v>
      </c>
      <c r="B72" s="5">
        <f>clones!E72*clones!$B72</f>
        <v>-323036803.20000005</v>
      </c>
      <c r="C72" s="5">
        <f>clones!F72*clones!$B72</f>
        <v>1828189003.2</v>
      </c>
      <c r="D72" s="5">
        <f>clones!G72*clones!$B72</f>
        <v>134529465.59999999</v>
      </c>
      <c r="E72" s="5">
        <f>clones!H72*clones!$B72</f>
        <v>546422150.39999998</v>
      </c>
      <c r="F72" s="5">
        <f>clones!I72*clones!$B72</f>
        <v>1316229648</v>
      </c>
      <c r="G72" s="5">
        <f>clones!J72*clones!$B72</f>
        <v>1969361899.2</v>
      </c>
      <c r="H72" s="5">
        <f>clones!K72*clones!$B72</f>
        <v>1866388728</v>
      </c>
    </row>
    <row r="73" spans="1:8">
      <c r="A73" s="5">
        <f>clones!D73*clones!$B73</f>
        <v>-129817984</v>
      </c>
      <c r="B73" s="5">
        <f>clones!E73*clones!$B73</f>
        <v>-315619973.60000002</v>
      </c>
      <c r="C73" s="5">
        <f>clones!F73*clones!$B73</f>
        <v>1786214323.6000001</v>
      </c>
      <c r="D73" s="5">
        <f>clones!G73*clones!$B73</f>
        <v>131440708.8</v>
      </c>
      <c r="E73" s="5">
        <f>clones!H73*clones!$B73</f>
        <v>533876459.19999999</v>
      </c>
      <c r="F73" s="5">
        <f>clones!I73*clones!$B73</f>
        <v>1286009404</v>
      </c>
      <c r="G73" s="5">
        <f>clones!J73*clones!$B73</f>
        <v>1924145931.6000001</v>
      </c>
      <c r="H73" s="5">
        <f>clones!K73*clones!$B73</f>
        <v>1823536994</v>
      </c>
    </row>
    <row r="74" spans="1:8">
      <c r="A74" s="5">
        <f>clones!D74*clones!$B74</f>
        <v>-127646336</v>
      </c>
      <c r="B74" s="5">
        <f>clones!E74*clones!$B74</f>
        <v>-310340154.39999998</v>
      </c>
      <c r="C74" s="5">
        <f>clones!F74*clones!$B74</f>
        <v>1756333804.3999999</v>
      </c>
      <c r="D74" s="5">
        <f>clones!G74*clones!$B74</f>
        <v>129241915.2</v>
      </c>
      <c r="E74" s="5">
        <f>clones!H74*clones!$B74</f>
        <v>524945556.80000001</v>
      </c>
      <c r="F74" s="5">
        <f>clones!I74*clones!$B74</f>
        <v>1264496516</v>
      </c>
      <c r="G74" s="5">
        <f>clones!J74*clones!$B74</f>
        <v>1891958036.3999999</v>
      </c>
      <c r="H74" s="5">
        <f>clones!K74*clones!$B74</f>
        <v>1793032126</v>
      </c>
    </row>
    <row r="75" spans="1:8">
      <c r="A75" s="5">
        <f>clones!D75*clones!$B75</f>
        <v>-127234688</v>
      </c>
      <c r="B75" s="5">
        <f>clones!E75*clones!$B75</f>
        <v>-309339335.20000005</v>
      </c>
      <c r="C75" s="5">
        <f>clones!F75*clones!$B75</f>
        <v>1750669785.2</v>
      </c>
      <c r="D75" s="5">
        <f>clones!G75*clones!$B75</f>
        <v>128825121.60000001</v>
      </c>
      <c r="E75" s="5">
        <f>clones!H75*clones!$B75</f>
        <v>523252654.40000004</v>
      </c>
      <c r="F75" s="5">
        <f>clones!I75*clones!$B75</f>
        <v>1260418628</v>
      </c>
      <c r="G75" s="5">
        <f>clones!J75*clones!$B75</f>
        <v>1885856641.2</v>
      </c>
      <c r="H75" s="5">
        <f>clones!K75*clones!$B75</f>
        <v>1787249758</v>
      </c>
    </row>
    <row r="76" spans="1:8">
      <c r="A76" s="5">
        <f>clones!D76*clones!$B76</f>
        <v>-125898496</v>
      </c>
      <c r="B76" s="5">
        <f>clones!E76*clones!$B76</f>
        <v>-306090718.39999998</v>
      </c>
      <c r="C76" s="5">
        <f>clones!F76*clones!$B76</f>
        <v>1732284618.3999999</v>
      </c>
      <c r="D76" s="5">
        <f>clones!G76*clones!$B76</f>
        <v>127472227.2</v>
      </c>
      <c r="E76" s="5">
        <f>clones!H76*clones!$B76</f>
        <v>517757564.80000001</v>
      </c>
      <c r="F76" s="5">
        <f>clones!I76*clones!$B76</f>
        <v>1247181976</v>
      </c>
      <c r="G76" s="5">
        <f>clones!J76*clones!$B76</f>
        <v>1866051770.3999999</v>
      </c>
      <c r="H76" s="5">
        <f>clones!K76*clones!$B76</f>
        <v>1768480436</v>
      </c>
    </row>
    <row r="77" spans="1:8">
      <c r="A77" s="5">
        <f>clones!D77*clones!$B77</f>
        <v>-125320576</v>
      </c>
      <c r="B77" s="5">
        <f>clones!E77*clones!$B77</f>
        <v>-304685650.39999998</v>
      </c>
      <c r="C77" s="5">
        <f>clones!F77*clones!$B77</f>
        <v>1724332800.3999999</v>
      </c>
      <c r="D77" s="5">
        <f>clones!G77*clones!$B77</f>
        <v>126887083.2</v>
      </c>
      <c r="E77" s="5">
        <f>clones!H77*clones!$B77</f>
        <v>515380868.80000001</v>
      </c>
      <c r="F77" s="5">
        <f>clones!I77*clones!$B77</f>
        <v>1241456956</v>
      </c>
      <c r="G77" s="5">
        <f>clones!J77*clones!$B77</f>
        <v>1857485912.3999999</v>
      </c>
      <c r="H77" s="5">
        <f>clones!K77*clones!$B77</f>
        <v>1760362466</v>
      </c>
    </row>
    <row r="78" spans="1:8">
      <c r="A78" s="5">
        <f>clones!D78*clones!$B78</f>
        <v>-124759168</v>
      </c>
      <c r="B78" s="5">
        <f>clones!E78*clones!$B78</f>
        <v>-303320727.20000005</v>
      </c>
      <c r="C78" s="5">
        <f>clones!F78*clones!$B78</f>
        <v>1716608177.2</v>
      </c>
      <c r="D78" s="5">
        <f>clones!G78*clones!$B78</f>
        <v>126318657.60000001</v>
      </c>
      <c r="E78" s="5">
        <f>clones!H78*clones!$B78</f>
        <v>513072078.40000004</v>
      </c>
      <c r="F78" s="5">
        <f>clones!I78*clones!$B78</f>
        <v>1235895508</v>
      </c>
      <c r="G78" s="5">
        <f>clones!J78*clones!$B78</f>
        <v>1849164793.2</v>
      </c>
      <c r="H78" s="5">
        <f>clones!K78*clones!$B78</f>
        <v>1752476438</v>
      </c>
    </row>
    <row r="79" spans="1:8">
      <c r="A79" s="5">
        <f>clones!D79*clones!$B79</f>
        <v>-124736896</v>
      </c>
      <c r="B79" s="5">
        <f>clones!E79*clones!$B79</f>
        <v>-303266578.39999998</v>
      </c>
      <c r="C79" s="5">
        <f>clones!F79*clones!$B79</f>
        <v>1716301728.3999999</v>
      </c>
      <c r="D79" s="5">
        <f>clones!G79*clones!$B79</f>
        <v>126296107.2</v>
      </c>
      <c r="E79" s="5">
        <f>clones!H79*clones!$B79</f>
        <v>512980484.80000001</v>
      </c>
      <c r="F79" s="5">
        <f>clones!I79*clones!$B79</f>
        <v>1235674876</v>
      </c>
      <c r="G79" s="5">
        <f>clones!J79*clones!$B79</f>
        <v>1848834680.3999999</v>
      </c>
      <c r="H79" s="5">
        <f>clones!K79*clones!$B79</f>
        <v>1752163586</v>
      </c>
    </row>
    <row r="80" spans="1:8">
      <c r="A80" s="5">
        <f>clones!D80*clones!$B80</f>
        <v>-124238720</v>
      </c>
      <c r="B80" s="5">
        <f>clones!E80*clones!$B80</f>
        <v>-302055388</v>
      </c>
      <c r="C80" s="5">
        <f>clones!F80*clones!$B80</f>
        <v>1709447138</v>
      </c>
      <c r="D80" s="5">
        <f>clones!G80*clones!$B80</f>
        <v>125791704</v>
      </c>
      <c r="E80" s="5">
        <f>clones!H80*clones!$B80</f>
        <v>510931736</v>
      </c>
      <c r="F80" s="5">
        <f>clones!I80*clones!$B80</f>
        <v>1230739820</v>
      </c>
      <c r="G80" s="5">
        <f>clones!J80*clones!$B80</f>
        <v>1841450778</v>
      </c>
      <c r="H80" s="5">
        <f>clones!K80*clones!$B80</f>
        <v>1745165770</v>
      </c>
    </row>
    <row r="81" spans="1:8">
      <c r="A81" s="5">
        <f>clones!D81*clones!$B81</f>
        <v>-123841664</v>
      </c>
      <c r="B81" s="5">
        <f>clones!E81*clones!$B81</f>
        <v>-301090045.60000002</v>
      </c>
      <c r="C81" s="5">
        <f>clones!F81*clones!$B81</f>
        <v>1703983895.6000001</v>
      </c>
      <c r="D81" s="5">
        <f>clones!G81*clones!$B81</f>
        <v>125389684.8</v>
      </c>
      <c r="E81" s="5">
        <f>clones!H81*clones!$B81</f>
        <v>509298843.19999999</v>
      </c>
      <c r="F81" s="5">
        <f>clones!I81*clones!$B81</f>
        <v>1226806484</v>
      </c>
      <c r="G81" s="5">
        <f>clones!J81*clones!$B81</f>
        <v>1835565663.6000001</v>
      </c>
      <c r="H81" s="5">
        <f>clones!K81*clones!$B81</f>
        <v>1739588374</v>
      </c>
    </row>
    <row r="82" spans="1:8">
      <c r="A82" s="5">
        <f>clones!D82*clones!$B82</f>
        <v>-123046016</v>
      </c>
      <c r="B82" s="5">
        <f>clones!E82*clones!$B82</f>
        <v>-299155626.39999998</v>
      </c>
      <c r="C82" s="5">
        <f>clones!F82*clones!$B82</f>
        <v>1693036276.3999999</v>
      </c>
      <c r="D82" s="5">
        <f>clones!G82*clones!$B82</f>
        <v>124584091.2</v>
      </c>
      <c r="E82" s="5">
        <f>clones!H82*clones!$B82</f>
        <v>506026740.80000001</v>
      </c>
      <c r="F82" s="5">
        <f>clones!I82*clones!$B82</f>
        <v>1218924596</v>
      </c>
      <c r="G82" s="5">
        <f>clones!J82*clones!$B82</f>
        <v>1823772668.3999999</v>
      </c>
      <c r="H82" s="5">
        <f>clones!K82*clones!$B82</f>
        <v>1728412006</v>
      </c>
    </row>
    <row r="83" spans="1:8">
      <c r="A83" s="5">
        <f>clones!D83*clones!$B83</f>
        <v>-122868224</v>
      </c>
      <c r="B83" s="5">
        <f>clones!E83*clones!$B83</f>
        <v>-298723369.60000002</v>
      </c>
      <c r="C83" s="5">
        <f>clones!F83*clones!$B83</f>
        <v>1690589969.6000001</v>
      </c>
      <c r="D83" s="5">
        <f>clones!G83*clones!$B83</f>
        <v>124404076.8</v>
      </c>
      <c r="E83" s="5">
        <f>clones!H83*clones!$B83</f>
        <v>505295571.19999999</v>
      </c>
      <c r="F83" s="5">
        <f>clones!I83*clones!$B83</f>
        <v>1217163344</v>
      </c>
      <c r="G83" s="5">
        <f>clones!J83*clones!$B83</f>
        <v>1821137457.6000001</v>
      </c>
      <c r="H83" s="5">
        <f>clones!K83*clones!$B83</f>
        <v>1725914584</v>
      </c>
    </row>
    <row r="84" spans="1:8">
      <c r="A84" s="5">
        <f>clones!D84*clones!$B84</f>
        <v>-121399040</v>
      </c>
      <c r="B84" s="5">
        <f>clones!E84*clones!$B84</f>
        <v>-295151416</v>
      </c>
      <c r="C84" s="5">
        <f>clones!F84*clones!$B84</f>
        <v>1670374916</v>
      </c>
      <c r="D84" s="5">
        <f>clones!G84*clones!$B84</f>
        <v>122916528</v>
      </c>
      <c r="E84" s="5">
        <f>clones!H84*clones!$B84</f>
        <v>499253552</v>
      </c>
      <c r="F84" s="5">
        <f>clones!I84*clones!$B84</f>
        <v>1202609240</v>
      </c>
      <c r="G84" s="5">
        <f>clones!J84*clones!$B84</f>
        <v>1799361396</v>
      </c>
      <c r="H84" s="5">
        <f>clones!K84*clones!$B84</f>
        <v>1705277140</v>
      </c>
    </row>
    <row r="85" spans="1:8">
      <c r="A85" s="5">
        <f>clones!D85*clones!$B85</f>
        <v>-120140416</v>
      </c>
      <c r="B85" s="5">
        <f>clones!E85*clones!$B85</f>
        <v>-292091386.39999998</v>
      </c>
      <c r="C85" s="5">
        <f>clones!F85*clones!$B85</f>
        <v>1653057036.3999999</v>
      </c>
      <c r="D85" s="5">
        <f>clones!G85*clones!$B85</f>
        <v>121642171.2</v>
      </c>
      <c r="E85" s="5">
        <f>clones!H85*clones!$B85</f>
        <v>494077460.80000001</v>
      </c>
      <c r="F85" s="5">
        <f>clones!I85*clones!$B85</f>
        <v>1190140996</v>
      </c>
      <c r="G85" s="5">
        <f>clones!J85*clones!$B85</f>
        <v>1780706228.3999999</v>
      </c>
      <c r="H85" s="5">
        <f>clones!K85*clones!$B85</f>
        <v>1687597406</v>
      </c>
    </row>
    <row r="86" spans="1:8">
      <c r="A86" s="5">
        <f>clones!D86*clones!$B86</f>
        <v>-116976384</v>
      </c>
      <c r="B86" s="5">
        <f>clones!E86*clones!$B86</f>
        <v>-284398833.60000002</v>
      </c>
      <c r="C86" s="5">
        <f>clones!F86*clones!$B86</f>
        <v>1609521933.6000001</v>
      </c>
      <c r="D86" s="5">
        <f>clones!G86*clones!$B86</f>
        <v>118438588.8</v>
      </c>
      <c r="E86" s="5">
        <f>clones!H86*clones!$B86</f>
        <v>481065379.19999999</v>
      </c>
      <c r="F86" s="5">
        <f>clones!I86*clones!$B86</f>
        <v>1158797304</v>
      </c>
      <c r="G86" s="5">
        <f>clones!J86*clones!$B86</f>
        <v>1733809341.6000001</v>
      </c>
      <c r="H86" s="5">
        <f>clones!K86*clones!$B86</f>
        <v>1643152644</v>
      </c>
    </row>
    <row r="87" spans="1:8">
      <c r="A87" s="5">
        <f>clones!D87*clones!$B87</f>
        <v>-115269376</v>
      </c>
      <c r="B87" s="5">
        <f>clones!E87*clones!$B87</f>
        <v>-280248670.39999998</v>
      </c>
      <c r="C87" s="5">
        <f>clones!F87*clones!$B87</f>
        <v>1586034570.3999999</v>
      </c>
      <c r="D87" s="5">
        <f>clones!G87*clones!$B87</f>
        <v>116710243.2</v>
      </c>
      <c r="E87" s="5">
        <f>clones!H87*clones!$B87</f>
        <v>474045308.80000001</v>
      </c>
      <c r="F87" s="5">
        <f>clones!I87*clones!$B87</f>
        <v>1141887256</v>
      </c>
      <c r="G87" s="5">
        <f>clones!J87*clones!$B87</f>
        <v>1708508282.3999999</v>
      </c>
      <c r="H87" s="5">
        <f>clones!K87*clones!$B87</f>
        <v>1619174516</v>
      </c>
    </row>
    <row r="88" spans="1:8">
      <c r="A88" s="5">
        <f>clones!D88*clones!$B88</f>
        <v>-113634304</v>
      </c>
      <c r="B88" s="5">
        <f>clones!E88*clones!$B88</f>
        <v>-276273401.60000002</v>
      </c>
      <c r="C88" s="5">
        <f>clones!F88*clones!$B88</f>
        <v>1563537001.6000001</v>
      </c>
      <c r="D88" s="5">
        <f>clones!G88*clones!$B88</f>
        <v>115054732.8</v>
      </c>
      <c r="E88" s="5">
        <f>clones!H88*clones!$B88</f>
        <v>467321075.19999999</v>
      </c>
      <c r="F88" s="5">
        <f>clones!I88*clones!$B88</f>
        <v>1125689824</v>
      </c>
      <c r="G88" s="5">
        <f>clones!J88*clones!$B88</f>
        <v>1684273449.6000001</v>
      </c>
      <c r="H88" s="5">
        <f>clones!K88*clones!$B88</f>
        <v>1596206864</v>
      </c>
    </row>
    <row r="89" spans="1:8">
      <c r="A89" s="5">
        <f>clones!D89*clones!$B89</f>
        <v>-113228800</v>
      </c>
      <c r="B89" s="5">
        <f>clones!E89*clones!$B89</f>
        <v>-275287520</v>
      </c>
      <c r="C89" s="5">
        <f>clones!F89*clones!$B89</f>
        <v>1557957520</v>
      </c>
      <c r="D89" s="5">
        <f>clones!G89*clones!$B89</f>
        <v>114644160</v>
      </c>
      <c r="E89" s="5">
        <f>clones!H89*clones!$B89</f>
        <v>465653440</v>
      </c>
      <c r="F89" s="5">
        <f>clones!I89*clones!$B89</f>
        <v>1121672800</v>
      </c>
      <c r="G89" s="5">
        <f>clones!J89*clones!$B89</f>
        <v>1678263120</v>
      </c>
      <c r="H89" s="5">
        <f>clones!K89*clones!$B89</f>
        <v>1590510800</v>
      </c>
    </row>
    <row r="90" spans="1:8">
      <c r="A90" s="5">
        <f>clones!D90*clones!$B90</f>
        <v>-113154688</v>
      </c>
      <c r="B90" s="5">
        <f>clones!E90*clones!$B90</f>
        <v>-275107335.20000005</v>
      </c>
      <c r="C90" s="5">
        <f>clones!F90*clones!$B90</f>
        <v>1556937785.2</v>
      </c>
      <c r="D90" s="5">
        <f>clones!G90*clones!$B90</f>
        <v>114569121.60000001</v>
      </c>
      <c r="E90" s="5">
        <f>clones!H90*clones!$B90</f>
        <v>465348654.40000004</v>
      </c>
      <c r="F90" s="5">
        <f>clones!I90*clones!$B90</f>
        <v>1120938628</v>
      </c>
      <c r="G90" s="5">
        <f>clones!J90*clones!$B90</f>
        <v>1677164641.2</v>
      </c>
      <c r="H90" s="5">
        <f>clones!K90*clones!$B90</f>
        <v>1589469758</v>
      </c>
    </row>
    <row r="91" spans="1:8">
      <c r="A91" s="5">
        <f>clones!D91*clones!$B91</f>
        <v>-112032128</v>
      </c>
      <c r="B91" s="5">
        <f>clones!E91*clones!$B91</f>
        <v>-272378111.20000005</v>
      </c>
      <c r="C91" s="5">
        <f>clones!F91*clones!$B91</f>
        <v>1541492061.2</v>
      </c>
      <c r="D91" s="5">
        <f>clones!G91*clones!$B91</f>
        <v>113432529.60000001</v>
      </c>
      <c r="E91" s="5">
        <f>clones!H91*clones!$B91</f>
        <v>460732126.40000004</v>
      </c>
      <c r="F91" s="5">
        <f>clones!I91*clones!$B91</f>
        <v>1109818268</v>
      </c>
      <c r="G91" s="5">
        <f>clones!J91*clones!$B91</f>
        <v>1660526197.2</v>
      </c>
      <c r="H91" s="5">
        <f>clones!K91*clones!$B91</f>
        <v>1573701298</v>
      </c>
    </row>
    <row r="92" spans="1:8">
      <c r="A92" s="5">
        <f>clones!D92*clones!$B92</f>
        <v>-108417920</v>
      </c>
      <c r="B92" s="5">
        <f>clones!E92*clones!$B92</f>
        <v>-263591068</v>
      </c>
      <c r="C92" s="5">
        <f>clones!F92*clones!$B92</f>
        <v>1491762818</v>
      </c>
      <c r="D92" s="5">
        <f>clones!G92*clones!$B92</f>
        <v>109773144</v>
      </c>
      <c r="E92" s="5">
        <f>clones!H92*clones!$B92</f>
        <v>445868696</v>
      </c>
      <c r="F92" s="5">
        <f>clones!I92*clones!$B92</f>
        <v>1074015020</v>
      </c>
      <c r="G92" s="5">
        <f>clones!J92*clones!$B92</f>
        <v>1606956858</v>
      </c>
      <c r="H92" s="5">
        <f>clones!K92*clones!$B92</f>
        <v>1522932970</v>
      </c>
    </row>
    <row r="93" spans="1:8">
      <c r="A93" s="5">
        <f>clones!D93*clones!$B93</f>
        <v>-107894144</v>
      </c>
      <c r="B93" s="5">
        <f>clones!E93*clones!$B93</f>
        <v>-262317637.60000002</v>
      </c>
      <c r="C93" s="5">
        <f>clones!F93*clones!$B93</f>
        <v>1484555987.6000001</v>
      </c>
      <c r="D93" s="5">
        <f>clones!G93*clones!$B93</f>
        <v>109242820.8</v>
      </c>
      <c r="E93" s="5">
        <f>clones!H93*clones!$B93</f>
        <v>443714667.19999999</v>
      </c>
      <c r="F93" s="5">
        <f>clones!I93*clones!$B93</f>
        <v>1068826364</v>
      </c>
      <c r="G93" s="5">
        <f>clones!J93*clones!$B93</f>
        <v>1599193515.6000001</v>
      </c>
      <c r="H93" s="5">
        <f>clones!K93*clones!$B93</f>
        <v>1515575554</v>
      </c>
    </row>
    <row r="94" spans="1:8">
      <c r="A94" s="5">
        <f>clones!D94*clones!$B94</f>
        <v>-105875328</v>
      </c>
      <c r="B94" s="5">
        <f>clones!E94*clones!$B94</f>
        <v>-257409391.20000002</v>
      </c>
      <c r="C94" s="5">
        <f>clones!F94*clones!$B94</f>
        <v>1456778341.2</v>
      </c>
      <c r="D94" s="5">
        <f>clones!G94*clones!$B94</f>
        <v>107198769.60000001</v>
      </c>
      <c r="E94" s="5">
        <f>clones!H94*clones!$B94</f>
        <v>435412286.40000004</v>
      </c>
      <c r="F94" s="5">
        <f>clones!I94*clones!$B94</f>
        <v>1048827468.0000001</v>
      </c>
      <c r="G94" s="5">
        <f>clones!J94*clones!$B94</f>
        <v>1569270877.2</v>
      </c>
      <c r="H94" s="5">
        <f>clones!K94*clones!$B94</f>
        <v>1487217498</v>
      </c>
    </row>
    <row r="95" spans="1:8">
      <c r="A95" s="5">
        <f>clones!D95*clones!$B95</f>
        <v>-105625472</v>
      </c>
      <c r="B95" s="5">
        <f>clones!E95*clones!$B95</f>
        <v>-256801928.79999998</v>
      </c>
      <c r="C95" s="5">
        <f>clones!F95*clones!$B95</f>
        <v>1453340478.8</v>
      </c>
      <c r="D95" s="5">
        <f>clones!G95*clones!$B95</f>
        <v>106945790.39999999</v>
      </c>
      <c r="E95" s="5">
        <f>clones!H95*clones!$B95</f>
        <v>434384753.59999996</v>
      </c>
      <c r="F95" s="5">
        <f>clones!I95*clones!$B95</f>
        <v>1046352331.9999999</v>
      </c>
      <c r="G95" s="5">
        <f>clones!J95*clones!$B95</f>
        <v>1565567542.8</v>
      </c>
      <c r="H95" s="5">
        <f>clones!K95*clones!$B95</f>
        <v>1483707802</v>
      </c>
    </row>
    <row r="96" spans="1:8">
      <c r="A96" s="5">
        <f>clones!D96*clones!$B96</f>
        <v>-105292800</v>
      </c>
      <c r="B96" s="5">
        <f>clones!E96*clones!$B96</f>
        <v>-255993120</v>
      </c>
      <c r="C96" s="5">
        <f>clones!F96*clones!$B96</f>
        <v>1448763120</v>
      </c>
      <c r="D96" s="5">
        <f>clones!G96*clones!$B96</f>
        <v>106608960</v>
      </c>
      <c r="E96" s="5">
        <f>clones!H96*clones!$B96</f>
        <v>433016640</v>
      </c>
      <c r="F96" s="5">
        <f>clones!I96*clones!$B96</f>
        <v>1043056800</v>
      </c>
      <c r="G96" s="5">
        <f>clones!J96*clones!$B96</f>
        <v>1560636720</v>
      </c>
      <c r="H96" s="5">
        <f>clones!K96*clones!$B96</f>
        <v>1479034800</v>
      </c>
    </row>
    <row r="97" spans="1:8">
      <c r="A97" s="5">
        <f>clones!D97*clones!$B97</f>
        <v>-103814144</v>
      </c>
      <c r="B97" s="5">
        <f>clones!E97*clones!$B97</f>
        <v>-252398137.60000002</v>
      </c>
      <c r="C97" s="5">
        <f>clones!F97*clones!$B97</f>
        <v>1428417737.6000001</v>
      </c>
      <c r="D97" s="5">
        <f>clones!G97*clones!$B97</f>
        <v>105111820.8</v>
      </c>
      <c r="E97" s="5">
        <f>clones!H97*clones!$B97</f>
        <v>426935667.19999999</v>
      </c>
      <c r="F97" s="5">
        <f>clones!I97*clones!$B97</f>
        <v>1028408864</v>
      </c>
      <c r="G97" s="5">
        <f>clones!J97*clones!$B97</f>
        <v>1538720265.6000001</v>
      </c>
      <c r="H97" s="5">
        <f>clones!K97*clones!$B97</f>
        <v>1458264304</v>
      </c>
    </row>
    <row r="98" spans="1:8">
      <c r="A98" s="5">
        <f>clones!D98*clones!$B98</f>
        <v>-102787456</v>
      </c>
      <c r="B98" s="5">
        <f>clones!E98*clones!$B98</f>
        <v>-249902002.39999998</v>
      </c>
      <c r="C98" s="5">
        <f>clones!F98*clones!$B98</f>
        <v>1414291152.3999999</v>
      </c>
      <c r="D98" s="5">
        <f>clones!G98*clones!$B98</f>
        <v>104072299.2</v>
      </c>
      <c r="E98" s="5">
        <f>clones!H98*clones!$B98</f>
        <v>422713412.80000001</v>
      </c>
      <c r="F98" s="5">
        <f>clones!I98*clones!$B98</f>
        <v>1018238236</v>
      </c>
      <c r="G98" s="5">
        <f>clones!J98*clones!$B98</f>
        <v>1523502824.3999999</v>
      </c>
      <c r="H98" s="5">
        <f>clones!K98*clones!$B98</f>
        <v>1443842546</v>
      </c>
    </row>
    <row r="99" spans="1:8">
      <c r="A99" s="5">
        <f>clones!D99*clones!$B99</f>
        <v>-102308352</v>
      </c>
      <c r="B99" s="5">
        <f>clones!E99*clones!$B99</f>
        <v>-248737180.79999998</v>
      </c>
      <c r="C99" s="5">
        <f>clones!F99*clones!$B99</f>
        <v>1407698980.8</v>
      </c>
      <c r="D99" s="5">
        <f>clones!G99*clones!$B99</f>
        <v>103587206.39999999</v>
      </c>
      <c r="E99" s="5">
        <f>clones!H99*clones!$B99</f>
        <v>420743097.59999996</v>
      </c>
      <c r="F99" s="5">
        <f>clones!I99*clones!$B99</f>
        <v>1013492111.9999999</v>
      </c>
      <c r="G99" s="5">
        <f>clones!J99*clones!$B99</f>
        <v>1516401604.8</v>
      </c>
      <c r="H99" s="5">
        <f>clones!K99*clones!$B99</f>
        <v>1437112632</v>
      </c>
    </row>
    <row r="100" spans="1:8">
      <c r="A100" s="5">
        <f>clones!D100*clones!$B100</f>
        <v>-101906048</v>
      </c>
      <c r="B100" s="5">
        <f>clones!E100*clones!$B100</f>
        <v>-247759079.20000002</v>
      </c>
      <c r="C100" s="5">
        <f>clones!F100*clones!$B100</f>
        <v>1402163529.2</v>
      </c>
      <c r="D100" s="5">
        <f>clones!G100*clones!$B100</f>
        <v>103179873.60000001</v>
      </c>
      <c r="E100" s="5">
        <f>clones!H100*clones!$B100</f>
        <v>419088622.40000004</v>
      </c>
      <c r="F100" s="5">
        <f>clones!I100*clones!$B100</f>
        <v>1009506788.0000001</v>
      </c>
      <c r="G100" s="5">
        <f>clones!J100*clones!$B100</f>
        <v>1510438705.2</v>
      </c>
      <c r="H100" s="5">
        <f>clones!K100*clones!$B100</f>
        <v>1431461518</v>
      </c>
    </row>
    <row r="101" spans="1:8">
      <c r="A101" s="5">
        <f>clones!D101*clones!$B101</f>
        <v>-101238528</v>
      </c>
      <c r="B101" s="5">
        <f>clones!E101*clones!$B101</f>
        <v>-246136171.20000002</v>
      </c>
      <c r="C101" s="5">
        <f>clones!F101*clones!$B101</f>
        <v>1392978871.2</v>
      </c>
      <c r="D101" s="5">
        <f>clones!G101*clones!$B101</f>
        <v>102504009.60000001</v>
      </c>
      <c r="E101" s="5">
        <f>clones!H101*clones!$B101</f>
        <v>416343446.40000004</v>
      </c>
      <c r="F101" s="5">
        <f>clones!I101*clones!$B101</f>
        <v>1002894168.0000001</v>
      </c>
      <c r="G101" s="5">
        <f>clones!J101*clones!$B101</f>
        <v>1500544807.2</v>
      </c>
      <c r="H101" s="5">
        <f>clones!K101*clones!$B101</f>
        <v>1422084948</v>
      </c>
    </row>
    <row r="102" spans="1:8">
      <c r="A102" s="5">
        <f>clones!D102*clones!$B102</f>
        <v>-99484800</v>
      </c>
      <c r="B102" s="5">
        <f>clones!E102*clones!$B102</f>
        <v>-241872420</v>
      </c>
      <c r="C102" s="5">
        <f>clones!F102*clones!$B102</f>
        <v>1368848670</v>
      </c>
      <c r="D102" s="5">
        <f>clones!G102*clones!$B102</f>
        <v>100728360</v>
      </c>
      <c r="E102" s="5">
        <f>clones!H102*clones!$B102</f>
        <v>409131240</v>
      </c>
      <c r="F102" s="5">
        <f>clones!I102*clones!$B102</f>
        <v>985521300</v>
      </c>
      <c r="G102" s="5">
        <f>clones!J102*clones!$B102</f>
        <v>1474551270</v>
      </c>
      <c r="H102" s="5">
        <f>clones!K102*clones!$B102</f>
        <v>1397450550</v>
      </c>
    </row>
    <row r="103" spans="1:8">
      <c r="A103" s="5">
        <f>clones!D103*clones!$B103</f>
        <v>-99338624</v>
      </c>
      <c r="B103" s="5">
        <f>clones!E103*clones!$B103</f>
        <v>-241517029.60000002</v>
      </c>
      <c r="C103" s="5">
        <f>clones!F103*clones!$B103</f>
        <v>1366837379.6000001</v>
      </c>
      <c r="D103" s="5">
        <f>clones!G103*clones!$B103</f>
        <v>100580356.8</v>
      </c>
      <c r="E103" s="5">
        <f>clones!H103*clones!$B103</f>
        <v>408530091.19999999</v>
      </c>
      <c r="F103" s="5">
        <f>clones!I103*clones!$B103</f>
        <v>984073244</v>
      </c>
      <c r="G103" s="5">
        <f>clones!J103*clones!$B103</f>
        <v>1472384667.6000001</v>
      </c>
      <c r="H103" s="5">
        <f>clones!K103*clones!$B103</f>
        <v>1395397234</v>
      </c>
    </row>
    <row r="104" spans="1:8">
      <c r="A104" s="5">
        <f>clones!D104*clones!$B104</f>
        <v>-99321728</v>
      </c>
      <c r="B104" s="5">
        <f>clones!E104*clones!$B104</f>
        <v>-241475951.20000002</v>
      </c>
      <c r="C104" s="5">
        <f>clones!F104*clones!$B104</f>
        <v>1366604901.2</v>
      </c>
      <c r="D104" s="5">
        <f>clones!G104*clones!$B104</f>
        <v>100563249.60000001</v>
      </c>
      <c r="E104" s="5">
        <f>clones!H104*clones!$B104</f>
        <v>408460606.40000004</v>
      </c>
      <c r="F104" s="5">
        <f>clones!I104*clones!$B104</f>
        <v>983905868.00000012</v>
      </c>
      <c r="G104" s="5">
        <f>clones!J104*clones!$B104</f>
        <v>1472134237.2</v>
      </c>
      <c r="H104" s="5">
        <f>clones!K104*clones!$B104</f>
        <v>1395159898</v>
      </c>
    </row>
    <row r="105" spans="1:8">
      <c r="A105" s="5">
        <f>clones!D105*clones!$B105</f>
        <v>-97893632</v>
      </c>
      <c r="B105" s="5">
        <f>clones!E105*clones!$B105</f>
        <v>-238003892.79999998</v>
      </c>
      <c r="C105" s="5">
        <f>clones!F105*clones!$B105</f>
        <v>1346955192.8</v>
      </c>
      <c r="D105" s="5">
        <f>clones!G105*clones!$B105</f>
        <v>99117302.399999991</v>
      </c>
      <c r="E105" s="5">
        <f>clones!H105*clones!$B105</f>
        <v>402587561.59999996</v>
      </c>
      <c r="F105" s="5">
        <f>clones!I105*clones!$B105</f>
        <v>969758791.99999988</v>
      </c>
      <c r="G105" s="5">
        <f>clones!J105*clones!$B105</f>
        <v>1450967176.8</v>
      </c>
      <c r="H105" s="5">
        <f>clones!K105*clones!$B105</f>
        <v>1375099612</v>
      </c>
    </row>
    <row r="106" spans="1:8">
      <c r="A106" s="5">
        <f>clones!D106*clones!$B106</f>
        <v>-96498688</v>
      </c>
      <c r="B106" s="5">
        <f>clones!E106*clones!$B106</f>
        <v>-234612435.20000002</v>
      </c>
      <c r="C106" s="5">
        <f>clones!F106*clones!$B106</f>
        <v>1327761635.2</v>
      </c>
      <c r="D106" s="5">
        <f>clones!G106*clones!$B106</f>
        <v>97704921.600000009</v>
      </c>
      <c r="E106" s="5">
        <f>clones!H106*clones!$B106</f>
        <v>396850854.40000004</v>
      </c>
      <c r="F106" s="5">
        <f>clones!I106*clones!$B106</f>
        <v>955940128.00000012</v>
      </c>
      <c r="G106" s="5">
        <f>clones!J106*clones!$B106</f>
        <v>1430291491.2</v>
      </c>
      <c r="H106" s="5">
        <f>clones!K106*clones!$B106</f>
        <v>1355505008</v>
      </c>
    </row>
    <row r="107" spans="1:8">
      <c r="A107" s="5">
        <f>clones!D107*clones!$B107</f>
        <v>-96014848</v>
      </c>
      <c r="B107" s="5">
        <f>clones!E107*clones!$B107</f>
        <v>-233436099.20000002</v>
      </c>
      <c r="C107" s="5">
        <f>clones!F107*clones!$B107</f>
        <v>1321104299.2</v>
      </c>
      <c r="D107" s="5">
        <f>clones!G107*clones!$B107</f>
        <v>97215033.600000009</v>
      </c>
      <c r="E107" s="5">
        <f>clones!H107*clones!$B107</f>
        <v>394861062.40000004</v>
      </c>
      <c r="F107" s="5">
        <f>clones!I107*clones!$B107</f>
        <v>951147088.00000012</v>
      </c>
      <c r="G107" s="5">
        <f>clones!J107*clones!$B107</f>
        <v>1423120075.2</v>
      </c>
      <c r="H107" s="5">
        <f>clones!K107*clones!$B107</f>
        <v>1348708568</v>
      </c>
    </row>
    <row r="108" spans="1:8">
      <c r="A108" s="5">
        <f>clones!D108*clones!$B108</f>
        <v>-95029504</v>
      </c>
      <c r="B108" s="5">
        <f>clones!E108*clones!$B108</f>
        <v>-231040481.60000002</v>
      </c>
      <c r="C108" s="5">
        <f>clones!F108*clones!$B108</f>
        <v>1307546581.6000001</v>
      </c>
      <c r="D108" s="5">
        <f>clones!G108*clones!$B108</f>
        <v>96217372.799999997</v>
      </c>
      <c r="E108" s="5">
        <f>clones!H108*clones!$B108</f>
        <v>390808835.19999999</v>
      </c>
      <c r="F108" s="5">
        <f>clones!I108*clones!$B108</f>
        <v>941386024</v>
      </c>
      <c r="G108" s="5">
        <f>clones!J108*clones!$B108</f>
        <v>1408515429.6000001</v>
      </c>
      <c r="H108" s="5">
        <f>clones!K108*clones!$B108</f>
        <v>1334867564</v>
      </c>
    </row>
    <row r="109" spans="1:8">
      <c r="A109" s="5">
        <f>clones!D109*clones!$B109</f>
        <v>-90923392</v>
      </c>
      <c r="B109" s="5">
        <f>clones!E109*clones!$B109</f>
        <v>-221057496.79999998</v>
      </c>
      <c r="C109" s="5">
        <f>clones!F109*clones!$B109</f>
        <v>1251049046.8</v>
      </c>
      <c r="D109" s="5">
        <f>clones!G109*clones!$B109</f>
        <v>92059934.399999991</v>
      </c>
      <c r="E109" s="5">
        <f>clones!H109*clones!$B109</f>
        <v>373922449.59999996</v>
      </c>
      <c r="F109" s="5">
        <f>clones!I109*clones!$B109</f>
        <v>900709851.99999988</v>
      </c>
      <c r="G109" s="5">
        <f>clones!J109*clones!$B109</f>
        <v>1347655150.8</v>
      </c>
      <c r="H109" s="5">
        <f>clones!K109*clones!$B109</f>
        <v>1277189522</v>
      </c>
    </row>
    <row r="110" spans="1:8">
      <c r="A110" s="5">
        <f>clones!D110*clones!$B110</f>
        <v>-90262784</v>
      </c>
      <c r="B110" s="5">
        <f>clones!E110*clones!$B110</f>
        <v>-219451393.60000002</v>
      </c>
      <c r="C110" s="5">
        <f>clones!F110*clones!$B110</f>
        <v>1241959493.6000001</v>
      </c>
      <c r="D110" s="5">
        <f>clones!G110*clones!$B110</f>
        <v>91391068.799999997</v>
      </c>
      <c r="E110" s="5">
        <f>clones!H110*clones!$B110</f>
        <v>371205699.19999999</v>
      </c>
      <c r="F110" s="5">
        <f>clones!I110*clones!$B110</f>
        <v>894165704</v>
      </c>
      <c r="G110" s="5">
        <f>clones!J110*clones!$B110</f>
        <v>1337863701.6000001</v>
      </c>
      <c r="H110" s="5">
        <f>clones!K110*clones!$B110</f>
        <v>1267910044</v>
      </c>
    </row>
    <row r="111" spans="1:8">
      <c r="A111" s="5">
        <f>clones!D111*clones!$B111</f>
        <v>-88742400</v>
      </c>
      <c r="B111" s="5">
        <f>clones!E111*clones!$B111</f>
        <v>-215754960</v>
      </c>
      <c r="C111" s="5">
        <f>clones!F111*clones!$B111</f>
        <v>1221039960</v>
      </c>
      <c r="D111" s="5">
        <f>clones!G111*clones!$B111</f>
        <v>89851680</v>
      </c>
      <c r="E111" s="5">
        <f>clones!H111*clones!$B111</f>
        <v>364953120</v>
      </c>
      <c r="F111" s="5">
        <f>clones!I111*clones!$B111</f>
        <v>879104400</v>
      </c>
      <c r="G111" s="5">
        <f>clones!J111*clones!$B111</f>
        <v>1315328760</v>
      </c>
      <c r="H111" s="5">
        <f>clones!K111*clones!$B111</f>
        <v>1246553400</v>
      </c>
    </row>
    <row r="112" spans="1:8">
      <c r="A112" s="5">
        <f>clones!D112*clones!$B112</f>
        <v>-87646592</v>
      </c>
      <c r="B112" s="5">
        <f>clones!E112*clones!$B112</f>
        <v>-213090776.79999998</v>
      </c>
      <c r="C112" s="5">
        <f>clones!F112*clones!$B112</f>
        <v>1205962326.8</v>
      </c>
      <c r="D112" s="5">
        <f>clones!G112*clones!$B112</f>
        <v>88742174.399999991</v>
      </c>
      <c r="E112" s="5">
        <f>clones!H112*clones!$B112</f>
        <v>360446609.59999996</v>
      </c>
      <c r="F112" s="5">
        <f>clones!I112*clones!$B112</f>
        <v>868249051.99999988</v>
      </c>
      <c r="G112" s="5">
        <f>clones!J112*clones!$B112</f>
        <v>1299086830.8</v>
      </c>
      <c r="H112" s="5">
        <f>clones!K112*clones!$B112</f>
        <v>1231160722</v>
      </c>
    </row>
    <row r="113" spans="1:8">
      <c r="A113" s="5">
        <f>clones!D113*clones!$B113</f>
        <v>-86602240</v>
      </c>
      <c r="B113" s="5">
        <f>clones!E113*clones!$B113</f>
        <v>-210551696</v>
      </c>
      <c r="C113" s="5">
        <f>clones!F113*clones!$B113</f>
        <v>1191592696</v>
      </c>
      <c r="D113" s="5">
        <f>clones!G113*clones!$B113</f>
        <v>87684768</v>
      </c>
      <c r="E113" s="5">
        <f>clones!H113*clones!$B113</f>
        <v>356151712</v>
      </c>
      <c r="F113" s="5">
        <f>clones!I113*clones!$B113</f>
        <v>857903440</v>
      </c>
      <c r="G113" s="5">
        <f>clones!J113*clones!$B113</f>
        <v>1283607576</v>
      </c>
      <c r="H113" s="5">
        <f>clones!K113*clones!$B113</f>
        <v>1216490840</v>
      </c>
    </row>
    <row r="114" spans="1:8">
      <c r="A114" s="5">
        <f>clones!D114*clones!$B114</f>
        <v>-84796672</v>
      </c>
      <c r="B114" s="5">
        <f>clones!E114*clones!$B114</f>
        <v>-206161908.79999998</v>
      </c>
      <c r="C114" s="5">
        <f>clones!F114*clones!$B114</f>
        <v>1166749208.8</v>
      </c>
      <c r="D114" s="5">
        <f>clones!G114*clones!$B114</f>
        <v>85856630.399999991</v>
      </c>
      <c r="E114" s="5">
        <f>clones!H114*clones!$B114</f>
        <v>348726313.59999996</v>
      </c>
      <c r="F114" s="5">
        <f>clones!I114*clones!$B114</f>
        <v>840017031.99999988</v>
      </c>
      <c r="G114" s="5">
        <f>clones!J114*clones!$B114</f>
        <v>1256845672.8</v>
      </c>
      <c r="H114" s="5">
        <f>clones!K114*clones!$B114</f>
        <v>1191128252</v>
      </c>
    </row>
    <row r="115" spans="1:8">
      <c r="A115" s="5">
        <f>clones!D115*clones!$B115</f>
        <v>-84515968</v>
      </c>
      <c r="B115" s="5">
        <f>clones!E115*clones!$B115</f>
        <v>-205479447.20000002</v>
      </c>
      <c r="C115" s="5">
        <f>clones!F115*clones!$B115</f>
        <v>1162886897.2</v>
      </c>
      <c r="D115" s="5">
        <f>clones!G115*clones!$B115</f>
        <v>85572417.600000009</v>
      </c>
      <c r="E115" s="5">
        <f>clones!H115*clones!$B115</f>
        <v>347571918.40000004</v>
      </c>
      <c r="F115" s="5">
        <f>clones!I115*clones!$B115</f>
        <v>837236308.00000012</v>
      </c>
      <c r="G115" s="5">
        <f>clones!J115*clones!$B115</f>
        <v>1252685113.2</v>
      </c>
      <c r="H115" s="5">
        <f>clones!K115*clones!$B115</f>
        <v>1187185238</v>
      </c>
    </row>
    <row r="116" spans="1:8">
      <c r="A116" s="5">
        <f>clones!D116*clones!$B116</f>
        <v>-84108288</v>
      </c>
      <c r="B116" s="5">
        <f>clones!E116*clones!$B116</f>
        <v>-204488275.20000002</v>
      </c>
      <c r="C116" s="5">
        <f>clones!F116*clones!$B116</f>
        <v>1157277475.2</v>
      </c>
      <c r="D116" s="5">
        <f>clones!G116*clones!$B116</f>
        <v>85159641.600000009</v>
      </c>
      <c r="E116" s="5">
        <f>clones!H116*clones!$B116</f>
        <v>345895334.40000004</v>
      </c>
      <c r="F116" s="5">
        <f>clones!I116*clones!$B116</f>
        <v>833197728.00000012</v>
      </c>
      <c r="G116" s="5">
        <f>clones!J116*clones!$B116</f>
        <v>1246642531.2</v>
      </c>
      <c r="H116" s="5">
        <f>clones!K116*clones!$B116</f>
        <v>1181458608</v>
      </c>
    </row>
    <row r="117" spans="1:8">
      <c r="A117" s="5">
        <f>clones!D117*clones!$B117</f>
        <v>-83808128</v>
      </c>
      <c r="B117" s="5">
        <f>clones!E117*clones!$B117</f>
        <v>-203758511.19999999</v>
      </c>
      <c r="C117" s="5">
        <f>clones!F117*clones!$B117</f>
        <v>1153147461.2</v>
      </c>
      <c r="D117" s="5">
        <f>clones!G117*clones!$B117</f>
        <v>84855729.599999994</v>
      </c>
      <c r="E117" s="5">
        <f>clones!H117*clones!$B117</f>
        <v>344660926.39999998</v>
      </c>
      <c r="F117" s="5">
        <f>clones!I117*clones!$B117</f>
        <v>830224268</v>
      </c>
      <c r="G117" s="5">
        <f>clones!J117*clones!$B117</f>
        <v>1242193597.2</v>
      </c>
      <c r="H117" s="5">
        <f>clones!K117*clones!$B117</f>
        <v>1177242298</v>
      </c>
    </row>
    <row r="118" spans="1:8">
      <c r="A118" s="5">
        <f>clones!D118*clones!$B118</f>
        <v>-82295552</v>
      </c>
      <c r="B118" s="5">
        <f>clones!E118*clones!$B118</f>
        <v>-200081060.80000001</v>
      </c>
      <c r="C118" s="5">
        <f>clones!F118*clones!$B118</f>
        <v>1132335360.8</v>
      </c>
      <c r="D118" s="5">
        <f>clones!G118*clones!$B118</f>
        <v>83324246.400000006</v>
      </c>
      <c r="E118" s="5">
        <f>clones!H118*clones!$B118</f>
        <v>338440457.60000002</v>
      </c>
      <c r="F118" s="5">
        <f>clones!I118*clones!$B118</f>
        <v>815240312</v>
      </c>
      <c r="G118" s="5">
        <f>clones!J118*clones!$B118</f>
        <v>1219774384.8</v>
      </c>
      <c r="H118" s="5">
        <f>clones!K118*clones!$B118</f>
        <v>1155995332</v>
      </c>
    </row>
    <row r="119" spans="1:8">
      <c r="A119" s="5">
        <f>clones!D119*clones!$B119</f>
        <v>-80850432</v>
      </c>
      <c r="B119" s="5">
        <f>clones!E119*clones!$B119</f>
        <v>-196567612.80000001</v>
      </c>
      <c r="C119" s="5">
        <f>clones!F119*clones!$B119</f>
        <v>1112451412.8</v>
      </c>
      <c r="D119" s="5">
        <f>clones!G119*clones!$B119</f>
        <v>81861062.400000006</v>
      </c>
      <c r="E119" s="5">
        <f>clones!H119*clones!$B119</f>
        <v>332497401.60000002</v>
      </c>
      <c r="F119" s="5">
        <f>clones!I119*clones!$B119</f>
        <v>800924592</v>
      </c>
      <c r="G119" s="5">
        <f>clones!J119*clones!$B119</f>
        <v>1198354996.8</v>
      </c>
      <c r="H119" s="5">
        <f>clones!K119*clones!$B119</f>
        <v>1135695912</v>
      </c>
    </row>
    <row r="120" spans="1:8">
      <c r="A120" s="5">
        <f>clones!D120*clones!$B120</f>
        <v>-80009344</v>
      </c>
      <c r="B120" s="5">
        <f>clones!E120*clones!$B120</f>
        <v>-194522717.60000002</v>
      </c>
      <c r="C120" s="5">
        <f>clones!F120*clones!$B120</f>
        <v>1100878567.6000001</v>
      </c>
      <c r="D120" s="5">
        <f>clones!G120*clones!$B120</f>
        <v>81009460.799999997</v>
      </c>
      <c r="E120" s="5">
        <f>clones!H120*clones!$B120</f>
        <v>329038427.19999999</v>
      </c>
      <c r="F120" s="5">
        <f>clones!I120*clones!$B120</f>
        <v>792592564</v>
      </c>
      <c r="G120" s="5">
        <f>clones!J120*clones!$B120</f>
        <v>1185888495.6000001</v>
      </c>
      <c r="H120" s="5">
        <f>clones!K120*clones!$B120</f>
        <v>1123881254</v>
      </c>
    </row>
    <row r="121" spans="1:8">
      <c r="A121" s="5">
        <f>clones!D121*clones!$B121</f>
        <v>-79300992</v>
      </c>
      <c r="B121" s="5">
        <f>clones!E121*clones!$B121</f>
        <v>-192800536.80000001</v>
      </c>
      <c r="C121" s="5">
        <f>clones!F121*clones!$B121</f>
        <v>1091132086.8</v>
      </c>
      <c r="D121" s="5">
        <f>clones!G121*clones!$B121</f>
        <v>80292254.400000006</v>
      </c>
      <c r="E121" s="5">
        <f>clones!H121*clones!$B121</f>
        <v>326125329.60000002</v>
      </c>
      <c r="F121" s="5">
        <f>clones!I121*clones!$B121</f>
        <v>785575452</v>
      </c>
      <c r="G121" s="5">
        <f>clones!J121*clones!$B121</f>
        <v>1175389390.8</v>
      </c>
      <c r="H121" s="5">
        <f>clones!K121*clones!$B121</f>
        <v>1113931122</v>
      </c>
    </row>
    <row r="122" spans="1:8">
      <c r="A122" s="5">
        <f>clones!D122*clones!$B122</f>
        <v>-78848384</v>
      </c>
      <c r="B122" s="5">
        <f>clones!E122*clones!$B122</f>
        <v>-191700133.60000002</v>
      </c>
      <c r="C122" s="5">
        <f>clones!F122*clones!$B122</f>
        <v>1084904483.6000001</v>
      </c>
      <c r="D122" s="5">
        <f>clones!G122*clones!$B122</f>
        <v>79833988.799999997</v>
      </c>
      <c r="E122" s="5">
        <f>clones!H122*clones!$B122</f>
        <v>324263979.19999999</v>
      </c>
      <c r="F122" s="5">
        <f>clones!I122*clones!$B122</f>
        <v>781091804</v>
      </c>
      <c r="G122" s="5">
        <f>clones!J122*clones!$B122</f>
        <v>1168680891.6000001</v>
      </c>
      <c r="H122" s="5">
        <f>clones!K122*clones!$B122</f>
        <v>1107573394</v>
      </c>
    </row>
    <row r="123" spans="1:8">
      <c r="A123" s="5">
        <f>clones!D123*clones!$B123</f>
        <v>-78630272</v>
      </c>
      <c r="B123" s="5">
        <f>clones!E123*clones!$B123</f>
        <v>-191169848.80000001</v>
      </c>
      <c r="C123" s="5">
        <f>clones!F123*clones!$B123</f>
        <v>1081903398.8</v>
      </c>
      <c r="D123" s="5">
        <f>clones!G123*clones!$B123</f>
        <v>79613150.400000006</v>
      </c>
      <c r="E123" s="5">
        <f>clones!H123*clones!$B123</f>
        <v>323366993.60000002</v>
      </c>
      <c r="F123" s="5">
        <f>clones!I123*clones!$B123</f>
        <v>778931132</v>
      </c>
      <c r="G123" s="5">
        <f>clones!J123*clones!$B123</f>
        <v>1165448062.8</v>
      </c>
      <c r="H123" s="5">
        <f>clones!K123*clones!$B123</f>
        <v>1104509602</v>
      </c>
    </row>
    <row r="124" spans="1:8">
      <c r="A124" s="5">
        <f>clones!D124*clones!$B124</f>
        <v>-78575488</v>
      </c>
      <c r="B124" s="5">
        <f>clones!E124*clones!$B124</f>
        <v>-191036655.19999999</v>
      </c>
      <c r="C124" s="5">
        <f>clones!F124*clones!$B124</f>
        <v>1081149605.2</v>
      </c>
      <c r="D124" s="5">
        <f>clones!G124*clones!$B124</f>
        <v>79557681.599999994</v>
      </c>
      <c r="E124" s="5">
        <f>clones!H124*clones!$B124</f>
        <v>323141694.39999998</v>
      </c>
      <c r="F124" s="5">
        <f>clones!I124*clones!$B124</f>
        <v>778388428</v>
      </c>
      <c r="G124" s="5">
        <f>clones!J124*clones!$B124</f>
        <v>1164636061.2</v>
      </c>
      <c r="H124" s="5">
        <f>clones!K124*clones!$B124</f>
        <v>1103740058</v>
      </c>
    </row>
    <row r="125" spans="1:8">
      <c r="A125" s="5">
        <f>clones!D125*clones!$B125</f>
        <v>-77691008</v>
      </c>
      <c r="B125" s="5">
        <f>clones!E125*clones!$B125</f>
        <v>-188886263.19999999</v>
      </c>
      <c r="C125" s="5">
        <f>clones!F125*clones!$B125</f>
        <v>1068979713.1999999</v>
      </c>
      <c r="D125" s="5">
        <f>clones!G125*clones!$B125</f>
        <v>78662145.599999994</v>
      </c>
      <c r="E125" s="5">
        <f>clones!H125*clones!$B125</f>
        <v>319504270.39999998</v>
      </c>
      <c r="F125" s="5">
        <f>clones!I125*clones!$B125</f>
        <v>769626548</v>
      </c>
      <c r="G125" s="5">
        <f>clones!J125*clones!$B125</f>
        <v>1151526409.2</v>
      </c>
      <c r="H125" s="5">
        <f>clones!K125*clones!$B125</f>
        <v>1091315878</v>
      </c>
    </row>
    <row r="126" spans="1:8">
      <c r="A126" s="5">
        <f>clones!D126*clones!$B126</f>
        <v>-77352320</v>
      </c>
      <c r="B126" s="5">
        <f>clones!E126*clones!$B126</f>
        <v>-188062828</v>
      </c>
      <c r="C126" s="5">
        <f>clones!F126*clones!$B126</f>
        <v>1064319578</v>
      </c>
      <c r="D126" s="5">
        <f>clones!G126*clones!$B126</f>
        <v>78319224</v>
      </c>
      <c r="E126" s="5">
        <f>clones!H126*clones!$B126</f>
        <v>318111416</v>
      </c>
      <c r="F126" s="5">
        <f>clones!I126*clones!$B126</f>
        <v>766271420</v>
      </c>
      <c r="G126" s="5">
        <f>clones!J126*clones!$B126</f>
        <v>1146506418</v>
      </c>
      <c r="H126" s="5">
        <f>clones!K126*clones!$B126</f>
        <v>1086558370</v>
      </c>
    </row>
    <row r="127" spans="1:8">
      <c r="A127" s="5">
        <f>clones!D127*clones!$B127</f>
        <v>-76968704</v>
      </c>
      <c r="B127" s="5">
        <f>clones!E127*clones!$B127</f>
        <v>-187130161.60000002</v>
      </c>
      <c r="C127" s="5">
        <f>clones!F127*clones!$B127</f>
        <v>1059041261.6</v>
      </c>
      <c r="D127" s="5">
        <f>clones!G127*clones!$B127</f>
        <v>77930812.799999997</v>
      </c>
      <c r="E127" s="5">
        <f>clones!H127*clones!$B127</f>
        <v>316533795.19999999</v>
      </c>
      <c r="F127" s="5">
        <f>clones!I127*clones!$B127</f>
        <v>762471224</v>
      </c>
      <c r="G127" s="5">
        <f>clones!J127*clones!$B127</f>
        <v>1140820509.6000001</v>
      </c>
      <c r="H127" s="5">
        <f>clones!K127*clones!$B127</f>
        <v>1081169764</v>
      </c>
    </row>
    <row r="128" spans="1:8">
      <c r="A128" s="5">
        <f>clones!D128*clones!$B128</f>
        <v>-76941568</v>
      </c>
      <c r="B128" s="5">
        <f>clones!E128*clones!$B128</f>
        <v>-187064187.19999999</v>
      </c>
      <c r="C128" s="5">
        <f>clones!F128*clones!$B128</f>
        <v>1058667887.1999999</v>
      </c>
      <c r="D128" s="5">
        <f>clones!G128*clones!$B128</f>
        <v>77903337.599999994</v>
      </c>
      <c r="E128" s="5">
        <f>clones!H128*clones!$B128</f>
        <v>316422198.39999998</v>
      </c>
      <c r="F128" s="5">
        <f>clones!I128*clones!$B128</f>
        <v>762202408</v>
      </c>
      <c r="G128" s="5">
        <f>clones!J128*clones!$B128</f>
        <v>1140418303.2</v>
      </c>
      <c r="H128" s="5">
        <f>clones!K128*clones!$B128</f>
        <v>1080788588</v>
      </c>
    </row>
    <row r="129" spans="1:8">
      <c r="A129" s="5">
        <f>clones!D129*clones!$B129</f>
        <v>-76750720</v>
      </c>
      <c r="B129" s="5">
        <f>clones!E129*clones!$B129</f>
        <v>-186600188</v>
      </c>
      <c r="C129" s="5">
        <f>clones!F129*clones!$B129</f>
        <v>1056041938</v>
      </c>
      <c r="D129" s="5">
        <f>clones!G129*clones!$B129</f>
        <v>77710104</v>
      </c>
      <c r="E129" s="5">
        <f>clones!H129*clones!$B129</f>
        <v>315637336</v>
      </c>
      <c r="F129" s="5">
        <f>clones!I129*clones!$B129</f>
        <v>760311820</v>
      </c>
      <c r="G129" s="5">
        <f>clones!J129*clones!$B129</f>
        <v>1137589578</v>
      </c>
      <c r="H129" s="5">
        <f>clones!K129*clones!$B129</f>
        <v>1078107770</v>
      </c>
    </row>
    <row r="130" spans="1:8">
      <c r="A130" s="5">
        <f>clones!D130*clones!$B130</f>
        <v>-75539072</v>
      </c>
      <c r="B130" s="5">
        <f>clones!E130*clones!$B130</f>
        <v>-183654368.80000001</v>
      </c>
      <c r="C130" s="5">
        <f>clones!F130*clones!$B130</f>
        <v>1039370418.8000001</v>
      </c>
      <c r="D130" s="5">
        <f>clones!G130*clones!$B130</f>
        <v>76483310.400000006</v>
      </c>
      <c r="E130" s="5">
        <f>clones!H130*clones!$B130</f>
        <v>310654433.60000002</v>
      </c>
      <c r="F130" s="5">
        <f>clones!I130*clones!$B130</f>
        <v>748308932</v>
      </c>
      <c r="G130" s="5">
        <f>clones!J130*clones!$B130</f>
        <v>1119630682.8</v>
      </c>
      <c r="H130" s="5">
        <f>clones!K130*clones!$B130</f>
        <v>1061087902</v>
      </c>
    </row>
    <row r="131" spans="1:8">
      <c r="A131" s="5">
        <f>clones!D131*clones!$B131</f>
        <v>-73897088</v>
      </c>
      <c r="B131" s="5">
        <f>clones!E131*clones!$B131</f>
        <v>-179662295.19999999</v>
      </c>
      <c r="C131" s="5">
        <f>clones!F131*clones!$B131</f>
        <v>1016777745.1999999</v>
      </c>
      <c r="D131" s="5">
        <f>clones!G131*clones!$B131</f>
        <v>74820801.599999994</v>
      </c>
      <c r="E131" s="5">
        <f>clones!H131*clones!$B131</f>
        <v>303901774.39999998</v>
      </c>
      <c r="F131" s="5">
        <f>clones!I131*clones!$B131</f>
        <v>732043028</v>
      </c>
      <c r="G131" s="5">
        <f>clones!J131*clones!$B131</f>
        <v>1095293401.2</v>
      </c>
      <c r="H131" s="5">
        <f>clones!K131*clones!$B131</f>
        <v>1038023158</v>
      </c>
    </row>
    <row r="132" spans="1:8">
      <c r="A132" s="5">
        <f>clones!D132*clones!$B132</f>
        <v>-70865792</v>
      </c>
      <c r="B132" s="5">
        <f>clones!E132*clones!$B132</f>
        <v>-172292456.80000001</v>
      </c>
      <c r="C132" s="5">
        <f>clones!F132*clones!$B132</f>
        <v>975069006.80000007</v>
      </c>
      <c r="D132" s="5">
        <f>clones!G132*clones!$B132</f>
        <v>71751614.400000006</v>
      </c>
      <c r="E132" s="5">
        <f>clones!H132*clones!$B132</f>
        <v>291435569.60000002</v>
      </c>
      <c r="F132" s="5">
        <f>clones!I132*clones!$B132</f>
        <v>702014252</v>
      </c>
      <c r="G132" s="5">
        <f>clones!J132*clones!$B132</f>
        <v>1050363910.8000001</v>
      </c>
      <c r="H132" s="5">
        <f>clones!K132*clones!$B132</f>
        <v>995442922</v>
      </c>
    </row>
    <row r="133" spans="1:8">
      <c r="A133" s="5">
        <f>clones!D133*clones!$B133</f>
        <v>-70735360</v>
      </c>
      <c r="B133" s="5">
        <f>clones!E133*clones!$B133</f>
        <v>-171975344</v>
      </c>
      <c r="C133" s="5">
        <f>clones!F133*clones!$B133</f>
        <v>973274344</v>
      </c>
      <c r="D133" s="5">
        <f>clones!G133*clones!$B133</f>
        <v>71619552</v>
      </c>
      <c r="E133" s="5">
        <f>clones!H133*clones!$B133</f>
        <v>290899168</v>
      </c>
      <c r="F133" s="5">
        <f>clones!I133*clones!$B133</f>
        <v>700722160</v>
      </c>
      <c r="G133" s="5">
        <f>clones!J133*clones!$B133</f>
        <v>1048430664</v>
      </c>
      <c r="H133" s="5">
        <f>clones!K133*clones!$B133</f>
        <v>993610760</v>
      </c>
    </row>
    <row r="134" spans="1:8">
      <c r="A134" s="5">
        <f>clones!D134*clones!$B134</f>
        <v>-69868672</v>
      </c>
      <c r="B134" s="5">
        <f>clones!E134*clones!$B134</f>
        <v>-169868208.80000001</v>
      </c>
      <c r="C134" s="5">
        <f>clones!F134*clones!$B134</f>
        <v>961349258.80000007</v>
      </c>
      <c r="D134" s="5">
        <f>clones!G134*clones!$B134</f>
        <v>70742030.400000006</v>
      </c>
      <c r="E134" s="5">
        <f>clones!H134*clones!$B134</f>
        <v>287334913.60000002</v>
      </c>
      <c r="F134" s="5">
        <f>clones!I134*clones!$B134</f>
        <v>692136532</v>
      </c>
      <c r="G134" s="5">
        <f>clones!J134*clones!$B134</f>
        <v>1035584722.8000001</v>
      </c>
      <c r="H134" s="5">
        <f>clones!K134*clones!$B134</f>
        <v>981436502</v>
      </c>
    </row>
    <row r="135" spans="1:8">
      <c r="A135" s="5">
        <f>clones!D135*clones!$B135</f>
        <v>-69480576</v>
      </c>
      <c r="B135" s="5">
        <f>clones!E135*clones!$B135</f>
        <v>-168924650.39999998</v>
      </c>
      <c r="C135" s="5">
        <f>clones!F135*clones!$B135</f>
        <v>956009300.39999998</v>
      </c>
      <c r="D135" s="5">
        <f>clones!G135*clones!$B135</f>
        <v>70349083.200000003</v>
      </c>
      <c r="E135" s="5">
        <f>clones!H135*clones!$B135</f>
        <v>285738868.80000001</v>
      </c>
      <c r="F135" s="5">
        <f>clones!I135*clones!$B135</f>
        <v>688291956</v>
      </c>
      <c r="G135" s="5">
        <f>clones!J135*clones!$B135</f>
        <v>1029832412.4</v>
      </c>
      <c r="H135" s="5">
        <f>clones!K135*clones!$B135</f>
        <v>975984966</v>
      </c>
    </row>
    <row r="136" spans="1:8">
      <c r="A136" s="5">
        <f>clones!D136*clones!$B136</f>
        <v>-68947968</v>
      </c>
      <c r="B136" s="5">
        <f>clones!E136*clones!$B136</f>
        <v>-167629747.19999999</v>
      </c>
      <c r="C136" s="5">
        <f>clones!F136*clones!$B136</f>
        <v>948680947.19999993</v>
      </c>
      <c r="D136" s="5">
        <f>clones!G136*clones!$B136</f>
        <v>69809817.599999994</v>
      </c>
      <c r="E136" s="5">
        <f>clones!H136*clones!$B136</f>
        <v>283548518.39999998</v>
      </c>
      <c r="F136" s="5">
        <f>clones!I136*clones!$B136</f>
        <v>683015808</v>
      </c>
      <c r="G136" s="5">
        <f>clones!J136*clones!$B136</f>
        <v>1021938163.1999999</v>
      </c>
      <c r="H136" s="5">
        <f>clones!K136*clones!$B136</f>
        <v>968503488</v>
      </c>
    </row>
    <row r="137" spans="1:8">
      <c r="A137" s="5">
        <f>clones!D137*clones!$B137</f>
        <v>-68904576</v>
      </c>
      <c r="B137" s="5">
        <f>clones!E137*clones!$B137</f>
        <v>-167524250.39999998</v>
      </c>
      <c r="C137" s="5">
        <f>clones!F137*clones!$B137</f>
        <v>948083900.39999998</v>
      </c>
      <c r="D137" s="5">
        <f>clones!G137*clones!$B137</f>
        <v>69765883.200000003</v>
      </c>
      <c r="E137" s="5">
        <f>clones!H137*clones!$B137</f>
        <v>283370068.80000001</v>
      </c>
      <c r="F137" s="5">
        <f>clones!I137*clones!$B137</f>
        <v>682585956</v>
      </c>
      <c r="G137" s="5">
        <f>clones!J137*clones!$B137</f>
        <v>1021295012.4</v>
      </c>
      <c r="H137" s="5">
        <f>clones!K137*clones!$B137</f>
        <v>967893966</v>
      </c>
    </row>
    <row r="138" spans="1:8">
      <c r="A138" s="5">
        <f>clones!D138*clones!$B138</f>
        <v>-68812800</v>
      </c>
      <c r="B138" s="5">
        <f>clones!E138*clones!$B138</f>
        <v>-167301120</v>
      </c>
      <c r="C138" s="5">
        <f>clones!F138*clones!$B138</f>
        <v>946821120</v>
      </c>
      <c r="D138" s="5">
        <f>clones!G138*clones!$B138</f>
        <v>69672960</v>
      </c>
      <c r="E138" s="5">
        <f>clones!H138*clones!$B138</f>
        <v>282992640</v>
      </c>
      <c r="F138" s="5">
        <f>clones!I138*clones!$B138</f>
        <v>681676800</v>
      </c>
      <c r="G138" s="5">
        <f>clones!J138*clones!$B138</f>
        <v>1019934720</v>
      </c>
      <c r="H138" s="5">
        <f>clones!K138*clones!$B138</f>
        <v>966604800</v>
      </c>
    </row>
    <row r="139" spans="1:8">
      <c r="A139" s="5">
        <f>clones!D139*clones!$B139</f>
        <v>-68489728</v>
      </c>
      <c r="B139" s="5">
        <f>clones!E139*clones!$B139</f>
        <v>-166515651.19999999</v>
      </c>
      <c r="C139" s="5">
        <f>clones!F139*clones!$B139</f>
        <v>942375851.19999993</v>
      </c>
      <c r="D139" s="5">
        <f>clones!G139*clones!$B139</f>
        <v>69345849.599999994</v>
      </c>
      <c r="E139" s="5">
        <f>clones!H139*clones!$B139</f>
        <v>281664006.39999998</v>
      </c>
      <c r="F139" s="5">
        <f>clones!I139*clones!$B139</f>
        <v>678476368</v>
      </c>
      <c r="G139" s="5">
        <f>clones!J139*clones!$B139</f>
        <v>1015146187.1999999</v>
      </c>
      <c r="H139" s="5">
        <f>clones!K139*clones!$B139</f>
        <v>962066648</v>
      </c>
    </row>
    <row r="140" spans="1:8">
      <c r="A140" s="5">
        <f>clones!D140*clones!$B140</f>
        <v>-67914496</v>
      </c>
      <c r="B140" s="5">
        <f>clones!E140*clones!$B140</f>
        <v>-165117118.39999998</v>
      </c>
      <c r="C140" s="5">
        <f>clones!F140*clones!$B140</f>
        <v>934461018.39999998</v>
      </c>
      <c r="D140" s="5">
        <f>clones!G140*clones!$B140</f>
        <v>68763427.200000003</v>
      </c>
      <c r="E140" s="5">
        <f>clones!H140*clones!$B140</f>
        <v>279298364.80000001</v>
      </c>
      <c r="F140" s="5">
        <f>clones!I140*clones!$B140</f>
        <v>672777976</v>
      </c>
      <c r="G140" s="5">
        <f>clones!J140*clones!$B140</f>
        <v>1006620170.4</v>
      </c>
      <c r="H140" s="5">
        <f>clones!K140*clones!$B140</f>
        <v>953986436</v>
      </c>
    </row>
    <row r="141" spans="1:8">
      <c r="A141" s="5">
        <f>clones!D141*clones!$B141</f>
        <v>-67543936</v>
      </c>
      <c r="B141" s="5">
        <f>clones!E141*clones!$B141</f>
        <v>-164216194.39999998</v>
      </c>
      <c r="C141" s="5">
        <f>clones!F141*clones!$B141</f>
        <v>929362344.39999998</v>
      </c>
      <c r="D141" s="5">
        <f>clones!G141*clones!$B141</f>
        <v>68388235.200000003</v>
      </c>
      <c r="E141" s="5">
        <f>clones!H141*clones!$B141</f>
        <v>277774436.80000001</v>
      </c>
      <c r="F141" s="5">
        <f>clones!I141*clones!$B141</f>
        <v>669107116</v>
      </c>
      <c r="G141" s="5">
        <f>clones!J141*clones!$B141</f>
        <v>1001127776.4</v>
      </c>
      <c r="H141" s="5">
        <f>clones!K141*clones!$B141</f>
        <v>948781226</v>
      </c>
    </row>
    <row r="142" spans="1:8">
      <c r="A142" s="5">
        <f>clones!D142*clones!$B142</f>
        <v>-67265536</v>
      </c>
      <c r="B142" s="5">
        <f>clones!E142*clones!$B142</f>
        <v>-163539334.39999998</v>
      </c>
      <c r="C142" s="5">
        <f>clones!F142*clones!$B142</f>
        <v>925531734.39999998</v>
      </c>
      <c r="D142" s="5">
        <f>clones!G142*clones!$B142</f>
        <v>68106355.200000003</v>
      </c>
      <c r="E142" s="5">
        <f>clones!H142*clones!$B142</f>
        <v>276629516.80000001</v>
      </c>
      <c r="F142" s="5">
        <f>clones!I142*clones!$B142</f>
        <v>666349216</v>
      </c>
      <c r="G142" s="5">
        <f>clones!J142*clones!$B142</f>
        <v>997001366.39999998</v>
      </c>
      <c r="H142" s="5">
        <f>clones!K142*clones!$B142</f>
        <v>944870576</v>
      </c>
    </row>
    <row r="143" spans="1:8">
      <c r="A143" s="5">
        <f>clones!D143*clones!$B143</f>
        <v>-66680704</v>
      </c>
      <c r="B143" s="5">
        <f>clones!E143*clones!$B143</f>
        <v>-162117461.60000002</v>
      </c>
      <c r="C143" s="5">
        <f>clones!F143*clones!$B143</f>
        <v>917484811.60000002</v>
      </c>
      <c r="D143" s="5">
        <f>clones!G143*clones!$B143</f>
        <v>67514212.799999997</v>
      </c>
      <c r="E143" s="5">
        <f>clones!H143*clones!$B143</f>
        <v>274224395.19999999</v>
      </c>
      <c r="F143" s="5">
        <f>clones!I143*clones!$B143</f>
        <v>660555724</v>
      </c>
      <c r="G143" s="5">
        <f>clones!J143*clones!$B143</f>
        <v>988333059.60000002</v>
      </c>
      <c r="H143" s="5">
        <f>clones!K143*clones!$B143</f>
        <v>936655514</v>
      </c>
    </row>
    <row r="144" spans="1:8">
      <c r="A144" s="5">
        <f>clones!D144*clones!$B144</f>
        <v>-66409600</v>
      </c>
      <c r="B144" s="5">
        <f>clones!E144*clones!$B144</f>
        <v>-161458340</v>
      </c>
      <c r="C144" s="5">
        <f>clones!F144*clones!$B144</f>
        <v>913754590</v>
      </c>
      <c r="D144" s="5">
        <f>clones!G144*clones!$B144</f>
        <v>67239720</v>
      </c>
      <c r="E144" s="5">
        <f>clones!H144*clones!$B144</f>
        <v>273109480</v>
      </c>
      <c r="F144" s="5">
        <f>clones!I144*clones!$B144</f>
        <v>657870100</v>
      </c>
      <c r="G144" s="5">
        <f>clones!J144*clones!$B144</f>
        <v>984314790</v>
      </c>
      <c r="H144" s="5">
        <f>clones!K144*clones!$B144</f>
        <v>932847350</v>
      </c>
    </row>
    <row r="145" spans="1:8">
      <c r="A145" s="5">
        <f>clones!D145*clones!$B145</f>
        <v>-65670400</v>
      </c>
      <c r="B145" s="5">
        <f>clones!E145*clones!$B145</f>
        <v>-159661160</v>
      </c>
      <c r="C145" s="5">
        <f>clones!F145*clones!$B145</f>
        <v>903583660</v>
      </c>
      <c r="D145" s="5">
        <f>clones!G145*clones!$B145</f>
        <v>66491280</v>
      </c>
      <c r="E145" s="5">
        <f>clones!H145*clones!$B145</f>
        <v>270069520</v>
      </c>
      <c r="F145" s="5">
        <f>clones!I145*clones!$B145</f>
        <v>650547400</v>
      </c>
      <c r="G145" s="5">
        <f>clones!J145*clones!$B145</f>
        <v>973358460</v>
      </c>
      <c r="H145" s="5">
        <f>clones!K145*clones!$B145</f>
        <v>922463900</v>
      </c>
    </row>
    <row r="146" spans="1:8">
      <c r="A146" s="5">
        <f>clones!D146*clones!$B146</f>
        <v>-65456512</v>
      </c>
      <c r="B146" s="5">
        <f>clones!E146*clones!$B146</f>
        <v>-159141144.80000001</v>
      </c>
      <c r="C146" s="5">
        <f>clones!F146*clones!$B146</f>
        <v>900640694.80000007</v>
      </c>
      <c r="D146" s="5">
        <f>clones!G146*clones!$B146</f>
        <v>66274718.399999999</v>
      </c>
      <c r="E146" s="5">
        <f>clones!H146*clones!$B146</f>
        <v>269189905.60000002</v>
      </c>
      <c r="F146" s="5">
        <f>clones!I146*clones!$B146</f>
        <v>648428572</v>
      </c>
      <c r="G146" s="5">
        <f>clones!J146*clones!$B146</f>
        <v>970188238.80000007</v>
      </c>
      <c r="H146" s="5">
        <f>clones!K146*clones!$B146</f>
        <v>919459442</v>
      </c>
    </row>
    <row r="147" spans="1:8">
      <c r="A147" s="5">
        <f>clones!D147*clones!$B147</f>
        <v>-65164544</v>
      </c>
      <c r="B147" s="5">
        <f>clones!E147*clones!$B147</f>
        <v>-158431297.60000002</v>
      </c>
      <c r="C147" s="5">
        <f>clones!F147*clones!$B147</f>
        <v>896623397.60000002</v>
      </c>
      <c r="D147" s="5">
        <f>clones!G147*clones!$B147</f>
        <v>65979100.800000004</v>
      </c>
      <c r="E147" s="5">
        <f>clones!H147*clones!$B147</f>
        <v>267989187.20000002</v>
      </c>
      <c r="F147" s="5">
        <f>clones!I147*clones!$B147</f>
        <v>645536264</v>
      </c>
      <c r="G147" s="5">
        <f>clones!J147*clones!$B147</f>
        <v>965860725.60000002</v>
      </c>
      <c r="H147" s="5">
        <f>clones!K147*clones!$B147</f>
        <v>915358204</v>
      </c>
    </row>
    <row r="148" spans="1:8">
      <c r="A148" s="5">
        <f>clones!D148*clones!$B148</f>
        <v>-64819968</v>
      </c>
      <c r="B148" s="5">
        <f>clones!E148*clones!$B148</f>
        <v>-157593547.19999999</v>
      </c>
      <c r="C148" s="5">
        <f>clones!F148*clones!$B148</f>
        <v>891882247.19999993</v>
      </c>
      <c r="D148" s="5">
        <f>clones!G148*clones!$B148</f>
        <v>65630217.600000001</v>
      </c>
      <c r="E148" s="5">
        <f>clones!H148*clones!$B148</f>
        <v>266572118.40000001</v>
      </c>
      <c r="F148" s="5">
        <f>clones!I148*clones!$B148</f>
        <v>642122808</v>
      </c>
      <c r="G148" s="5">
        <f>clones!J148*clones!$B148</f>
        <v>960753463.19999993</v>
      </c>
      <c r="H148" s="5">
        <f>clones!K148*clones!$B148</f>
        <v>910517988</v>
      </c>
    </row>
    <row r="149" spans="1:8">
      <c r="A149" s="5">
        <f>clones!D149*clones!$B149</f>
        <v>-64816384</v>
      </c>
      <c r="B149" s="5">
        <f>clones!E149*clones!$B149</f>
        <v>-157584833.60000002</v>
      </c>
      <c r="C149" s="5">
        <f>clones!F149*clones!$B149</f>
        <v>891832933.60000002</v>
      </c>
      <c r="D149" s="5">
        <f>clones!G149*clones!$B149</f>
        <v>65626588.800000004</v>
      </c>
      <c r="E149" s="5">
        <f>clones!H149*clones!$B149</f>
        <v>266557379.20000002</v>
      </c>
      <c r="F149" s="5">
        <f>clones!I149*clones!$B149</f>
        <v>642087304</v>
      </c>
      <c r="G149" s="5">
        <f>clones!J149*clones!$B149</f>
        <v>960700341.60000002</v>
      </c>
      <c r="H149" s="5">
        <f>clones!K149*clones!$B149</f>
        <v>910467644</v>
      </c>
    </row>
    <row r="150" spans="1:8">
      <c r="A150" s="5">
        <f>clones!D150*clones!$B150</f>
        <v>-64346368</v>
      </c>
      <c r="B150" s="5">
        <f>clones!E150*clones!$B150</f>
        <v>-156442107.19999999</v>
      </c>
      <c r="C150" s="5">
        <f>clones!F150*clones!$B150</f>
        <v>885365807.19999993</v>
      </c>
      <c r="D150" s="5">
        <f>clones!G150*clones!$B150</f>
        <v>65150697.600000001</v>
      </c>
      <c r="E150" s="5">
        <f>clones!H150*clones!$B150</f>
        <v>264624438.40000001</v>
      </c>
      <c r="F150" s="5">
        <f>clones!I150*clones!$B150</f>
        <v>637431208</v>
      </c>
      <c r="G150" s="5">
        <f>clones!J150*clones!$B150</f>
        <v>953733823.19999993</v>
      </c>
      <c r="H150" s="5">
        <f>clones!K150*clones!$B150</f>
        <v>903865388</v>
      </c>
    </row>
    <row r="151" spans="1:8">
      <c r="A151" s="5">
        <f>clones!D151*clones!$B151</f>
        <v>-63956736</v>
      </c>
      <c r="B151" s="5">
        <f>clones!E151*clones!$B151</f>
        <v>-155494814.39999998</v>
      </c>
      <c r="C151" s="5">
        <f>clones!F151*clones!$B151</f>
        <v>880004714.39999998</v>
      </c>
      <c r="D151" s="5">
        <f>clones!G151*clones!$B151</f>
        <v>64756195.199999996</v>
      </c>
      <c r="E151" s="5">
        <f>clones!H151*clones!$B151</f>
        <v>263022076.79999998</v>
      </c>
      <c r="F151" s="5">
        <f>clones!I151*clones!$B151</f>
        <v>633571416</v>
      </c>
      <c r="G151" s="5">
        <f>clones!J151*clones!$B151</f>
        <v>947958746.39999998</v>
      </c>
      <c r="H151" s="5">
        <f>clones!K151*clones!$B151</f>
        <v>898392276</v>
      </c>
    </row>
    <row r="152" spans="1:8">
      <c r="A152" s="5">
        <f>clones!D152*clones!$B152</f>
        <v>-63951488</v>
      </c>
      <c r="B152" s="5">
        <f>clones!E152*clones!$B152</f>
        <v>-155482055.19999999</v>
      </c>
      <c r="C152" s="5">
        <f>clones!F152*clones!$B152</f>
        <v>879932505.19999993</v>
      </c>
      <c r="D152" s="5">
        <f>clones!G152*clones!$B152</f>
        <v>64750881.600000001</v>
      </c>
      <c r="E152" s="5">
        <f>clones!H152*clones!$B152</f>
        <v>263000494.40000001</v>
      </c>
      <c r="F152" s="5">
        <f>clones!I152*clones!$B152</f>
        <v>633519428</v>
      </c>
      <c r="G152" s="5">
        <f>clones!J152*clones!$B152</f>
        <v>947880961.19999993</v>
      </c>
      <c r="H152" s="5">
        <f>clones!K152*clones!$B152</f>
        <v>898318558</v>
      </c>
    </row>
    <row r="153" spans="1:8">
      <c r="A153" s="5">
        <f>clones!D153*clones!$B153</f>
        <v>-61162496</v>
      </c>
      <c r="B153" s="5">
        <f>clones!E153*clones!$B153</f>
        <v>-148701318.39999998</v>
      </c>
      <c r="C153" s="5">
        <f>clones!F153*clones!$B153</f>
        <v>841557718.39999998</v>
      </c>
      <c r="D153" s="5">
        <f>clones!G153*clones!$B153</f>
        <v>61927027.199999996</v>
      </c>
      <c r="E153" s="5">
        <f>clones!H153*clones!$B153</f>
        <v>251530764.79999998</v>
      </c>
      <c r="F153" s="5">
        <f>clones!I153*clones!$B153</f>
        <v>605890976</v>
      </c>
      <c r="G153" s="5">
        <f>clones!J153*clones!$B153</f>
        <v>906542870.39999998</v>
      </c>
      <c r="H153" s="5">
        <f>clones!K153*clones!$B153</f>
        <v>859141936</v>
      </c>
    </row>
    <row r="154" spans="1:8">
      <c r="A154" s="5">
        <f>clones!D154*clones!$B154</f>
        <v>-60155520</v>
      </c>
      <c r="B154" s="5">
        <f>clones!E154*clones!$B154</f>
        <v>-146253108</v>
      </c>
      <c r="C154" s="5">
        <f>clones!F154*clones!$B154</f>
        <v>827702358</v>
      </c>
      <c r="D154" s="5">
        <f>clones!G154*clones!$B154</f>
        <v>60907464</v>
      </c>
      <c r="E154" s="5">
        <f>clones!H154*clones!$B154</f>
        <v>247389576</v>
      </c>
      <c r="F154" s="5">
        <f>clones!I154*clones!$B154</f>
        <v>595915620</v>
      </c>
      <c r="G154" s="5">
        <f>clones!J154*clones!$B154</f>
        <v>891617598</v>
      </c>
      <c r="H154" s="5">
        <f>clones!K154*clones!$B154</f>
        <v>844997070</v>
      </c>
    </row>
    <row r="155" spans="1:8">
      <c r="A155" s="5">
        <f>clones!D155*clones!$B155</f>
        <v>-60054784</v>
      </c>
      <c r="B155" s="5">
        <f>clones!E155*clones!$B155</f>
        <v>-146008193.60000002</v>
      </c>
      <c r="C155" s="5">
        <f>clones!F155*clones!$B155</f>
        <v>826316293.60000002</v>
      </c>
      <c r="D155" s="5">
        <f>clones!G155*clones!$B155</f>
        <v>60805468.800000004</v>
      </c>
      <c r="E155" s="5">
        <f>clones!H155*clones!$B155</f>
        <v>246975299.20000002</v>
      </c>
      <c r="F155" s="5">
        <f>clones!I155*clones!$B155</f>
        <v>594917704</v>
      </c>
      <c r="G155" s="5">
        <f>clones!J155*clones!$B155</f>
        <v>890124501.60000002</v>
      </c>
      <c r="H155" s="5">
        <f>clones!K155*clones!$B155</f>
        <v>843582044</v>
      </c>
    </row>
    <row r="156" spans="1:8">
      <c r="A156" s="5">
        <f>clones!D156*clones!$B156</f>
        <v>-59772672</v>
      </c>
      <c r="B156" s="5">
        <f>clones!E156*clones!$B156</f>
        <v>-145322308.80000001</v>
      </c>
      <c r="C156" s="5">
        <f>clones!F156*clones!$B156</f>
        <v>822434608.80000007</v>
      </c>
      <c r="D156" s="5">
        <f>clones!G156*clones!$B156</f>
        <v>60519830.399999999</v>
      </c>
      <c r="E156" s="5">
        <f>clones!H156*clones!$B156</f>
        <v>245815113.59999999</v>
      </c>
      <c r="F156" s="5">
        <f>clones!I156*clones!$B156</f>
        <v>592123032</v>
      </c>
      <c r="G156" s="5">
        <f>clones!J156*clones!$B156</f>
        <v>885943072.80000007</v>
      </c>
      <c r="H156" s="5">
        <f>clones!K156*clones!$B156</f>
        <v>839619252</v>
      </c>
    </row>
    <row r="157" spans="1:8">
      <c r="A157" s="5">
        <f>clones!D157*clones!$B157</f>
        <v>-58533632</v>
      </c>
      <c r="B157" s="5">
        <f>clones!E157*clones!$B157</f>
        <v>-142309892.80000001</v>
      </c>
      <c r="C157" s="5">
        <f>clones!F157*clones!$B157</f>
        <v>805386192.80000007</v>
      </c>
      <c r="D157" s="5">
        <f>clones!G157*clones!$B157</f>
        <v>59265302.399999999</v>
      </c>
      <c r="E157" s="5">
        <f>clones!H157*clones!$B157</f>
        <v>240719561.59999999</v>
      </c>
      <c r="F157" s="5">
        <f>clones!I157*clones!$B157</f>
        <v>579848792</v>
      </c>
      <c r="G157" s="5">
        <f>clones!J157*clones!$B157</f>
        <v>867578176.80000007</v>
      </c>
      <c r="H157" s="5">
        <f>clones!K157*clones!$B157</f>
        <v>822214612</v>
      </c>
    </row>
    <row r="158" spans="1:8">
      <c r="A158" s="5">
        <f>clones!D158*clones!$B158</f>
        <v>-57317760</v>
      </c>
      <c r="B158" s="5">
        <f>clones!E158*clones!$B158</f>
        <v>-139353804</v>
      </c>
      <c r="C158" s="5">
        <f>clones!F158*clones!$B158</f>
        <v>788656554</v>
      </c>
      <c r="D158" s="5">
        <f>clones!G158*clones!$B158</f>
        <v>58034232</v>
      </c>
      <c r="E158" s="5">
        <f>clones!H158*clones!$B158</f>
        <v>235719288</v>
      </c>
      <c r="F158" s="5">
        <f>clones!I158*clones!$B158</f>
        <v>567804060</v>
      </c>
      <c r="G158" s="5">
        <f>clones!J158*clones!$B158</f>
        <v>849556674</v>
      </c>
      <c r="H158" s="5">
        <f>clones!K158*clones!$B158</f>
        <v>805135410</v>
      </c>
    </row>
    <row r="159" spans="1:8">
      <c r="A159" s="5">
        <f>clones!D159*clones!$B159</f>
        <v>-57064448</v>
      </c>
      <c r="B159" s="5">
        <f>clones!E159*clones!$B159</f>
        <v>-138737939.19999999</v>
      </c>
      <c r="C159" s="5">
        <f>clones!F159*clones!$B159</f>
        <v>785171139.19999993</v>
      </c>
      <c r="D159" s="5">
        <f>clones!G159*clones!$B159</f>
        <v>57777753.600000001</v>
      </c>
      <c r="E159" s="5">
        <f>clones!H159*clones!$B159</f>
        <v>234677542.40000001</v>
      </c>
      <c r="F159" s="5">
        <f>clones!I159*clones!$B159</f>
        <v>565294688</v>
      </c>
      <c r="G159" s="5">
        <f>clones!J159*clones!$B159</f>
        <v>845802115.19999993</v>
      </c>
      <c r="H159" s="5">
        <f>clones!K159*clones!$B159</f>
        <v>801577168</v>
      </c>
    </row>
    <row r="160" spans="1:8">
      <c r="A160" s="5">
        <f>clones!D160*clones!$B160</f>
        <v>-56076672</v>
      </c>
      <c r="B160" s="5">
        <f>clones!E160*clones!$B160</f>
        <v>-136336408.80000001</v>
      </c>
      <c r="C160" s="5">
        <f>clones!F160*clones!$B160</f>
        <v>771579958.80000007</v>
      </c>
      <c r="D160" s="5">
        <f>clones!G160*clones!$B160</f>
        <v>56777630.399999999</v>
      </c>
      <c r="E160" s="5">
        <f>clones!H160*clones!$B160</f>
        <v>230615313.59999999</v>
      </c>
      <c r="F160" s="5">
        <f>clones!I160*clones!$B160</f>
        <v>555509532</v>
      </c>
      <c r="G160" s="5">
        <f>clones!J160*clones!$B160</f>
        <v>831161422.80000007</v>
      </c>
      <c r="H160" s="5">
        <f>clones!K160*clones!$B160</f>
        <v>787702002</v>
      </c>
    </row>
    <row r="161" spans="1:8">
      <c r="A161" s="5">
        <f>clones!D161*clones!$B161</f>
        <v>-55113344</v>
      </c>
      <c r="B161" s="5">
        <f>clones!E161*clones!$B161</f>
        <v>-133994317.60000001</v>
      </c>
      <c r="C161" s="5">
        <f>clones!F161*clones!$B161</f>
        <v>758325167.60000002</v>
      </c>
      <c r="D161" s="5">
        <f>clones!G161*clones!$B161</f>
        <v>55802260.800000004</v>
      </c>
      <c r="E161" s="5">
        <f>clones!H161*clones!$B161</f>
        <v>226653627.20000002</v>
      </c>
      <c r="F161" s="5">
        <f>clones!I161*clones!$B161</f>
        <v>545966564</v>
      </c>
      <c r="G161" s="5">
        <f>clones!J161*clones!$B161</f>
        <v>816883095.60000002</v>
      </c>
      <c r="H161" s="5">
        <f>clones!K161*clones!$B161</f>
        <v>774170254</v>
      </c>
    </row>
    <row r="162" spans="1:8">
      <c r="A162" s="5">
        <f>clones!D162*clones!$B162</f>
        <v>-52447616</v>
      </c>
      <c r="B162" s="5">
        <f>clones!E162*clones!$B162</f>
        <v>-127513266.39999999</v>
      </c>
      <c r="C162" s="5">
        <f>clones!F162*clones!$B162</f>
        <v>721646416.39999998</v>
      </c>
      <c r="D162" s="5">
        <f>clones!G162*clones!$B162</f>
        <v>53103211.199999996</v>
      </c>
      <c r="E162" s="5">
        <f>clones!H162*clones!$B162</f>
        <v>215690820.79999998</v>
      </c>
      <c r="F162" s="5">
        <f>clones!I162*clones!$B162</f>
        <v>519559195.99999994</v>
      </c>
      <c r="G162" s="5">
        <f>clones!J162*clones!$B162</f>
        <v>777372008.39999998</v>
      </c>
      <c r="H162" s="5">
        <f>clones!K162*clones!$B162</f>
        <v>736725106</v>
      </c>
    </row>
    <row r="163" spans="1:8">
      <c r="A163" s="5">
        <f>clones!D163*clones!$B163</f>
        <v>-52445568</v>
      </c>
      <c r="B163" s="5">
        <f>clones!E163*clones!$B163</f>
        <v>-127508287.19999999</v>
      </c>
      <c r="C163" s="5">
        <f>clones!F163*clones!$B163</f>
        <v>721618237.19999993</v>
      </c>
      <c r="D163" s="5">
        <f>clones!G163*clones!$B163</f>
        <v>53101137.600000001</v>
      </c>
      <c r="E163" s="5">
        <f>clones!H163*clones!$B163</f>
        <v>215682398.40000001</v>
      </c>
      <c r="F163" s="5">
        <f>clones!I163*clones!$B163</f>
        <v>519538908</v>
      </c>
      <c r="G163" s="5">
        <f>clones!J163*clones!$B163</f>
        <v>777341653.19999993</v>
      </c>
      <c r="H163" s="5">
        <f>clones!K163*clones!$B163</f>
        <v>736696338</v>
      </c>
    </row>
    <row r="164" spans="1:8">
      <c r="A164" s="5">
        <f>clones!D164*clones!$B164</f>
        <v>-52278784</v>
      </c>
      <c r="B164" s="5">
        <f>clones!E164*clones!$B164</f>
        <v>-127102793.60000001</v>
      </c>
      <c r="C164" s="5">
        <f>clones!F164*clones!$B164</f>
        <v>719323393.60000002</v>
      </c>
      <c r="D164" s="5">
        <f>clones!G164*clones!$B164</f>
        <v>52932268.800000004</v>
      </c>
      <c r="E164" s="5">
        <f>clones!H164*clones!$B164</f>
        <v>214996499.20000002</v>
      </c>
      <c r="F164" s="5">
        <f>clones!I164*clones!$B164</f>
        <v>517886704.00000006</v>
      </c>
      <c r="G164" s="5">
        <f>clones!J164*clones!$B164</f>
        <v>774869601.60000002</v>
      </c>
      <c r="H164" s="5">
        <f>clones!K164*clones!$B164</f>
        <v>734353544</v>
      </c>
    </row>
    <row r="165" spans="1:8">
      <c r="A165" s="5">
        <f>clones!D165*clones!$B165</f>
        <v>-51653120</v>
      </c>
      <c r="B165" s="5">
        <f>clones!E165*clones!$B165</f>
        <v>-125581648</v>
      </c>
      <c r="C165" s="5">
        <f>clones!F165*clones!$B165</f>
        <v>710714648</v>
      </c>
      <c r="D165" s="5">
        <f>clones!G165*clones!$B165</f>
        <v>52298784</v>
      </c>
      <c r="E165" s="5">
        <f>clones!H165*clones!$B165</f>
        <v>212423456</v>
      </c>
      <c r="F165" s="5">
        <f>clones!I165*clones!$B165</f>
        <v>511688720</v>
      </c>
      <c r="G165" s="5">
        <f>clones!J165*clones!$B165</f>
        <v>765596088</v>
      </c>
      <c r="H165" s="5">
        <f>clones!K165*clones!$B165</f>
        <v>725564920</v>
      </c>
    </row>
    <row r="166" spans="1:8">
      <c r="A166" s="5">
        <f>clones!D166*clones!$B166</f>
        <v>-51398016</v>
      </c>
      <c r="B166" s="5">
        <f>clones!E166*clones!$B166</f>
        <v>-124961426.39999999</v>
      </c>
      <c r="C166" s="5">
        <f>clones!F166*clones!$B166</f>
        <v>707204576.39999998</v>
      </c>
      <c r="D166" s="5">
        <f>clones!G166*clones!$B166</f>
        <v>52040491.199999996</v>
      </c>
      <c r="E166" s="5">
        <f>clones!H166*clones!$B166</f>
        <v>211374340.79999998</v>
      </c>
      <c r="F166" s="5">
        <f>clones!I166*clones!$B166</f>
        <v>509161595.99999994</v>
      </c>
      <c r="G166" s="5">
        <f>clones!J166*clones!$B166</f>
        <v>761814968.39999998</v>
      </c>
      <c r="H166" s="5">
        <f>clones!K166*clones!$B166</f>
        <v>721981506</v>
      </c>
    </row>
    <row r="167" spans="1:8">
      <c r="A167" s="5">
        <f>clones!D167*clones!$B167</f>
        <v>-51351552</v>
      </c>
      <c r="B167" s="5">
        <f>clones!E167*clones!$B167</f>
        <v>-124848460.80000001</v>
      </c>
      <c r="C167" s="5">
        <f>clones!F167*clones!$B167</f>
        <v>706565260.80000007</v>
      </c>
      <c r="D167" s="5">
        <f>clones!G167*clones!$B167</f>
        <v>51993446.399999999</v>
      </c>
      <c r="E167" s="5">
        <f>clones!H167*clones!$B167</f>
        <v>211183257.59999999</v>
      </c>
      <c r="F167" s="5">
        <f>clones!I167*clones!$B167</f>
        <v>508701312</v>
      </c>
      <c r="G167" s="5">
        <f>clones!J167*clones!$B167</f>
        <v>761126284.80000007</v>
      </c>
      <c r="H167" s="5">
        <f>clones!K167*clones!$B167</f>
        <v>721328832</v>
      </c>
    </row>
    <row r="168" spans="1:8">
      <c r="A168" s="5">
        <f>clones!D168*clones!$B168</f>
        <v>-51164032</v>
      </c>
      <c r="B168" s="5">
        <f>clones!E168*clones!$B168</f>
        <v>-124392552.80000001</v>
      </c>
      <c r="C168" s="5">
        <f>clones!F168*clones!$B168</f>
        <v>703985102.80000007</v>
      </c>
      <c r="D168" s="5">
        <f>clones!G168*clones!$B168</f>
        <v>51803582.399999999</v>
      </c>
      <c r="E168" s="5">
        <f>clones!H168*clones!$B168</f>
        <v>210412081.59999999</v>
      </c>
      <c r="F168" s="5">
        <f>clones!I168*clones!$B168</f>
        <v>506843692</v>
      </c>
      <c r="G168" s="5">
        <f>clones!J168*clones!$B168</f>
        <v>758346886.80000007</v>
      </c>
      <c r="H168" s="5">
        <f>clones!K168*clones!$B168</f>
        <v>718694762</v>
      </c>
    </row>
    <row r="169" spans="1:8">
      <c r="A169" s="5">
        <f>clones!D169*clones!$B169</f>
        <v>-51019392</v>
      </c>
      <c r="B169" s="5">
        <f>clones!E169*clones!$B169</f>
        <v>-124040896.80000001</v>
      </c>
      <c r="C169" s="5">
        <f>clones!F169*clones!$B169</f>
        <v>701994946.80000007</v>
      </c>
      <c r="D169" s="5">
        <f>clones!G169*clones!$B169</f>
        <v>51657134.399999999</v>
      </c>
      <c r="E169" s="5">
        <f>clones!H169*clones!$B169</f>
        <v>209817249.59999999</v>
      </c>
      <c r="F169" s="5">
        <f>clones!I169*clones!$B169</f>
        <v>505410852</v>
      </c>
      <c r="G169" s="5">
        <f>clones!J169*clones!$B169</f>
        <v>756203050.80000007</v>
      </c>
      <c r="H169" s="5">
        <f>clones!K169*clones!$B169</f>
        <v>716663022</v>
      </c>
    </row>
    <row r="170" spans="1:8">
      <c r="A170" s="5">
        <f>clones!D170*clones!$B170</f>
        <v>-50897024</v>
      </c>
      <c r="B170" s="5">
        <f>clones!E170*clones!$B170</f>
        <v>-123743389.60000001</v>
      </c>
      <c r="C170" s="5">
        <f>clones!F170*clones!$B170</f>
        <v>700311239.60000002</v>
      </c>
      <c r="D170" s="5">
        <f>clones!G170*clones!$B170</f>
        <v>51533236.800000004</v>
      </c>
      <c r="E170" s="5">
        <f>clones!H170*clones!$B170</f>
        <v>209314011.20000002</v>
      </c>
      <c r="F170" s="5">
        <f>clones!I170*clones!$B170</f>
        <v>504198644.00000006</v>
      </c>
      <c r="G170" s="5">
        <f>clones!J170*clones!$B170</f>
        <v>754389327.60000002</v>
      </c>
      <c r="H170" s="5">
        <f>clones!K170*clones!$B170</f>
        <v>714944134</v>
      </c>
    </row>
    <row r="171" spans="1:8">
      <c r="A171" s="5">
        <f>clones!D171*clones!$B171</f>
        <v>-50280960</v>
      </c>
      <c r="B171" s="5">
        <f>clones!E171*clones!$B171</f>
        <v>-122245584</v>
      </c>
      <c r="C171" s="5">
        <f>clones!F171*clones!$B171</f>
        <v>691834584</v>
      </c>
      <c r="D171" s="5">
        <f>clones!G171*clones!$B171</f>
        <v>50909472</v>
      </c>
      <c r="E171" s="5">
        <f>clones!H171*clones!$B171</f>
        <v>206780448</v>
      </c>
      <c r="F171" s="5">
        <f>clones!I171*clones!$B171</f>
        <v>498095760</v>
      </c>
      <c r="G171" s="5">
        <f>clones!J171*clones!$B171</f>
        <v>745258104</v>
      </c>
      <c r="H171" s="5">
        <f>clones!K171*clones!$B171</f>
        <v>706290360</v>
      </c>
    </row>
    <row r="172" spans="1:8">
      <c r="A172" s="5">
        <f>clones!D172*clones!$B172</f>
        <v>-50236416</v>
      </c>
      <c r="B172" s="5">
        <f>clones!E172*clones!$B172</f>
        <v>-122137286.39999999</v>
      </c>
      <c r="C172" s="5">
        <f>clones!F172*clones!$B172</f>
        <v>691221686.39999998</v>
      </c>
      <c r="D172" s="5">
        <f>clones!G172*clones!$B172</f>
        <v>50864371.199999996</v>
      </c>
      <c r="E172" s="5">
        <f>clones!H172*clones!$B172</f>
        <v>206597260.79999998</v>
      </c>
      <c r="F172" s="5">
        <f>clones!I172*clones!$B172</f>
        <v>497654495.99999994</v>
      </c>
      <c r="G172" s="5">
        <f>clones!J172*clones!$B172</f>
        <v>744597878.39999998</v>
      </c>
      <c r="H172" s="5">
        <f>clones!K172*clones!$B172</f>
        <v>705664656</v>
      </c>
    </row>
    <row r="173" spans="1:8">
      <c r="A173" s="5">
        <f>clones!D173*clones!$B173</f>
        <v>-49539968</v>
      </c>
      <c r="B173" s="5">
        <f>clones!E173*clones!$B173</f>
        <v>-120444047.19999999</v>
      </c>
      <c r="C173" s="5">
        <f>clones!F173*clones!$B173</f>
        <v>681638997.19999993</v>
      </c>
      <c r="D173" s="5">
        <f>clones!G173*clones!$B173</f>
        <v>50159217.600000001</v>
      </c>
      <c r="E173" s="5">
        <f>clones!H173*clones!$B173</f>
        <v>203733118.40000001</v>
      </c>
      <c r="F173" s="5">
        <f>clones!I173*clones!$B173</f>
        <v>490755308</v>
      </c>
      <c r="G173" s="5">
        <f>clones!J173*clones!$B173</f>
        <v>734275213.19999993</v>
      </c>
      <c r="H173" s="5">
        <f>clones!K173*clones!$B173</f>
        <v>695881738</v>
      </c>
    </row>
    <row r="174" spans="1:8">
      <c r="A174" s="5">
        <f>clones!D174*clones!$B174</f>
        <v>-48868480</v>
      </c>
      <c r="B174" s="5">
        <f>clones!E174*clones!$B174</f>
        <v>-118811492</v>
      </c>
      <c r="C174" s="5">
        <f>clones!F174*clones!$B174</f>
        <v>672399742</v>
      </c>
      <c r="D174" s="5">
        <f>clones!G174*clones!$B174</f>
        <v>49479336</v>
      </c>
      <c r="E174" s="5">
        <f>clones!H174*clones!$B174</f>
        <v>200971624</v>
      </c>
      <c r="F174" s="5">
        <f>clones!I174*clones!$B174</f>
        <v>484103380</v>
      </c>
      <c r="G174" s="5">
        <f>clones!J174*clones!$B174</f>
        <v>724322502</v>
      </c>
      <c r="H174" s="5">
        <f>clones!K174*clones!$B174</f>
        <v>686449430</v>
      </c>
    </row>
    <row r="175" spans="1:8">
      <c r="A175" s="5">
        <f>clones!D175*clones!$B175</f>
        <v>-47948032</v>
      </c>
      <c r="B175" s="5">
        <f>clones!E175*clones!$B175</f>
        <v>-116573652.80000001</v>
      </c>
      <c r="C175" s="5">
        <f>clones!F175*clones!$B175</f>
        <v>659734952.80000007</v>
      </c>
      <c r="D175" s="5">
        <f>clones!G175*clones!$B175</f>
        <v>48547382.399999999</v>
      </c>
      <c r="E175" s="5">
        <f>clones!H175*clones!$B175</f>
        <v>197186281.59999999</v>
      </c>
      <c r="F175" s="5">
        <f>clones!I175*clones!$B175</f>
        <v>474985192</v>
      </c>
      <c r="G175" s="5">
        <f>clones!J175*clones!$B175</f>
        <v>710679736.80000007</v>
      </c>
      <c r="H175" s="5">
        <f>clones!K175*clones!$B175</f>
        <v>673520012</v>
      </c>
    </row>
    <row r="176" spans="1:8">
      <c r="A176" s="5">
        <f>clones!D176*clones!$B176</f>
        <v>-47721984</v>
      </c>
      <c r="B176" s="5">
        <f>clones!E176*clones!$B176</f>
        <v>-116024073.60000001</v>
      </c>
      <c r="C176" s="5">
        <f>clones!F176*clones!$B176</f>
        <v>656624673.60000002</v>
      </c>
      <c r="D176" s="5">
        <f>clones!G176*clones!$B176</f>
        <v>48318508.800000004</v>
      </c>
      <c r="E176" s="5">
        <f>clones!H176*clones!$B176</f>
        <v>196256659.20000002</v>
      </c>
      <c r="F176" s="5">
        <f>clones!I176*clones!$B176</f>
        <v>472745904.00000006</v>
      </c>
      <c r="G176" s="5">
        <f>clones!J176*clones!$B176</f>
        <v>707329281.60000002</v>
      </c>
      <c r="H176" s="5">
        <f>clones!K176*clones!$B176</f>
        <v>670344744</v>
      </c>
    </row>
    <row r="177" spans="1:8">
      <c r="A177" s="5">
        <f>clones!D177*clones!$B177</f>
        <v>-47650944</v>
      </c>
      <c r="B177" s="5">
        <f>clones!E177*clones!$B177</f>
        <v>-115851357.60000001</v>
      </c>
      <c r="C177" s="5">
        <f>clones!F177*clones!$B177</f>
        <v>655647207.60000002</v>
      </c>
      <c r="D177" s="5">
        <f>clones!G177*clones!$B177</f>
        <v>48246580.800000004</v>
      </c>
      <c r="E177" s="5">
        <f>clones!H177*clones!$B177</f>
        <v>195964507.20000002</v>
      </c>
      <c r="F177" s="5">
        <f>clones!I177*clones!$B177</f>
        <v>472042164.00000006</v>
      </c>
      <c r="G177" s="5">
        <f>clones!J177*clones!$B177</f>
        <v>706276335.60000002</v>
      </c>
      <c r="H177" s="5">
        <f>clones!K177*clones!$B177</f>
        <v>669346854</v>
      </c>
    </row>
    <row r="178" spans="1:8">
      <c r="A178" s="5">
        <f>clones!D178*clones!$B178</f>
        <v>-46967552</v>
      </c>
      <c r="B178" s="5">
        <f>clones!E178*clones!$B178</f>
        <v>-114189860.80000001</v>
      </c>
      <c r="C178" s="5">
        <f>clones!F178*clones!$B178</f>
        <v>646244160.80000007</v>
      </c>
      <c r="D178" s="5">
        <f>clones!G178*clones!$B178</f>
        <v>47554646.399999999</v>
      </c>
      <c r="E178" s="5">
        <f>clones!H178*clones!$B178</f>
        <v>193154057.59999999</v>
      </c>
      <c r="F178" s="5">
        <f>clones!I178*clones!$B178</f>
        <v>465272312</v>
      </c>
      <c r="G178" s="5">
        <f>clones!J178*clones!$B178</f>
        <v>696147184.80000007</v>
      </c>
      <c r="H178" s="5">
        <f>clones!K178*clones!$B178</f>
        <v>659747332</v>
      </c>
    </row>
    <row r="179" spans="1:8">
      <c r="A179" s="5">
        <f>clones!D179*clones!$B179</f>
        <v>-46632192</v>
      </c>
      <c r="B179" s="5">
        <f>clones!E179*clones!$B179</f>
        <v>-113374516.80000001</v>
      </c>
      <c r="C179" s="5">
        <f>clones!F179*clones!$B179</f>
        <v>641629816.80000007</v>
      </c>
      <c r="D179" s="5">
        <f>clones!G179*clones!$B179</f>
        <v>47215094.399999999</v>
      </c>
      <c r="E179" s="5">
        <f>clones!H179*clones!$B179</f>
        <v>191774889.59999999</v>
      </c>
      <c r="F179" s="5">
        <f>clones!I179*clones!$B179</f>
        <v>461950152</v>
      </c>
      <c r="G179" s="5">
        <f>clones!J179*clones!$B179</f>
        <v>691176520.80000007</v>
      </c>
      <c r="H179" s="5">
        <f>clones!K179*clones!$B179</f>
        <v>655036572</v>
      </c>
    </row>
    <row r="180" spans="1:8">
      <c r="A180" s="5">
        <f>clones!D180*clones!$B180</f>
        <v>-45106560</v>
      </c>
      <c r="B180" s="5">
        <f>clones!E180*clones!$B180</f>
        <v>-109665324</v>
      </c>
      <c r="C180" s="5">
        <f>clones!F180*clones!$B180</f>
        <v>620638074</v>
      </c>
      <c r="D180" s="5">
        <f>clones!G180*clones!$B180</f>
        <v>45670392</v>
      </c>
      <c r="E180" s="5">
        <f>clones!H180*clones!$B180</f>
        <v>185500728</v>
      </c>
      <c r="F180" s="5">
        <f>clones!I180*clones!$B180</f>
        <v>446836860</v>
      </c>
      <c r="G180" s="5">
        <f>clones!J180*clones!$B180</f>
        <v>668563794</v>
      </c>
      <c r="H180" s="5">
        <f>clones!K180*clones!$B180</f>
        <v>633606210</v>
      </c>
    </row>
    <row r="181" spans="1:8">
      <c r="A181" s="5">
        <f>clones!D181*clones!$B181</f>
        <v>-43097728</v>
      </c>
      <c r="B181" s="5">
        <f>clones!E181*clones!$B181</f>
        <v>-104781351.19999999</v>
      </c>
      <c r="C181" s="5">
        <f>clones!F181*clones!$B181</f>
        <v>592997801.19999993</v>
      </c>
      <c r="D181" s="5">
        <f>clones!G181*clones!$B181</f>
        <v>43636449.600000001</v>
      </c>
      <c r="E181" s="5">
        <f>clones!H181*clones!$B181</f>
        <v>177239406.40000001</v>
      </c>
      <c r="F181" s="5">
        <f>clones!I181*clones!$B181</f>
        <v>426936868</v>
      </c>
      <c r="G181" s="5">
        <f>clones!J181*clones!$B181</f>
        <v>638789137.19999993</v>
      </c>
      <c r="H181" s="5">
        <f>clones!K181*clones!$B181</f>
        <v>605388398</v>
      </c>
    </row>
    <row r="182" spans="1:8">
      <c r="A182" s="5">
        <f>clones!D182*clones!$B182</f>
        <v>-42903168</v>
      </c>
      <c r="B182" s="5">
        <f>clones!E182*clones!$B182</f>
        <v>-104308327.19999999</v>
      </c>
      <c r="C182" s="5">
        <f>clones!F182*clones!$B182</f>
        <v>590320777.19999993</v>
      </c>
      <c r="D182" s="5">
        <f>clones!G182*clones!$B182</f>
        <v>43439457.600000001</v>
      </c>
      <c r="E182" s="5">
        <f>clones!H182*clones!$B182</f>
        <v>176439278.40000001</v>
      </c>
      <c r="F182" s="5">
        <f>clones!I182*clones!$B182</f>
        <v>425009508</v>
      </c>
      <c r="G182" s="5">
        <f>clones!J182*clones!$B182</f>
        <v>635905393.19999993</v>
      </c>
      <c r="H182" s="5">
        <f>clones!K182*clones!$B182</f>
        <v>602655438</v>
      </c>
    </row>
    <row r="183" spans="1:8">
      <c r="A183" s="5">
        <f>clones!D183*clones!$B183</f>
        <v>-42751232</v>
      </c>
      <c r="B183" s="5">
        <f>clones!E183*clones!$B183</f>
        <v>-103938932.80000001</v>
      </c>
      <c r="C183" s="5">
        <f>clones!F183*clones!$B183</f>
        <v>588230232.80000007</v>
      </c>
      <c r="D183" s="5">
        <f>clones!G183*clones!$B183</f>
        <v>43285622.399999999</v>
      </c>
      <c r="E183" s="5">
        <f>clones!H183*clones!$B183</f>
        <v>175814441.59999999</v>
      </c>
      <c r="F183" s="5">
        <f>clones!I183*clones!$B183</f>
        <v>423504392</v>
      </c>
      <c r="G183" s="5">
        <f>clones!J183*clones!$B183</f>
        <v>633653416.80000007</v>
      </c>
      <c r="H183" s="5">
        <f>clones!K183*clones!$B183</f>
        <v>600521212</v>
      </c>
    </row>
    <row r="184" spans="1:8">
      <c r="A184" s="5">
        <f>clones!D184*clones!$B184</f>
        <v>-42180096</v>
      </c>
      <c r="B184" s="5">
        <f>clones!E184*clones!$B184</f>
        <v>-102550358.39999999</v>
      </c>
      <c r="C184" s="5">
        <f>clones!F184*clones!$B184</f>
        <v>580371758.39999998</v>
      </c>
      <c r="D184" s="5">
        <f>clones!G184*clones!$B184</f>
        <v>42707347.199999996</v>
      </c>
      <c r="E184" s="5">
        <f>clones!H184*clones!$B184</f>
        <v>173465644.79999998</v>
      </c>
      <c r="F184" s="5">
        <f>clones!I184*clones!$B184</f>
        <v>417846575.99999994</v>
      </c>
      <c r="G184" s="5">
        <f>clones!J184*clones!$B184</f>
        <v>625188110.39999998</v>
      </c>
      <c r="H184" s="5">
        <f>clones!K184*clones!$B184</f>
        <v>592498536</v>
      </c>
    </row>
    <row r="185" spans="1:8">
      <c r="A185" s="5">
        <f>clones!D185*clones!$B185</f>
        <v>-42026496</v>
      </c>
      <c r="B185" s="5">
        <f>clones!E185*clones!$B185</f>
        <v>-102176918.39999999</v>
      </c>
      <c r="C185" s="5">
        <f>clones!F185*clones!$B185</f>
        <v>578258318.39999998</v>
      </c>
      <c r="D185" s="5">
        <f>clones!G185*clones!$B185</f>
        <v>42551827.199999996</v>
      </c>
      <c r="E185" s="5">
        <f>clones!H185*clones!$B185</f>
        <v>172833964.79999998</v>
      </c>
      <c r="F185" s="5">
        <f>clones!I185*clones!$B185</f>
        <v>416324975.99999994</v>
      </c>
      <c r="G185" s="5">
        <f>clones!J185*clones!$B185</f>
        <v>622911470.39999998</v>
      </c>
      <c r="H185" s="5">
        <f>clones!K185*clones!$B185</f>
        <v>590340936</v>
      </c>
    </row>
    <row r="186" spans="1:8">
      <c r="A186" s="5">
        <f>clones!D186*clones!$B186</f>
        <v>-41566592</v>
      </c>
      <c r="B186" s="5">
        <f>clones!E186*clones!$B186</f>
        <v>-101058776.80000001</v>
      </c>
      <c r="C186" s="5">
        <f>clones!F186*clones!$B186</f>
        <v>571930326.80000007</v>
      </c>
      <c r="D186" s="5">
        <f>clones!G186*clones!$B186</f>
        <v>42086174.399999999</v>
      </c>
      <c r="E186" s="5">
        <f>clones!H186*clones!$B186</f>
        <v>170942609.59999999</v>
      </c>
      <c r="F186" s="5">
        <f>clones!I186*clones!$B186</f>
        <v>411769052</v>
      </c>
      <c r="G186" s="5">
        <f>clones!J186*clones!$B186</f>
        <v>616094830.80000007</v>
      </c>
      <c r="H186" s="5">
        <f>clones!K186*clones!$B186</f>
        <v>583880722</v>
      </c>
    </row>
    <row r="187" spans="1:8">
      <c r="A187" s="5">
        <f>clones!D187*clones!$B187</f>
        <v>-41493248</v>
      </c>
      <c r="B187" s="5">
        <f>clones!E187*clones!$B187</f>
        <v>-100880459.19999999</v>
      </c>
      <c r="C187" s="5">
        <f>clones!F187*clones!$B187</f>
        <v>570921159.19999993</v>
      </c>
      <c r="D187" s="5">
        <f>clones!G187*clones!$B187</f>
        <v>42011913.600000001</v>
      </c>
      <c r="E187" s="5">
        <f>clones!H187*clones!$B187</f>
        <v>170640982.40000001</v>
      </c>
      <c r="F187" s="5">
        <f>clones!I187*clones!$B187</f>
        <v>411042488</v>
      </c>
      <c r="G187" s="5">
        <f>clones!J187*clones!$B187</f>
        <v>615007735.19999993</v>
      </c>
      <c r="H187" s="5">
        <f>clones!K187*clones!$B187</f>
        <v>582850468</v>
      </c>
    </row>
    <row r="188" spans="1:8">
      <c r="A188" s="5">
        <f>clones!D188*clones!$B188</f>
        <v>-41303936</v>
      </c>
      <c r="B188" s="5">
        <f>clones!E188*clones!$B188</f>
        <v>-100420194.40000001</v>
      </c>
      <c r="C188" s="5">
        <f>clones!F188*clones!$B188</f>
        <v>568316344.39999998</v>
      </c>
      <c r="D188" s="5">
        <f>clones!G188*clones!$B188</f>
        <v>41820235.200000003</v>
      </c>
      <c r="E188" s="5">
        <f>clones!H188*clones!$B188</f>
        <v>169862436.80000001</v>
      </c>
      <c r="F188" s="5">
        <f>clones!I188*clones!$B188</f>
        <v>409167116</v>
      </c>
      <c r="G188" s="5">
        <f>clones!J188*clones!$B188</f>
        <v>612201776.39999998</v>
      </c>
      <c r="H188" s="5">
        <f>clones!K188*clones!$B188</f>
        <v>580191226</v>
      </c>
    </row>
    <row r="189" spans="1:8">
      <c r="A189" s="5">
        <f>clones!D189*clones!$B189</f>
        <v>-40613504</v>
      </c>
      <c r="B189" s="5">
        <f>clones!E189*clones!$B189</f>
        <v>-98741581.599999994</v>
      </c>
      <c r="C189" s="5">
        <f>clones!F189*clones!$B189</f>
        <v>558816431.60000002</v>
      </c>
      <c r="D189" s="5">
        <f>clones!G189*clones!$B189</f>
        <v>41121172.799999997</v>
      </c>
      <c r="E189" s="5">
        <f>clones!H189*clones!$B189</f>
        <v>167023035.19999999</v>
      </c>
      <c r="F189" s="5">
        <f>clones!I189*clones!$B189</f>
        <v>402327524</v>
      </c>
      <c r="G189" s="5">
        <f>clones!J189*clones!$B189</f>
        <v>601968279.60000002</v>
      </c>
      <c r="H189" s="5">
        <f>clones!K189*clones!$B189</f>
        <v>570492814</v>
      </c>
    </row>
    <row r="190" spans="1:8">
      <c r="A190" s="5">
        <f>clones!D190*clones!$B190</f>
        <v>-40497152</v>
      </c>
      <c r="B190" s="5">
        <f>clones!E190*clones!$B190</f>
        <v>-98458700.800000012</v>
      </c>
      <c r="C190" s="5">
        <f>clones!F190*clones!$B190</f>
        <v>557215500.80000007</v>
      </c>
      <c r="D190" s="5">
        <f>clones!G190*clones!$B190</f>
        <v>41003366.399999999</v>
      </c>
      <c r="E190" s="5">
        <f>clones!H190*clones!$B190</f>
        <v>166544537.59999999</v>
      </c>
      <c r="F190" s="5">
        <f>clones!I190*clones!$B190</f>
        <v>401174912</v>
      </c>
      <c r="G190" s="5">
        <f>clones!J190*clones!$B190</f>
        <v>600243724.80000007</v>
      </c>
      <c r="H190" s="5">
        <f>clones!K190*clones!$B190</f>
        <v>568858432</v>
      </c>
    </row>
    <row r="191" spans="1:8">
      <c r="A191" s="5">
        <f>clones!D191*clones!$B191</f>
        <v>-40052224</v>
      </c>
      <c r="B191" s="5">
        <f>clones!E191*clones!$B191</f>
        <v>-97376969.599999994</v>
      </c>
      <c r="C191" s="5">
        <f>clones!F191*clones!$B191</f>
        <v>551093569.60000002</v>
      </c>
      <c r="D191" s="5">
        <f>clones!G191*clones!$B191</f>
        <v>40552876.799999997</v>
      </c>
      <c r="E191" s="5">
        <f>clones!H191*clones!$B191</f>
        <v>164714771.19999999</v>
      </c>
      <c r="F191" s="5">
        <f>clones!I191*clones!$B191</f>
        <v>396767344</v>
      </c>
      <c r="G191" s="5">
        <f>clones!J191*clones!$B191</f>
        <v>593649057.60000002</v>
      </c>
      <c r="H191" s="5">
        <f>clones!K191*clones!$B191</f>
        <v>562608584</v>
      </c>
    </row>
    <row r="192" spans="1:8">
      <c r="A192" s="5">
        <f>clones!D192*clones!$B192</f>
        <v>-39985152</v>
      </c>
      <c r="B192" s="5">
        <f>clones!E192*clones!$B192</f>
        <v>-97213900.800000012</v>
      </c>
      <c r="C192" s="5">
        <f>clones!F192*clones!$B192</f>
        <v>550170700.80000007</v>
      </c>
      <c r="D192" s="5">
        <f>clones!G192*clones!$B192</f>
        <v>40484966.399999999</v>
      </c>
      <c r="E192" s="5">
        <f>clones!H192*clones!$B192</f>
        <v>164438937.59999999</v>
      </c>
      <c r="F192" s="5">
        <f>clones!I192*clones!$B192</f>
        <v>396102912</v>
      </c>
      <c r="G192" s="5">
        <f>clones!J192*clones!$B192</f>
        <v>592654924.80000007</v>
      </c>
      <c r="H192" s="5">
        <f>clones!K192*clones!$B192</f>
        <v>561666432</v>
      </c>
    </row>
    <row r="193" spans="1:8">
      <c r="A193" s="5">
        <f>clones!D193*clones!$B193</f>
        <v>-39909760</v>
      </c>
      <c r="B193" s="5">
        <f>clones!E193*clones!$B193</f>
        <v>-97030604</v>
      </c>
      <c r="C193" s="5">
        <f>clones!F193*clones!$B193</f>
        <v>549133354</v>
      </c>
      <c r="D193" s="5">
        <f>clones!G193*clones!$B193</f>
        <v>40408632</v>
      </c>
      <c r="E193" s="5">
        <f>clones!H193*clones!$B193</f>
        <v>164128888</v>
      </c>
      <c r="F193" s="5">
        <f>clones!I193*clones!$B193</f>
        <v>395356060</v>
      </c>
      <c r="G193" s="5">
        <f>clones!J193*clones!$B193</f>
        <v>591537474</v>
      </c>
      <c r="H193" s="5">
        <f>clones!K193*clones!$B193</f>
        <v>560607410</v>
      </c>
    </row>
    <row r="194" spans="1:8">
      <c r="A194" s="5">
        <f>clones!D194*clones!$B194</f>
        <v>-39675520</v>
      </c>
      <c r="B194" s="5">
        <f>clones!E194*clones!$B194</f>
        <v>-96461108</v>
      </c>
      <c r="C194" s="5">
        <f>clones!F194*clones!$B194</f>
        <v>545910358</v>
      </c>
      <c r="D194" s="5">
        <f>clones!G194*clones!$B194</f>
        <v>40171464</v>
      </c>
      <c r="E194" s="5">
        <f>clones!H194*clones!$B194</f>
        <v>163165576</v>
      </c>
      <c r="F194" s="5">
        <f>clones!I194*clones!$B194</f>
        <v>393035620</v>
      </c>
      <c r="G194" s="5">
        <f>clones!J194*clones!$B194</f>
        <v>588065598</v>
      </c>
      <c r="H194" s="5">
        <f>clones!K194*clones!$B194</f>
        <v>557317070</v>
      </c>
    </row>
    <row r="195" spans="1:8">
      <c r="A195" s="5">
        <f>clones!D195*clones!$B195</f>
        <v>-39571200</v>
      </c>
      <c r="B195" s="5">
        <f>clones!E195*clones!$B195</f>
        <v>-96207480</v>
      </c>
      <c r="C195" s="5">
        <f>clones!F195*clones!$B195</f>
        <v>544474980</v>
      </c>
      <c r="D195" s="5">
        <f>clones!G195*clones!$B195</f>
        <v>40065840</v>
      </c>
      <c r="E195" s="5">
        <f>clones!H195*clones!$B195</f>
        <v>162736560</v>
      </c>
      <c r="F195" s="5">
        <f>clones!I195*clones!$B195</f>
        <v>392002200</v>
      </c>
      <c r="G195" s="5">
        <f>clones!J195*clones!$B195</f>
        <v>586519380</v>
      </c>
      <c r="H195" s="5">
        <f>clones!K195*clones!$B195</f>
        <v>555851700</v>
      </c>
    </row>
    <row r="196" spans="1:8">
      <c r="A196" s="5">
        <f>clones!D196*clones!$B196</f>
        <v>-39442944</v>
      </c>
      <c r="B196" s="5">
        <f>clones!E196*clones!$B196</f>
        <v>-95895657.599999994</v>
      </c>
      <c r="C196" s="5">
        <f>clones!F196*clones!$B196</f>
        <v>542710257.60000002</v>
      </c>
      <c r="D196" s="5">
        <f>clones!G196*clones!$B196</f>
        <v>39935980.799999997</v>
      </c>
      <c r="E196" s="5">
        <f>clones!H196*clones!$B196</f>
        <v>162209107.19999999</v>
      </c>
      <c r="F196" s="5">
        <f>clones!I196*clones!$B196</f>
        <v>390731664</v>
      </c>
      <c r="G196" s="5">
        <f>clones!J196*clones!$B196</f>
        <v>584618385.60000002</v>
      </c>
      <c r="H196" s="5">
        <f>clones!K196*clones!$B196</f>
        <v>554050104</v>
      </c>
    </row>
    <row r="197" spans="1:8">
      <c r="A197" s="5">
        <f>clones!D197*clones!$B197</f>
        <v>-39219072</v>
      </c>
      <c r="B197" s="5">
        <f>clones!E197*clones!$B197</f>
        <v>-95351368.800000012</v>
      </c>
      <c r="C197" s="5">
        <f>clones!F197*clones!$B197</f>
        <v>539629918.80000007</v>
      </c>
      <c r="D197" s="5">
        <f>clones!G197*clones!$B197</f>
        <v>39709310.399999999</v>
      </c>
      <c r="E197" s="5">
        <f>clones!H197*clones!$B197</f>
        <v>161288433.59999999</v>
      </c>
      <c r="F197" s="5">
        <f>clones!I197*clones!$B197</f>
        <v>388513932</v>
      </c>
      <c r="G197" s="5">
        <f>clones!J197*clones!$B197</f>
        <v>581300182.80000007</v>
      </c>
      <c r="H197" s="5">
        <f>clones!K197*clones!$B197</f>
        <v>550905402</v>
      </c>
    </row>
    <row r="198" spans="1:8">
      <c r="A198" s="5">
        <f>clones!D198*clones!$B198</f>
        <v>-39035264</v>
      </c>
      <c r="B198" s="5">
        <f>clones!E198*clones!$B198</f>
        <v>-94904485.599999994</v>
      </c>
      <c r="C198" s="5">
        <f>clones!F198*clones!$B198</f>
        <v>537100835.60000002</v>
      </c>
      <c r="D198" s="5">
        <f>clones!G198*clones!$B198</f>
        <v>39523204.799999997</v>
      </c>
      <c r="E198" s="5">
        <f>clones!H198*clones!$B198</f>
        <v>160532523.19999999</v>
      </c>
      <c r="F198" s="5">
        <f>clones!I198*clones!$B198</f>
        <v>386693084</v>
      </c>
      <c r="G198" s="5">
        <f>clones!J198*clones!$B198</f>
        <v>578575803.60000002</v>
      </c>
      <c r="H198" s="5">
        <f>clones!K198*clones!$B198</f>
        <v>548323474</v>
      </c>
    </row>
    <row r="199" spans="1:8">
      <c r="A199" s="5">
        <f>clones!D199*clones!$B199</f>
        <v>-38334464</v>
      </c>
      <c r="B199" s="5">
        <f>clones!E199*clones!$B199</f>
        <v>-93200665.599999994</v>
      </c>
      <c r="C199" s="5">
        <f>clones!F199*clones!$B199</f>
        <v>527458265.59999996</v>
      </c>
      <c r="D199" s="5">
        <f>clones!G199*clones!$B199</f>
        <v>38813644.799999997</v>
      </c>
      <c r="E199" s="5">
        <f>clones!H199*clones!$B199</f>
        <v>157650483.19999999</v>
      </c>
      <c r="F199" s="5">
        <f>clones!I199*clones!$B199</f>
        <v>379750784</v>
      </c>
      <c r="G199" s="5">
        <f>clones!J199*clones!$B199</f>
        <v>568188633.60000002</v>
      </c>
      <c r="H199" s="5">
        <f>clones!K199*clones!$B199</f>
        <v>538479424</v>
      </c>
    </row>
    <row r="200" spans="1:8">
      <c r="A200" s="5">
        <f>clones!D200*clones!$B200</f>
        <v>-38035968</v>
      </c>
      <c r="B200" s="5">
        <f>clones!E200*clones!$B200</f>
        <v>-92474947.199999988</v>
      </c>
      <c r="C200" s="5">
        <f>clones!F200*clones!$B200</f>
        <v>523351147.19999999</v>
      </c>
      <c r="D200" s="5">
        <f>clones!G200*clones!$B200</f>
        <v>38511417.600000001</v>
      </c>
      <c r="E200" s="5">
        <f>clones!H200*clones!$B200</f>
        <v>156422918.40000001</v>
      </c>
      <c r="F200" s="5">
        <f>clones!I200*clones!$B200</f>
        <v>376793808</v>
      </c>
      <c r="G200" s="5">
        <f>clones!J200*clones!$B200</f>
        <v>563764363.19999993</v>
      </c>
      <c r="H200" s="5">
        <f>clones!K200*clones!$B200</f>
        <v>534286488</v>
      </c>
    </row>
    <row r="201" spans="1:8">
      <c r="A201" s="5">
        <f>clones!D201*clones!$B201</f>
        <v>-37902336</v>
      </c>
      <c r="B201" s="5">
        <f>clones!E201*clones!$B201</f>
        <v>-92150054.400000006</v>
      </c>
      <c r="C201" s="5">
        <f>clones!F201*clones!$B201</f>
        <v>521512454.40000004</v>
      </c>
      <c r="D201" s="5">
        <f>clones!G201*clones!$B201</f>
        <v>38376115.200000003</v>
      </c>
      <c r="E201" s="5">
        <f>clones!H201*clones!$B201</f>
        <v>155873356.80000001</v>
      </c>
      <c r="F201" s="5">
        <f>clones!I201*clones!$B201</f>
        <v>375470016</v>
      </c>
      <c r="G201" s="5">
        <f>clones!J201*clones!$B201</f>
        <v>561783686.39999998</v>
      </c>
      <c r="H201" s="5">
        <f>clones!K201*clones!$B201</f>
        <v>532409376</v>
      </c>
    </row>
    <row r="202" spans="1:8">
      <c r="A202" s="5">
        <f>clones!D202*clones!$B202</f>
        <v>-37002496</v>
      </c>
      <c r="B202" s="5">
        <f>clones!E202*clones!$B202</f>
        <v>-89962318.400000006</v>
      </c>
      <c r="C202" s="5">
        <f>clones!F202*clones!$B202</f>
        <v>509131218.40000004</v>
      </c>
      <c r="D202" s="5">
        <f>clones!G202*clones!$B202</f>
        <v>37465027.200000003</v>
      </c>
      <c r="E202" s="5">
        <f>clones!H202*clones!$B202</f>
        <v>152172764.80000001</v>
      </c>
      <c r="F202" s="5">
        <f>clones!I202*clones!$B202</f>
        <v>366555976</v>
      </c>
      <c r="G202" s="5">
        <f>clones!J202*clones!$B202</f>
        <v>548446370.39999998</v>
      </c>
      <c r="H202" s="5">
        <f>clones!K202*clones!$B202</f>
        <v>519769436</v>
      </c>
    </row>
    <row r="203" spans="1:8">
      <c r="A203" s="5">
        <f>clones!D203*clones!$B203</f>
        <v>-36704384</v>
      </c>
      <c r="B203" s="5">
        <f>clones!E203*clones!$B203</f>
        <v>-89237533.599999994</v>
      </c>
      <c r="C203" s="5">
        <f>clones!F203*clones!$B203</f>
        <v>505029383.59999996</v>
      </c>
      <c r="D203" s="5">
        <f>clones!G203*clones!$B203</f>
        <v>37163188.799999997</v>
      </c>
      <c r="E203" s="5">
        <f>clones!H203*clones!$B203</f>
        <v>150946779.19999999</v>
      </c>
      <c r="F203" s="5">
        <f>clones!I203*clones!$B203</f>
        <v>363602804</v>
      </c>
      <c r="G203" s="5">
        <f>clones!J203*clones!$B203</f>
        <v>544027791.60000002</v>
      </c>
      <c r="H203" s="5">
        <f>clones!K203*clones!$B203</f>
        <v>515581894</v>
      </c>
    </row>
    <row r="204" spans="1:8">
      <c r="A204" s="5">
        <f>clones!D204*clones!$B204</f>
        <v>-36548736</v>
      </c>
      <c r="B204" s="5">
        <f>clones!E204*clones!$B204</f>
        <v>-88859114.400000006</v>
      </c>
      <c r="C204" s="5">
        <f>clones!F204*clones!$B204</f>
        <v>502887764.40000004</v>
      </c>
      <c r="D204" s="5">
        <f>clones!G204*clones!$B204</f>
        <v>37005595.200000003</v>
      </c>
      <c r="E204" s="5">
        <f>clones!H204*clones!$B204</f>
        <v>150306676.80000001</v>
      </c>
      <c r="F204" s="5">
        <f>clones!I204*clones!$B204</f>
        <v>362060916</v>
      </c>
      <c r="G204" s="5">
        <f>clones!J204*clones!$B204</f>
        <v>541720796.39999998</v>
      </c>
      <c r="H204" s="5">
        <f>clones!K204*clones!$B204</f>
        <v>513395526</v>
      </c>
    </row>
    <row r="205" spans="1:8">
      <c r="A205" s="5">
        <f>clones!D205*clones!$B205</f>
        <v>-36125824</v>
      </c>
      <c r="B205" s="5">
        <f>clones!E205*clones!$B205</f>
        <v>-87830909.599999994</v>
      </c>
      <c r="C205" s="5">
        <f>clones!F205*clones!$B205</f>
        <v>497068759.59999996</v>
      </c>
      <c r="D205" s="5">
        <f>clones!G205*clones!$B205</f>
        <v>36577396.799999997</v>
      </c>
      <c r="E205" s="5">
        <f>clones!H205*clones!$B205</f>
        <v>148567451.19999999</v>
      </c>
      <c r="F205" s="5">
        <f>clones!I205*clones!$B205</f>
        <v>357871444</v>
      </c>
      <c r="G205" s="5">
        <f>clones!J205*clones!$B205</f>
        <v>535452447.59999996</v>
      </c>
      <c r="H205" s="5">
        <f>clones!K205*clones!$B205</f>
        <v>507454934</v>
      </c>
    </row>
    <row r="206" spans="1:8">
      <c r="A206" s="5">
        <f>clones!D206*clones!$B206</f>
        <v>-35792128</v>
      </c>
      <c r="B206" s="5">
        <f>clones!E206*clones!$B206</f>
        <v>-87019611.199999988</v>
      </c>
      <c r="C206" s="5">
        <f>clones!F206*clones!$B206</f>
        <v>492477311.19999999</v>
      </c>
      <c r="D206" s="5">
        <f>clones!G206*clones!$B206</f>
        <v>36239529.600000001</v>
      </c>
      <c r="E206" s="5">
        <f>clones!H206*clones!$B206</f>
        <v>147195126.40000001</v>
      </c>
      <c r="F206" s="5">
        <f>clones!I206*clones!$B206</f>
        <v>354565768</v>
      </c>
      <c r="G206" s="5">
        <f>clones!J206*clones!$B206</f>
        <v>530506447.19999999</v>
      </c>
      <c r="H206" s="5">
        <f>clones!K206*clones!$B206</f>
        <v>502767548</v>
      </c>
    </row>
    <row r="207" spans="1:8">
      <c r="A207" s="5">
        <f>clones!D207*clones!$B207</f>
        <v>-35633152</v>
      </c>
      <c r="B207" s="5">
        <f>clones!E207*clones!$B207</f>
        <v>-86633100.800000012</v>
      </c>
      <c r="C207" s="5">
        <f>clones!F207*clones!$B207</f>
        <v>490289900.80000001</v>
      </c>
      <c r="D207" s="5">
        <f>clones!G207*clones!$B207</f>
        <v>36078566.399999999</v>
      </c>
      <c r="E207" s="5">
        <f>clones!H207*clones!$B207</f>
        <v>146541337.59999999</v>
      </c>
      <c r="F207" s="5">
        <f>clones!I207*clones!$B207</f>
        <v>352990912</v>
      </c>
      <c r="G207" s="5">
        <f>clones!J207*clones!$B207</f>
        <v>528150124.80000001</v>
      </c>
      <c r="H207" s="5">
        <f>clones!K207*clones!$B207</f>
        <v>500534432</v>
      </c>
    </row>
    <row r="208" spans="1:8">
      <c r="A208" s="5">
        <f>clones!D208*clones!$B208</f>
        <v>-35608448</v>
      </c>
      <c r="B208" s="5">
        <f>clones!E208*clones!$B208</f>
        <v>-86573039.199999988</v>
      </c>
      <c r="C208" s="5">
        <f>clones!F208*clones!$B208</f>
        <v>489949989.19999999</v>
      </c>
      <c r="D208" s="5">
        <f>clones!G208*clones!$B208</f>
        <v>36053553.600000001</v>
      </c>
      <c r="E208" s="5">
        <f>clones!H208*clones!$B208</f>
        <v>146439742.40000001</v>
      </c>
      <c r="F208" s="5">
        <f>clones!I208*clones!$B208</f>
        <v>352746188</v>
      </c>
      <c r="G208" s="5">
        <f>clones!J208*clones!$B208</f>
        <v>527783965.19999999</v>
      </c>
      <c r="H208" s="5">
        <f>clones!K208*clones!$B208</f>
        <v>500187418</v>
      </c>
    </row>
    <row r="209" spans="1:8">
      <c r="A209" s="5">
        <f>clones!D209*clones!$B209</f>
        <v>-34657152</v>
      </c>
      <c r="B209" s="5">
        <f>clones!E209*clones!$B209</f>
        <v>-84260200.800000012</v>
      </c>
      <c r="C209" s="5">
        <f>clones!F209*clones!$B209</f>
        <v>476860750.80000001</v>
      </c>
      <c r="D209" s="5">
        <f>clones!G209*clones!$B209</f>
        <v>35090366.399999999</v>
      </c>
      <c r="E209" s="5">
        <f>clones!H209*clones!$B209</f>
        <v>142527537.59999999</v>
      </c>
      <c r="F209" s="5">
        <f>clones!I209*clones!$B209</f>
        <v>343322412</v>
      </c>
      <c r="G209" s="5">
        <f>clones!J209*clones!$B209</f>
        <v>513683974.80000001</v>
      </c>
      <c r="H209" s="5">
        <f>clones!K209*clones!$B209</f>
        <v>486824682</v>
      </c>
    </row>
    <row r="210" spans="1:8">
      <c r="A210" s="5">
        <f>clones!D210*clones!$B210</f>
        <v>-33419520</v>
      </c>
      <c r="B210" s="5">
        <f>clones!E210*clones!$B210</f>
        <v>-81251208</v>
      </c>
      <c r="C210" s="5">
        <f>clones!F210*clones!$B210</f>
        <v>459831708</v>
      </c>
      <c r="D210" s="5">
        <f>clones!G210*clones!$B210</f>
        <v>33837264</v>
      </c>
      <c r="E210" s="5">
        <f>clones!H210*clones!$B210</f>
        <v>137437776</v>
      </c>
      <c r="F210" s="5">
        <f>clones!I210*clones!$B210</f>
        <v>331062120</v>
      </c>
      <c r="G210" s="5">
        <f>clones!J210*clones!$B210</f>
        <v>495339948</v>
      </c>
      <c r="H210" s="5">
        <f>clones!K210*clones!$B210</f>
        <v>469439820</v>
      </c>
    </row>
    <row r="211" spans="1:8">
      <c r="A211" s="5">
        <f>clones!D211*clones!$B211</f>
        <v>-33398016</v>
      </c>
      <c r="B211" s="5">
        <f>clones!E211*clones!$B211</f>
        <v>-81198926.400000006</v>
      </c>
      <c r="C211" s="5">
        <f>clones!F211*clones!$B211</f>
        <v>459535826.40000004</v>
      </c>
      <c r="D211" s="5">
        <f>clones!G211*clones!$B211</f>
        <v>33815491.200000003</v>
      </c>
      <c r="E211" s="5">
        <f>clones!H211*clones!$B211</f>
        <v>137349340.80000001</v>
      </c>
      <c r="F211" s="5">
        <f>clones!I211*clones!$B211</f>
        <v>330849096</v>
      </c>
      <c r="G211" s="5">
        <f>clones!J211*clones!$B211</f>
        <v>495021218.40000004</v>
      </c>
      <c r="H211" s="5">
        <f>clones!K211*clones!$B211</f>
        <v>469137756</v>
      </c>
    </row>
    <row r="212" spans="1:8">
      <c r="A212" s="5">
        <f>clones!D212*clones!$B212</f>
        <v>-33379456</v>
      </c>
      <c r="B212" s="5">
        <f>clones!E212*clones!$B212</f>
        <v>-81153802.400000006</v>
      </c>
      <c r="C212" s="5">
        <f>clones!F212*clones!$B212</f>
        <v>459280452.40000004</v>
      </c>
      <c r="D212" s="5">
        <f>clones!G212*clones!$B212</f>
        <v>33796699.200000003</v>
      </c>
      <c r="E212" s="5">
        <f>clones!H212*clones!$B212</f>
        <v>137273012.80000001</v>
      </c>
      <c r="F212" s="5">
        <f>clones!I212*clones!$B212</f>
        <v>330665236</v>
      </c>
      <c r="G212" s="5">
        <f>clones!J212*clones!$B212</f>
        <v>494746124.40000004</v>
      </c>
      <c r="H212" s="5">
        <f>clones!K212*clones!$B212</f>
        <v>468877046</v>
      </c>
    </row>
    <row r="213" spans="1:8">
      <c r="A213" s="5">
        <f>clones!D213*clones!$B213</f>
        <v>-33298432</v>
      </c>
      <c r="B213" s="5">
        <f>clones!E213*clones!$B213</f>
        <v>-80956812.800000012</v>
      </c>
      <c r="C213" s="5">
        <f>clones!F213*clones!$B213</f>
        <v>458165612.80000001</v>
      </c>
      <c r="D213" s="5">
        <f>clones!G213*clones!$B213</f>
        <v>33714662.399999999</v>
      </c>
      <c r="E213" s="5">
        <f>clones!H213*clones!$B213</f>
        <v>136939801.59999999</v>
      </c>
      <c r="F213" s="5">
        <f>clones!I213*clones!$B213</f>
        <v>329862592</v>
      </c>
      <c r="G213" s="5">
        <f>clones!J213*clones!$B213</f>
        <v>493545196.80000001</v>
      </c>
      <c r="H213" s="5">
        <f>clones!K213*clones!$B213</f>
        <v>467738912</v>
      </c>
    </row>
    <row r="214" spans="1:8">
      <c r="A214" s="5">
        <f>clones!D214*clones!$B214</f>
        <v>-32685824</v>
      </c>
      <c r="B214" s="5">
        <f>clones!E214*clones!$B214</f>
        <v>-79467409.599999994</v>
      </c>
      <c r="C214" s="5">
        <f>clones!F214*clones!$B214</f>
        <v>449736509.59999996</v>
      </c>
      <c r="D214" s="5">
        <f>clones!G214*clones!$B214</f>
        <v>33094396.800000001</v>
      </c>
      <c r="E214" s="5">
        <f>clones!H214*clones!$B214</f>
        <v>134420451.19999999</v>
      </c>
      <c r="F214" s="5">
        <f>clones!I214*clones!$B214</f>
        <v>323793944</v>
      </c>
      <c r="G214" s="5">
        <f>clones!J214*clones!$B214</f>
        <v>484465197.59999996</v>
      </c>
      <c r="H214" s="5">
        <f>clones!K214*clones!$B214</f>
        <v>459133684</v>
      </c>
    </row>
    <row r="215" spans="1:8">
      <c r="A215" s="5">
        <f>clones!D215*clones!$B215</f>
        <v>-32331520</v>
      </c>
      <c r="B215" s="5">
        <f>clones!E215*clones!$B215</f>
        <v>-78606008</v>
      </c>
      <c r="C215" s="5">
        <f>clones!F215*clones!$B215</f>
        <v>444861508</v>
      </c>
      <c r="D215" s="5">
        <f>clones!G215*clones!$B215</f>
        <v>32735664</v>
      </c>
      <c r="E215" s="5">
        <f>clones!H215*clones!$B215</f>
        <v>132963376</v>
      </c>
      <c r="F215" s="5">
        <f>clones!I215*clones!$B215</f>
        <v>320284120</v>
      </c>
      <c r="G215" s="5">
        <f>clones!J215*clones!$B215</f>
        <v>479213748</v>
      </c>
      <c r="H215" s="5">
        <f>clones!K215*clones!$B215</f>
        <v>454156820</v>
      </c>
    </row>
    <row r="216" spans="1:8">
      <c r="A216" s="5">
        <f>clones!D216*clones!$B216</f>
        <v>-31758336</v>
      </c>
      <c r="B216" s="5">
        <f>clones!E216*clones!$B216</f>
        <v>-77212454.400000006</v>
      </c>
      <c r="C216" s="5">
        <f>clones!F216*clones!$B216</f>
        <v>436974854.40000004</v>
      </c>
      <c r="D216" s="5">
        <f>clones!G216*clones!$B216</f>
        <v>32155315.199999999</v>
      </c>
      <c r="E216" s="5">
        <f>clones!H216*clones!$B216</f>
        <v>130606156.8</v>
      </c>
      <c r="F216" s="5">
        <f>clones!I216*clones!$B216</f>
        <v>314606016</v>
      </c>
      <c r="G216" s="5">
        <f>clones!J216*clones!$B216</f>
        <v>470718086.40000004</v>
      </c>
      <c r="H216" s="5">
        <f>clones!K216*clones!$B216</f>
        <v>446105376</v>
      </c>
    </row>
    <row r="217" spans="1:8">
      <c r="A217" s="5">
        <f>clones!D217*clones!$B217</f>
        <v>-30164992</v>
      </c>
      <c r="B217" s="5">
        <f>clones!E217*clones!$B217</f>
        <v>-73338636.800000012</v>
      </c>
      <c r="C217" s="5">
        <f>clones!F217*clones!$B217</f>
        <v>415051436.80000001</v>
      </c>
      <c r="D217" s="5">
        <f>clones!G217*clones!$B217</f>
        <v>30542054.400000002</v>
      </c>
      <c r="E217" s="5">
        <f>clones!H217*clones!$B217</f>
        <v>124053529.60000001</v>
      </c>
      <c r="F217" s="5">
        <f>clones!I217*clones!$B217</f>
        <v>298821952</v>
      </c>
      <c r="G217" s="5">
        <f>clones!J217*clones!$B217</f>
        <v>447101740.80000001</v>
      </c>
      <c r="H217" s="5">
        <f>clones!K217*clones!$B217</f>
        <v>423723872</v>
      </c>
    </row>
    <row r="218" spans="1:8">
      <c r="A218" s="5">
        <f>clones!D218*clones!$B218</f>
        <v>-29852416</v>
      </c>
      <c r="B218" s="5">
        <f>clones!E218*clones!$B218</f>
        <v>-72578686.400000006</v>
      </c>
      <c r="C218" s="5">
        <f>clones!F218*clones!$B218</f>
        <v>410750586.40000004</v>
      </c>
      <c r="D218" s="5">
        <f>clones!G218*clones!$B218</f>
        <v>30225571.199999999</v>
      </c>
      <c r="E218" s="5">
        <f>clones!H218*clones!$B218</f>
        <v>122768060.8</v>
      </c>
      <c r="F218" s="5">
        <f>clones!I218*clones!$B218</f>
        <v>295725496</v>
      </c>
      <c r="G218" s="5">
        <f>clones!J218*clones!$B218</f>
        <v>442468778.40000004</v>
      </c>
      <c r="H218" s="5">
        <f>clones!K218*clones!$B218</f>
        <v>419333156</v>
      </c>
    </row>
    <row r="219" spans="1:8">
      <c r="A219" s="5">
        <f>clones!D219*clones!$B219</f>
        <v>-27833856</v>
      </c>
      <c r="B219" s="5">
        <f>clones!E219*clones!$B219</f>
        <v>-67671062.400000006</v>
      </c>
      <c r="C219" s="5">
        <f>clones!F219*clones!$B219</f>
        <v>382976462.40000004</v>
      </c>
      <c r="D219" s="5">
        <f>clones!G219*clones!$B219</f>
        <v>28181779.199999999</v>
      </c>
      <c r="E219" s="5">
        <f>clones!H219*clones!$B219</f>
        <v>114466732.8</v>
      </c>
      <c r="F219" s="5">
        <f>clones!I219*clones!$B219</f>
        <v>275729136</v>
      </c>
      <c r="G219" s="5">
        <f>clones!J219*clones!$B219</f>
        <v>412549934.40000004</v>
      </c>
      <c r="H219" s="5">
        <f>clones!K219*clones!$B219</f>
        <v>390978696</v>
      </c>
    </row>
    <row r="220" spans="1:8">
      <c r="A220" s="5">
        <f>clones!D220*clones!$B220</f>
        <v>-27788672</v>
      </c>
      <c r="B220" s="5">
        <f>clones!E220*clones!$B220</f>
        <v>-67561208.800000012</v>
      </c>
      <c r="C220" s="5">
        <f>clones!F220*clones!$B220</f>
        <v>382354758.80000001</v>
      </c>
      <c r="D220" s="5">
        <f>clones!G220*clones!$B220</f>
        <v>28136030.400000002</v>
      </c>
      <c r="E220" s="5">
        <f>clones!H220*clones!$B220</f>
        <v>114280913.60000001</v>
      </c>
      <c r="F220" s="5">
        <f>clones!I220*clones!$B220</f>
        <v>275281532</v>
      </c>
      <c r="G220" s="5">
        <f>clones!J220*clones!$B220</f>
        <v>411880222.80000001</v>
      </c>
      <c r="H220" s="5">
        <f>clones!K220*clones!$B220</f>
        <v>390344002</v>
      </c>
    </row>
    <row r="221" spans="1:8">
      <c r="A221" s="5">
        <f>clones!D221*clones!$B221</f>
        <v>-27716608</v>
      </c>
      <c r="B221" s="5">
        <f>clones!E221*clones!$B221</f>
        <v>-67386003.199999988</v>
      </c>
      <c r="C221" s="5">
        <f>clones!F221*clones!$B221</f>
        <v>381363203.19999999</v>
      </c>
      <c r="D221" s="5">
        <f>clones!G221*clones!$B221</f>
        <v>28063065.599999998</v>
      </c>
      <c r="E221" s="5">
        <f>clones!H221*clones!$B221</f>
        <v>113984550.39999999</v>
      </c>
      <c r="F221" s="5">
        <f>clones!I221*clones!$B221</f>
        <v>274567648</v>
      </c>
      <c r="G221" s="5">
        <f>clones!J221*clones!$B221</f>
        <v>410812099.19999999</v>
      </c>
      <c r="H221" s="5">
        <f>clones!K221*clones!$B221</f>
        <v>389331728</v>
      </c>
    </row>
    <row r="222" spans="1:8">
      <c r="A222" s="5">
        <f>clones!D222*clones!$B222</f>
        <v>-27137280</v>
      </c>
      <c r="B222" s="5">
        <f>clones!E222*clones!$B222</f>
        <v>-65977512</v>
      </c>
      <c r="C222" s="5">
        <f>clones!F222*clones!$B222</f>
        <v>373392012</v>
      </c>
      <c r="D222" s="5">
        <f>clones!G222*clones!$B222</f>
        <v>27476496</v>
      </c>
      <c r="E222" s="5">
        <f>clones!H222*clones!$B222</f>
        <v>111602064</v>
      </c>
      <c r="F222" s="5">
        <f>clones!I222*clones!$B222</f>
        <v>268828680</v>
      </c>
      <c r="G222" s="5">
        <f>clones!J222*clones!$B222</f>
        <v>402225372</v>
      </c>
      <c r="H222" s="5">
        <f>clones!K222*clones!$B222</f>
        <v>381193980</v>
      </c>
    </row>
    <row r="223" spans="1:8">
      <c r="A223" s="5">
        <f>clones!D223*clones!$B223</f>
        <v>-26713216</v>
      </c>
      <c r="B223" s="5">
        <f>clones!E223*clones!$B223</f>
        <v>-64946506.400000006</v>
      </c>
      <c r="C223" s="5">
        <f>clones!F223*clones!$B223</f>
        <v>367557156.40000004</v>
      </c>
      <c r="D223" s="5">
        <f>clones!G223*clones!$B223</f>
        <v>27047131.199999999</v>
      </c>
      <c r="E223" s="5">
        <f>clones!H223*clones!$B223</f>
        <v>109858100.8</v>
      </c>
      <c r="F223" s="5">
        <f>clones!I223*clones!$B223</f>
        <v>264627796</v>
      </c>
      <c r="G223" s="5">
        <f>clones!J223*clones!$B223</f>
        <v>395939948.40000004</v>
      </c>
      <c r="H223" s="5">
        <f>clones!K223*clones!$B223</f>
        <v>375237206</v>
      </c>
    </row>
    <row r="224" spans="1:8">
      <c r="A224" s="5">
        <f>clones!D224*clones!$B224</f>
        <v>-26449920</v>
      </c>
      <c r="B224" s="5">
        <f>clones!E224*clones!$B224</f>
        <v>-64306368</v>
      </c>
      <c r="C224" s="5">
        <f>clones!F224*clones!$B224</f>
        <v>363934368</v>
      </c>
      <c r="D224" s="5">
        <f>clones!G224*clones!$B224</f>
        <v>26780544</v>
      </c>
      <c r="E224" s="5">
        <f>clones!H224*clones!$B224</f>
        <v>108775296</v>
      </c>
      <c r="F224" s="5">
        <f>clones!I224*clones!$B224</f>
        <v>262019520</v>
      </c>
      <c r="G224" s="5">
        <f>clones!J224*clones!$B224</f>
        <v>392037408</v>
      </c>
      <c r="H224" s="5">
        <f>clones!K224*clones!$B224</f>
        <v>371538720</v>
      </c>
    </row>
    <row r="225" spans="1:8">
      <c r="A225" s="5">
        <f>clones!D225*clones!$B225</f>
        <v>-26419840</v>
      </c>
      <c r="B225" s="5">
        <f>clones!E225*clones!$B225</f>
        <v>-64233236</v>
      </c>
      <c r="C225" s="5">
        <f>clones!F225*clones!$B225</f>
        <v>363520486</v>
      </c>
      <c r="D225" s="5">
        <f>clones!G225*clones!$B225</f>
        <v>26750088</v>
      </c>
      <c r="E225" s="5">
        <f>clones!H225*clones!$B225</f>
        <v>108651592</v>
      </c>
      <c r="F225" s="5">
        <f>clones!I225*clones!$B225</f>
        <v>261721540</v>
      </c>
      <c r="G225" s="5">
        <f>clones!J225*clones!$B225</f>
        <v>391591566</v>
      </c>
      <c r="H225" s="5">
        <f>clones!K225*clones!$B225</f>
        <v>371116190</v>
      </c>
    </row>
    <row r="226" spans="1:8">
      <c r="A226" s="5">
        <f>clones!D226*clones!$B226</f>
        <v>-26379520</v>
      </c>
      <c r="B226" s="5">
        <f>clones!E226*clones!$B226</f>
        <v>-64135208</v>
      </c>
      <c r="C226" s="5">
        <f>clones!F226*clones!$B226</f>
        <v>362965708</v>
      </c>
      <c r="D226" s="5">
        <f>clones!G226*clones!$B226</f>
        <v>26709264</v>
      </c>
      <c r="E226" s="5">
        <f>clones!H226*clones!$B226</f>
        <v>108485776</v>
      </c>
      <c r="F226" s="5">
        <f>clones!I226*clones!$B226</f>
        <v>261322120</v>
      </c>
      <c r="G226" s="5">
        <f>clones!J226*clones!$B226</f>
        <v>390993948</v>
      </c>
      <c r="H226" s="5">
        <f>clones!K226*clones!$B226</f>
        <v>370549820</v>
      </c>
    </row>
    <row r="227" spans="1:8">
      <c r="A227" s="5">
        <f>clones!D227*clones!$B227</f>
        <v>-26201600</v>
      </c>
      <c r="B227" s="5">
        <f>clones!E227*clones!$B227</f>
        <v>-63702640</v>
      </c>
      <c r="C227" s="5">
        <f>clones!F227*clones!$B227</f>
        <v>360517640</v>
      </c>
      <c r="D227" s="5">
        <f>clones!G227*clones!$B227</f>
        <v>26529120</v>
      </c>
      <c r="E227" s="5">
        <f>clones!H227*clones!$B227</f>
        <v>107754080</v>
      </c>
      <c r="F227" s="5">
        <f>clones!I227*clones!$B227</f>
        <v>259559600</v>
      </c>
      <c r="G227" s="5">
        <f>clones!J227*clones!$B227</f>
        <v>388356840</v>
      </c>
      <c r="H227" s="5">
        <f>clones!K227*clones!$B227</f>
        <v>368050600</v>
      </c>
    </row>
    <row r="228" spans="1:8">
      <c r="A228" s="5">
        <f>clones!D228*clones!$B228</f>
        <v>-25554048</v>
      </c>
      <c r="B228" s="5">
        <f>clones!E228*clones!$B228</f>
        <v>-62128279.199999996</v>
      </c>
      <c r="C228" s="5">
        <f>clones!F228*clones!$B228</f>
        <v>351607729.19999999</v>
      </c>
      <c r="D228" s="5">
        <f>clones!G228*clones!$B228</f>
        <v>25873473.599999998</v>
      </c>
      <c r="E228" s="5">
        <f>clones!H228*clones!$B228</f>
        <v>105091022.39999999</v>
      </c>
      <c r="F228" s="5">
        <f>clones!I228*clones!$B228</f>
        <v>253144787.99999997</v>
      </c>
      <c r="G228" s="5">
        <f>clones!J228*clones!$B228</f>
        <v>378758905.19999999</v>
      </c>
      <c r="H228" s="5">
        <f>clones!K228*clones!$B228</f>
        <v>358954518</v>
      </c>
    </row>
    <row r="229" spans="1:8">
      <c r="A229" s="5">
        <f>clones!D229*clones!$B229</f>
        <v>-25371648</v>
      </c>
      <c r="B229" s="5">
        <f>clones!E229*clones!$B229</f>
        <v>-61684819.199999996</v>
      </c>
      <c r="C229" s="5">
        <f>clones!F229*clones!$B229</f>
        <v>349098019.19999999</v>
      </c>
      <c r="D229" s="5">
        <f>clones!G229*clones!$B229</f>
        <v>25688793.599999998</v>
      </c>
      <c r="E229" s="5">
        <f>clones!H229*clones!$B229</f>
        <v>104340902.39999999</v>
      </c>
      <c r="F229" s="5">
        <f>clones!I229*clones!$B229</f>
        <v>251337887.99999997</v>
      </c>
      <c r="G229" s="5">
        <f>clones!J229*clones!$B229</f>
        <v>376055395.19999999</v>
      </c>
      <c r="H229" s="5">
        <f>clones!K229*clones!$B229</f>
        <v>356392368</v>
      </c>
    </row>
    <row r="230" spans="1:8">
      <c r="A230" s="5">
        <f>clones!D230*clones!$B230</f>
        <v>-25236864</v>
      </c>
      <c r="B230" s="5">
        <f>clones!E230*clones!$B230</f>
        <v>-61357125.599999994</v>
      </c>
      <c r="C230" s="5">
        <f>clones!F230*clones!$B230</f>
        <v>347243475.59999996</v>
      </c>
      <c r="D230" s="5">
        <f>clones!G230*clones!$B230</f>
        <v>25552324.800000001</v>
      </c>
      <c r="E230" s="5">
        <f>clones!H230*clones!$B230</f>
        <v>103786603.2</v>
      </c>
      <c r="F230" s="5">
        <f>clones!I230*clones!$B230</f>
        <v>250002684</v>
      </c>
      <c r="G230" s="5">
        <f>clones!J230*clones!$B230</f>
        <v>374057643.59999996</v>
      </c>
      <c r="H230" s="5">
        <f>clones!K230*clones!$B230</f>
        <v>354499074</v>
      </c>
    </row>
    <row r="231" spans="1:8">
      <c r="A231" s="5">
        <f>clones!D231*clones!$B231</f>
        <v>-25127296</v>
      </c>
      <c r="B231" s="5">
        <f>clones!E231*clones!$B231</f>
        <v>-61090738.400000006</v>
      </c>
      <c r="C231" s="5">
        <f>clones!F231*clones!$B231</f>
        <v>345735888.40000004</v>
      </c>
      <c r="D231" s="5">
        <f>clones!G231*clones!$B231</f>
        <v>25441387.199999999</v>
      </c>
      <c r="E231" s="5">
        <f>clones!H231*clones!$B231</f>
        <v>103336004.8</v>
      </c>
      <c r="F231" s="5">
        <f>clones!I231*clones!$B231</f>
        <v>248917276</v>
      </c>
      <c r="G231" s="5">
        <f>clones!J231*clones!$B231</f>
        <v>372433640.40000004</v>
      </c>
      <c r="H231" s="5">
        <f>clones!K231*clones!$B231</f>
        <v>352959986</v>
      </c>
    </row>
    <row r="232" spans="1:8">
      <c r="A232" s="5">
        <f>clones!D232*clones!$B232</f>
        <v>-24969472</v>
      </c>
      <c r="B232" s="5">
        <f>clones!E232*clones!$B232</f>
        <v>-60707028.800000004</v>
      </c>
      <c r="C232" s="5">
        <f>clones!F232*clones!$B232</f>
        <v>343564328.80000001</v>
      </c>
      <c r="D232" s="5">
        <f>clones!G232*clones!$B232</f>
        <v>25281590.400000002</v>
      </c>
      <c r="E232" s="5">
        <f>clones!H232*clones!$B232</f>
        <v>102686953.60000001</v>
      </c>
      <c r="F232" s="5">
        <f>clones!I232*clones!$B232</f>
        <v>247353832.00000003</v>
      </c>
      <c r="G232" s="5">
        <f>clones!J232*clones!$B232</f>
        <v>370094392.80000001</v>
      </c>
      <c r="H232" s="5">
        <f>clones!K232*clones!$B232</f>
        <v>350743052</v>
      </c>
    </row>
    <row r="233" spans="1:8">
      <c r="A233" s="5">
        <f>clones!D233*clones!$B233</f>
        <v>-24699392</v>
      </c>
      <c r="B233" s="5">
        <f>clones!E233*clones!$B233</f>
        <v>-60050396.800000004</v>
      </c>
      <c r="C233" s="5">
        <f>clones!F233*clones!$B233</f>
        <v>339848196.80000001</v>
      </c>
      <c r="D233" s="5">
        <f>clones!G233*clones!$B233</f>
        <v>25008134.400000002</v>
      </c>
      <c r="E233" s="5">
        <f>clones!H233*clones!$B233</f>
        <v>101576249.60000001</v>
      </c>
      <c r="F233" s="5">
        <f>clones!I233*clones!$B233</f>
        <v>244678352.00000003</v>
      </c>
      <c r="G233" s="5">
        <f>clones!J233*clones!$B233</f>
        <v>366091300.80000001</v>
      </c>
      <c r="H233" s="5">
        <f>clones!K233*clones!$B233</f>
        <v>346949272</v>
      </c>
    </row>
    <row r="234" spans="1:8">
      <c r="A234" s="5">
        <f>clones!D234*clones!$B234</f>
        <v>-24523520</v>
      </c>
      <c r="B234" s="5">
        <f>clones!E234*clones!$B234</f>
        <v>-59622808</v>
      </c>
      <c r="C234" s="5">
        <f>clones!F234*clones!$B234</f>
        <v>337428308</v>
      </c>
      <c r="D234" s="5">
        <f>clones!G234*clones!$B234</f>
        <v>24830064</v>
      </c>
      <c r="E234" s="5">
        <f>clones!H234*clones!$B234</f>
        <v>100852976</v>
      </c>
      <c r="F234" s="5">
        <f>clones!I234*clones!$B234</f>
        <v>242936120</v>
      </c>
      <c r="G234" s="5">
        <f>clones!J234*clones!$B234</f>
        <v>363484548</v>
      </c>
      <c r="H234" s="5">
        <f>clones!K234*clones!$B234</f>
        <v>344478820</v>
      </c>
    </row>
    <row r="235" spans="1:8">
      <c r="A235" s="5">
        <f>clones!D235*clones!$B235</f>
        <v>-24146432</v>
      </c>
      <c r="B235" s="5">
        <f>clones!E235*clones!$B235</f>
        <v>-58706012.800000004</v>
      </c>
      <c r="C235" s="5">
        <f>clones!F235*clones!$B235</f>
        <v>332239812.80000001</v>
      </c>
      <c r="D235" s="5">
        <f>clones!G235*clones!$B235</f>
        <v>24448262.400000002</v>
      </c>
      <c r="E235" s="5">
        <f>clones!H235*clones!$B235</f>
        <v>99302201.600000009</v>
      </c>
      <c r="F235" s="5">
        <f>clones!I235*clones!$B235</f>
        <v>239200592.00000003</v>
      </c>
      <c r="G235" s="5">
        <f>clones!J235*clones!$B235</f>
        <v>357895396.80000001</v>
      </c>
      <c r="H235" s="5">
        <f>clones!K235*clones!$B235</f>
        <v>339181912</v>
      </c>
    </row>
    <row r="236" spans="1:8">
      <c r="A236" s="5">
        <f>clones!D236*clones!$B236</f>
        <v>-24131712</v>
      </c>
      <c r="B236" s="5">
        <f>clones!E236*clones!$B236</f>
        <v>-58670224.800000004</v>
      </c>
      <c r="C236" s="5">
        <f>clones!F236*clones!$B236</f>
        <v>332037274.80000001</v>
      </c>
      <c r="D236" s="5">
        <f>clones!G236*clones!$B236</f>
        <v>24433358.400000002</v>
      </c>
      <c r="E236" s="5">
        <f>clones!H236*clones!$B236</f>
        <v>99241665.600000009</v>
      </c>
      <c r="F236" s="5">
        <f>clones!I236*clones!$B236</f>
        <v>239054772.00000003</v>
      </c>
      <c r="G236" s="5">
        <f>clones!J236*clones!$B236</f>
        <v>357677218.80000001</v>
      </c>
      <c r="H236" s="5">
        <f>clones!K236*clones!$B236</f>
        <v>338975142</v>
      </c>
    </row>
    <row r="237" spans="1:8">
      <c r="A237" s="5">
        <f>clones!D237*clones!$B237</f>
        <v>-24073344</v>
      </c>
      <c r="B237" s="5">
        <f>clones!E237*clones!$B237</f>
        <v>-58528317.599999994</v>
      </c>
      <c r="C237" s="5">
        <f>clones!F237*clones!$B237</f>
        <v>331234167.59999996</v>
      </c>
      <c r="D237" s="5">
        <f>clones!G237*clones!$B237</f>
        <v>24374260.800000001</v>
      </c>
      <c r="E237" s="5">
        <f>clones!H237*clones!$B237</f>
        <v>99001627.200000003</v>
      </c>
      <c r="F237" s="5">
        <f>clones!I237*clones!$B237</f>
        <v>238476564</v>
      </c>
      <c r="G237" s="5">
        <f>clones!J237*clones!$B237</f>
        <v>356812095.59999996</v>
      </c>
      <c r="H237" s="5">
        <f>clones!K237*clones!$B237</f>
        <v>338155254</v>
      </c>
    </row>
    <row r="238" spans="1:8">
      <c r="A238" s="5">
        <f>clones!D238*clones!$B238</f>
        <v>-23996288</v>
      </c>
      <c r="B238" s="5">
        <f>clones!E238*clones!$B238</f>
        <v>-58340975.199999996</v>
      </c>
      <c r="C238" s="5">
        <f>clones!F238*clones!$B238</f>
        <v>330173925.19999999</v>
      </c>
      <c r="D238" s="5">
        <f>clones!G238*clones!$B238</f>
        <v>24296241.599999998</v>
      </c>
      <c r="E238" s="5">
        <f>clones!H238*clones!$B238</f>
        <v>98684734.399999991</v>
      </c>
      <c r="F238" s="5">
        <f>clones!I238*clones!$B238</f>
        <v>237713227.99999997</v>
      </c>
      <c r="G238" s="5">
        <f>clones!J238*clones!$B238</f>
        <v>355669981.19999999</v>
      </c>
      <c r="H238" s="5">
        <f>clones!K238*clones!$B238</f>
        <v>337072858</v>
      </c>
    </row>
    <row r="239" spans="1:8">
      <c r="A239" s="5">
        <f>clones!D239*clones!$B239</f>
        <v>-22893952</v>
      </c>
      <c r="B239" s="5">
        <f>clones!E239*clones!$B239</f>
        <v>-55660920.800000004</v>
      </c>
      <c r="C239" s="5">
        <f>clones!F239*clones!$B239</f>
        <v>315006470.80000001</v>
      </c>
      <c r="D239" s="5">
        <f>clones!G239*clones!$B239</f>
        <v>23180126.400000002</v>
      </c>
      <c r="E239" s="5">
        <f>clones!H239*clones!$B239</f>
        <v>94151377.600000009</v>
      </c>
      <c r="F239" s="5">
        <f>clones!I239*clones!$B239</f>
        <v>226793212.00000003</v>
      </c>
      <c r="G239" s="5">
        <f>clones!J239*clones!$B239</f>
        <v>339331294.80000001</v>
      </c>
      <c r="H239" s="5">
        <f>clones!K239*clones!$B239</f>
        <v>321588482</v>
      </c>
    </row>
    <row r="240" spans="1:8">
      <c r="A240" s="5">
        <f>clones!D240*clones!$B240</f>
        <v>-22199296</v>
      </c>
      <c r="B240" s="5">
        <f>clones!E240*clones!$B240</f>
        <v>-53972038.400000006</v>
      </c>
      <c r="C240" s="5">
        <f>clones!F240*clones!$B240</f>
        <v>305448438.40000004</v>
      </c>
      <c r="D240" s="5">
        <f>clones!G240*clones!$B240</f>
        <v>22476787.199999999</v>
      </c>
      <c r="E240" s="5">
        <f>clones!H240*clones!$B240</f>
        <v>91294604.799999997</v>
      </c>
      <c r="F240" s="5">
        <f>clones!I240*clones!$B240</f>
        <v>219911776</v>
      </c>
      <c r="G240" s="5">
        <f>clones!J240*clones!$B240</f>
        <v>329035190.40000004</v>
      </c>
      <c r="H240" s="5">
        <f>clones!K240*clones!$B240</f>
        <v>311830736</v>
      </c>
    </row>
    <row r="241" spans="1:8">
      <c r="A241" s="5">
        <f>clones!D241*clones!$B241</f>
        <v>-21554944</v>
      </c>
      <c r="B241" s="5">
        <f>clones!E241*clones!$B241</f>
        <v>-52405457.599999994</v>
      </c>
      <c r="C241" s="5">
        <f>clones!F241*clones!$B241</f>
        <v>296582557.59999996</v>
      </c>
      <c r="D241" s="5">
        <f>clones!G241*clones!$B241</f>
        <v>21824380.800000001</v>
      </c>
      <c r="E241" s="5">
        <f>clones!H241*clones!$B241</f>
        <v>88644707.200000003</v>
      </c>
      <c r="F241" s="5">
        <f>clones!I241*clones!$B241</f>
        <v>213528664</v>
      </c>
      <c r="G241" s="5">
        <f>clones!J241*clones!$B241</f>
        <v>319484685.59999996</v>
      </c>
      <c r="H241" s="5">
        <f>clones!K241*clones!$B241</f>
        <v>302779604</v>
      </c>
    </row>
    <row r="242" spans="1:8">
      <c r="A242" s="5">
        <f>clones!D242*clones!$B242</f>
        <v>-21344384</v>
      </c>
      <c r="B242" s="5">
        <f>clones!E242*clones!$B242</f>
        <v>-51893533.599999994</v>
      </c>
      <c r="C242" s="5">
        <f>clones!F242*clones!$B242</f>
        <v>293685383.59999996</v>
      </c>
      <c r="D242" s="5">
        <f>clones!G242*clones!$B242</f>
        <v>21611188.800000001</v>
      </c>
      <c r="E242" s="5">
        <f>clones!H242*clones!$B242</f>
        <v>87778779.200000003</v>
      </c>
      <c r="F242" s="5">
        <f>clones!I242*clones!$B242</f>
        <v>211442804</v>
      </c>
      <c r="G242" s="5">
        <f>clones!J242*clones!$B242</f>
        <v>316363791.59999996</v>
      </c>
      <c r="H242" s="5">
        <f>clones!K242*clones!$B242</f>
        <v>299821894</v>
      </c>
    </row>
    <row r="243" spans="1:8">
      <c r="A243" s="5">
        <f>clones!D243*clones!$B243</f>
        <v>-21192960</v>
      </c>
      <c r="B243" s="5">
        <f>clones!E243*clones!$B243</f>
        <v>-51525384</v>
      </c>
      <c r="C243" s="5">
        <f>clones!F243*clones!$B243</f>
        <v>291601884</v>
      </c>
      <c r="D243" s="5">
        <f>clones!G243*clones!$B243</f>
        <v>21457872</v>
      </c>
      <c r="E243" s="5">
        <f>clones!H243*clones!$B243</f>
        <v>87156048</v>
      </c>
      <c r="F243" s="5">
        <f>clones!I243*clones!$B243</f>
        <v>209942760</v>
      </c>
      <c r="G243" s="5">
        <f>clones!J243*clones!$B243</f>
        <v>314119404</v>
      </c>
      <c r="H243" s="5">
        <f>clones!K243*clones!$B243</f>
        <v>297694860</v>
      </c>
    </row>
    <row r="244" spans="1:8">
      <c r="A244" s="5">
        <f>clones!D244*clones!$B244</f>
        <v>-19282688</v>
      </c>
      <c r="B244" s="5">
        <f>clones!E244*clones!$B244</f>
        <v>-46881035.200000003</v>
      </c>
      <c r="C244" s="5">
        <f>clones!F244*clones!$B244</f>
        <v>265317735.20000002</v>
      </c>
      <c r="D244" s="5">
        <f>clones!G244*clones!$B244</f>
        <v>19523721.600000001</v>
      </c>
      <c r="E244" s="5">
        <f>clones!H244*clones!$B244</f>
        <v>79300054.400000006</v>
      </c>
      <c r="F244" s="5">
        <f>clones!I244*clones!$B244</f>
        <v>191019128</v>
      </c>
      <c r="G244" s="5">
        <f>clones!J244*clones!$B244</f>
        <v>285805591.19999999</v>
      </c>
      <c r="H244" s="5">
        <f>clones!K244*clones!$B244</f>
        <v>270861508</v>
      </c>
    </row>
    <row r="245" spans="1:8">
      <c r="A245" s="5">
        <f>clones!D245*clones!$B245</f>
        <v>-18769408</v>
      </c>
      <c r="B245" s="5">
        <f>clones!E245*clones!$B245</f>
        <v>-45633123.200000003</v>
      </c>
      <c r="C245" s="5">
        <f>clones!F245*clones!$B245</f>
        <v>258255323.20000002</v>
      </c>
      <c r="D245" s="5">
        <f>clones!G245*clones!$B245</f>
        <v>19004025.600000001</v>
      </c>
      <c r="E245" s="5">
        <f>clones!H245*clones!$B245</f>
        <v>77189190.400000006</v>
      </c>
      <c r="F245" s="5">
        <f>clones!I245*clones!$B245</f>
        <v>185934448</v>
      </c>
      <c r="G245" s="5">
        <f>clones!J245*clones!$B245</f>
        <v>278197819.19999999</v>
      </c>
      <c r="H245" s="5">
        <f>clones!K245*clones!$B245</f>
        <v>263651528</v>
      </c>
    </row>
    <row r="246" spans="1:8">
      <c r="A246" s="5">
        <f>clones!D246*clones!$B246</f>
        <v>-18736128</v>
      </c>
      <c r="B246" s="5">
        <f>clones!E246*clones!$B246</f>
        <v>-45552211.200000003</v>
      </c>
      <c r="C246" s="5">
        <f>clones!F246*clones!$B246</f>
        <v>257797411.20000002</v>
      </c>
      <c r="D246" s="5">
        <f>clones!G246*clones!$B246</f>
        <v>18970329.600000001</v>
      </c>
      <c r="E246" s="5">
        <f>clones!H246*clones!$B246</f>
        <v>77052326.400000006</v>
      </c>
      <c r="F246" s="5">
        <f>clones!I246*clones!$B246</f>
        <v>185604768</v>
      </c>
      <c r="G246" s="5">
        <f>clones!J246*clones!$B246</f>
        <v>277704547.19999999</v>
      </c>
      <c r="H246" s="5">
        <f>clones!K246*clones!$B246</f>
        <v>263184048</v>
      </c>
    </row>
    <row r="247" spans="1:8">
      <c r="A247" s="5">
        <f>clones!D247*clones!$B247</f>
        <v>-18292480</v>
      </c>
      <c r="B247" s="5">
        <f>clones!E247*clones!$B247</f>
        <v>-44473592</v>
      </c>
      <c r="C247" s="5">
        <f>clones!F247*clones!$B247</f>
        <v>251693092</v>
      </c>
      <c r="D247" s="5">
        <f>clones!G247*clones!$B247</f>
        <v>18521136</v>
      </c>
      <c r="E247" s="5">
        <f>clones!H247*clones!$B247</f>
        <v>75227824</v>
      </c>
      <c r="F247" s="5">
        <f>clones!I247*clones!$B247</f>
        <v>181209880</v>
      </c>
      <c r="G247" s="5">
        <f>clones!J247*clones!$B247</f>
        <v>271128852</v>
      </c>
      <c r="H247" s="5">
        <f>clones!K247*clones!$B247</f>
        <v>256952180</v>
      </c>
    </row>
    <row r="248" spans="1:8">
      <c r="A248" s="5">
        <f>clones!D248*clones!$B248</f>
        <v>-17961472</v>
      </c>
      <c r="B248" s="5">
        <f>clones!E248*clones!$B248</f>
        <v>-43668828.799999997</v>
      </c>
      <c r="C248" s="5">
        <f>clones!F248*clones!$B248</f>
        <v>247138628.79999998</v>
      </c>
      <c r="D248" s="5">
        <f>clones!G248*clones!$B248</f>
        <v>18185990.399999999</v>
      </c>
      <c r="E248" s="5">
        <f>clones!H248*clones!$B248</f>
        <v>73866553.599999994</v>
      </c>
      <c r="F248" s="5">
        <f>clones!I248*clones!$B248</f>
        <v>177930832</v>
      </c>
      <c r="G248" s="5">
        <f>clones!J248*clones!$B248</f>
        <v>266222692.79999998</v>
      </c>
      <c r="H248" s="5">
        <f>clones!K248*clones!$B248</f>
        <v>252302552</v>
      </c>
    </row>
    <row r="249" spans="1:8">
      <c r="A249" s="5">
        <f>clones!D249*clones!$B249</f>
        <v>-17927808</v>
      </c>
      <c r="B249" s="5">
        <f>clones!E249*clones!$B249</f>
        <v>-43586983.200000003</v>
      </c>
      <c r="C249" s="5">
        <f>clones!F249*clones!$B249</f>
        <v>246675433.20000002</v>
      </c>
      <c r="D249" s="5">
        <f>clones!G249*clones!$B249</f>
        <v>18151905.600000001</v>
      </c>
      <c r="E249" s="5">
        <f>clones!H249*clones!$B249</f>
        <v>73728110.400000006</v>
      </c>
      <c r="F249" s="5">
        <f>clones!I249*clones!$B249</f>
        <v>177597348</v>
      </c>
      <c r="G249" s="5">
        <f>clones!J249*clones!$B249</f>
        <v>265723729.20000002</v>
      </c>
      <c r="H249" s="5">
        <f>clones!K249*clones!$B249</f>
        <v>251829678</v>
      </c>
    </row>
    <row r="250" spans="1:8">
      <c r="A250" s="5">
        <f>clones!D250*clones!$B250</f>
        <v>-17488512</v>
      </c>
      <c r="B250" s="5">
        <f>clones!E250*clones!$B250</f>
        <v>-42518944.799999997</v>
      </c>
      <c r="C250" s="5">
        <f>clones!F250*clones!$B250</f>
        <v>240630994.79999998</v>
      </c>
      <c r="D250" s="5">
        <f>clones!G250*clones!$B250</f>
        <v>17707118.399999999</v>
      </c>
      <c r="E250" s="5">
        <f>clones!H250*clones!$B250</f>
        <v>71921505.599999994</v>
      </c>
      <c r="F250" s="5">
        <f>clones!I250*clones!$B250</f>
        <v>173245572</v>
      </c>
      <c r="G250" s="5">
        <f>clones!J250*clones!$B250</f>
        <v>259212538.79999998</v>
      </c>
      <c r="H250" s="5">
        <f>clones!K250*clones!$B250</f>
        <v>245658942</v>
      </c>
    </row>
    <row r="251" spans="1:8">
      <c r="A251" s="5">
        <f>clones!D251*clones!$B251</f>
        <v>-17051648</v>
      </c>
      <c r="B251" s="5">
        <f>clones!E251*clones!$B251</f>
        <v>-41456819.200000003</v>
      </c>
      <c r="C251" s="5">
        <f>clones!F251*clones!$B251</f>
        <v>234620019.20000002</v>
      </c>
      <c r="D251" s="5">
        <f>clones!G251*clones!$B251</f>
        <v>17264793.600000001</v>
      </c>
      <c r="E251" s="5">
        <f>clones!H251*clones!$B251</f>
        <v>70124902.400000006</v>
      </c>
      <c r="F251" s="5">
        <f>clones!I251*clones!$B251</f>
        <v>168917888</v>
      </c>
      <c r="G251" s="5">
        <f>clones!J251*clones!$B251</f>
        <v>252737395.20000002</v>
      </c>
      <c r="H251" s="5">
        <f>clones!K251*clones!$B251</f>
        <v>239522368</v>
      </c>
    </row>
    <row r="252" spans="1:8">
      <c r="A252" s="5">
        <f>clones!D252*clones!$B252</f>
        <v>-16483840</v>
      </c>
      <c r="B252" s="5">
        <f>clones!E252*clones!$B252</f>
        <v>-40076336</v>
      </c>
      <c r="C252" s="5">
        <f>clones!F252*clones!$B252</f>
        <v>226807336</v>
      </c>
      <c r="D252" s="5">
        <f>clones!G252*clones!$B252</f>
        <v>16689888</v>
      </c>
      <c r="E252" s="5">
        <f>clones!H252*clones!$B252</f>
        <v>67789792</v>
      </c>
      <c r="F252" s="5">
        <f>clones!I252*clones!$B252</f>
        <v>163293040</v>
      </c>
      <c r="G252" s="5">
        <f>clones!J252*clones!$B252</f>
        <v>244321416</v>
      </c>
      <c r="H252" s="5">
        <f>clones!K252*clones!$B252</f>
        <v>231546440</v>
      </c>
    </row>
    <row r="253" spans="1:8">
      <c r="A253" s="5">
        <f>clones!D253*clones!$B253</f>
        <v>-15927808</v>
      </c>
      <c r="B253" s="5">
        <f>clones!E253*clones!$B253</f>
        <v>-38724483.200000003</v>
      </c>
      <c r="C253" s="5">
        <f>clones!F253*clones!$B253</f>
        <v>219156683.20000002</v>
      </c>
      <c r="D253" s="5">
        <f>clones!G253*clones!$B253</f>
        <v>16126905.6</v>
      </c>
      <c r="E253" s="5">
        <f>clones!H253*clones!$B253</f>
        <v>65503110.399999999</v>
      </c>
      <c r="F253" s="5">
        <f>clones!I253*clones!$B253</f>
        <v>157784848</v>
      </c>
      <c r="G253" s="5">
        <f>clones!J253*clones!$B253</f>
        <v>236079979.20000002</v>
      </c>
      <c r="H253" s="5">
        <f>clones!K253*clones!$B253</f>
        <v>223735928</v>
      </c>
    </row>
    <row r="254" spans="1:8">
      <c r="A254" s="5">
        <f>clones!D254*clones!$B254</f>
        <v>-15535104</v>
      </c>
      <c r="B254" s="5">
        <f>clones!E254*clones!$B254</f>
        <v>-37769721.599999994</v>
      </c>
      <c r="C254" s="5">
        <f>clones!F254*clones!$B254</f>
        <v>213753321.59999999</v>
      </c>
      <c r="D254" s="5">
        <f>clones!G254*clones!$B254</f>
        <v>15729292.799999999</v>
      </c>
      <c r="E254" s="5">
        <f>clones!H254*clones!$B254</f>
        <v>63888115.199999996</v>
      </c>
      <c r="F254" s="5">
        <f>clones!I254*clones!$B254</f>
        <v>153894624</v>
      </c>
      <c r="G254" s="5">
        <f>clones!J254*clones!$B254</f>
        <v>230259369.59999999</v>
      </c>
      <c r="H254" s="5">
        <f>clones!K254*clones!$B254</f>
        <v>218219664</v>
      </c>
    </row>
    <row r="255" spans="1:8">
      <c r="A255" s="5">
        <f>clones!D255*clones!$B255</f>
        <v>-13813504</v>
      </c>
      <c r="B255" s="5">
        <f>clones!E255*clones!$B255</f>
        <v>-33584081.599999994</v>
      </c>
      <c r="C255" s="5">
        <f>clones!F255*clones!$B255</f>
        <v>190065181.59999999</v>
      </c>
      <c r="D255" s="5">
        <f>clones!G255*clones!$B255</f>
        <v>13986172.799999999</v>
      </c>
      <c r="E255" s="5">
        <f>clones!H255*clones!$B255</f>
        <v>56808035.199999996</v>
      </c>
      <c r="F255" s="5">
        <f>clones!I255*clones!$B255</f>
        <v>136840024</v>
      </c>
      <c r="G255" s="5">
        <f>clones!J255*clones!$B255</f>
        <v>204742029.59999999</v>
      </c>
      <c r="H255" s="5">
        <f>clones!K255*clones!$B255</f>
        <v>194036564</v>
      </c>
    </row>
    <row r="256" spans="1:8">
      <c r="A256" s="5">
        <f>clones!D256*clones!$B256</f>
        <v>-13254656</v>
      </c>
      <c r="B256" s="5">
        <f>clones!E256*clones!$B256</f>
        <v>-32225382.400000002</v>
      </c>
      <c r="C256" s="5">
        <f>clones!F256*clones!$B256</f>
        <v>182375782.40000001</v>
      </c>
      <c r="D256" s="5">
        <f>clones!G256*clones!$B256</f>
        <v>13420339.200000001</v>
      </c>
      <c r="E256" s="5">
        <f>clones!H256*clones!$B256</f>
        <v>54509772.800000004</v>
      </c>
      <c r="F256" s="5">
        <f>clones!I256*clones!$B256</f>
        <v>131303936.00000001</v>
      </c>
      <c r="G256" s="5">
        <f>clones!J256*clones!$B256</f>
        <v>196458854.40000001</v>
      </c>
      <c r="H256" s="5">
        <f>clones!K256*clones!$B256</f>
        <v>186186496</v>
      </c>
    </row>
    <row r="257" spans="1:8">
      <c r="A257" s="5">
        <f>clones!D257*clones!$B257</f>
        <v>-13240832</v>
      </c>
      <c r="B257" s="5">
        <f>clones!E257*clones!$B257</f>
        <v>-32191772.799999997</v>
      </c>
      <c r="C257" s="5">
        <f>clones!F257*clones!$B257</f>
        <v>182185572.79999998</v>
      </c>
      <c r="D257" s="5">
        <f>clones!G257*clones!$B257</f>
        <v>13406342.4</v>
      </c>
      <c r="E257" s="5">
        <f>clones!H257*clones!$B257</f>
        <v>54452921.600000001</v>
      </c>
      <c r="F257" s="5">
        <f>clones!I257*clones!$B257</f>
        <v>131166992</v>
      </c>
      <c r="G257" s="5">
        <f>clones!J257*clones!$B257</f>
        <v>196253956.79999998</v>
      </c>
      <c r="H257" s="5">
        <f>clones!K257*clones!$B257</f>
        <v>185992312</v>
      </c>
    </row>
    <row r="258" spans="1:8">
      <c r="A258" s="5">
        <f>clones!D258*clones!$B258</f>
        <v>-12638848</v>
      </c>
      <c r="B258" s="5">
        <f>clones!E258*clones!$B258</f>
        <v>-30728199.200000003</v>
      </c>
      <c r="C258" s="5">
        <f>clones!F258*clones!$B258</f>
        <v>173902649.20000002</v>
      </c>
      <c r="D258" s="5">
        <f>clones!G258*clones!$B258</f>
        <v>12796833.6</v>
      </c>
      <c r="E258" s="5">
        <f>clones!H258*clones!$B258</f>
        <v>51977262.399999999</v>
      </c>
      <c r="F258" s="5">
        <f>clones!I258*clones!$B258</f>
        <v>125203588</v>
      </c>
      <c r="G258" s="5">
        <f>clones!J258*clones!$B258</f>
        <v>187331425.20000002</v>
      </c>
      <c r="H258" s="5">
        <f>clones!K258*clones!$B258</f>
        <v>177536318</v>
      </c>
    </row>
    <row r="259" spans="1:8">
      <c r="A259" s="5">
        <f>clones!D259*clones!$B259</f>
        <v>-12578944</v>
      </c>
      <c r="B259" s="5">
        <f>clones!E259*clones!$B259</f>
        <v>-30582557.599999998</v>
      </c>
      <c r="C259" s="5">
        <f>clones!F259*clones!$B259</f>
        <v>173078407.59999999</v>
      </c>
      <c r="D259" s="5">
        <f>clones!G259*clones!$B259</f>
        <v>12736180.799999999</v>
      </c>
      <c r="E259" s="5">
        <f>clones!H259*clones!$B259</f>
        <v>51730907.199999996</v>
      </c>
      <c r="F259" s="5">
        <f>clones!I259*clones!$B259</f>
        <v>124610163.99999999</v>
      </c>
      <c r="G259" s="5">
        <f>clones!J259*clones!$B259</f>
        <v>186443535.59999999</v>
      </c>
      <c r="H259" s="5">
        <f>clones!K259*clones!$B259</f>
        <v>176694854</v>
      </c>
    </row>
    <row r="260" spans="1:8">
      <c r="A260" s="5">
        <f>clones!D260*clones!$B260</f>
        <v>-11488768</v>
      </c>
      <c r="B260" s="5">
        <f>clones!E260*clones!$B260</f>
        <v>-27932067.200000003</v>
      </c>
      <c r="C260" s="5">
        <f>clones!F260*clones!$B260</f>
        <v>158078267.20000002</v>
      </c>
      <c r="D260" s="5">
        <f>clones!G260*clones!$B260</f>
        <v>11632377.6</v>
      </c>
      <c r="E260" s="5">
        <f>clones!H260*clones!$B260</f>
        <v>47247558.399999999</v>
      </c>
      <c r="F260" s="5">
        <f>clones!I260*clones!$B260</f>
        <v>113810608</v>
      </c>
      <c r="G260" s="5">
        <f>clones!J260*clones!$B260</f>
        <v>170285083.20000002</v>
      </c>
      <c r="H260" s="5">
        <f>clones!K260*clones!$B260</f>
        <v>161381288</v>
      </c>
    </row>
    <row r="261" spans="1:8">
      <c r="A261" s="5">
        <f>clones!D261*clones!$B261</f>
        <v>-11172352</v>
      </c>
      <c r="B261" s="5">
        <f>clones!E261*clones!$B261</f>
        <v>-27162780.799999997</v>
      </c>
      <c r="C261" s="5">
        <f>clones!F261*clones!$B261</f>
        <v>153724580.79999998</v>
      </c>
      <c r="D261" s="5">
        <f>clones!G261*clones!$B261</f>
        <v>11312006.4</v>
      </c>
      <c r="E261" s="5">
        <f>clones!H261*clones!$B261</f>
        <v>45946297.600000001</v>
      </c>
      <c r="F261" s="5">
        <f>clones!I261*clones!$B261</f>
        <v>110676112</v>
      </c>
      <c r="G261" s="5">
        <f>clones!J261*clones!$B261</f>
        <v>165595204.79999998</v>
      </c>
      <c r="H261" s="5">
        <f>clones!K261*clones!$B261</f>
        <v>156936632</v>
      </c>
    </row>
    <row r="262" spans="1:8">
      <c r="A262" s="5">
        <f>clones!D262*clones!$B262</f>
        <v>-10510080</v>
      </c>
      <c r="B262" s="5">
        <f>clones!E262*clones!$B262</f>
        <v>-25552632</v>
      </c>
      <c r="C262" s="5">
        <f>clones!F262*clones!$B262</f>
        <v>144612132</v>
      </c>
      <c r="D262" s="5">
        <f>clones!G262*clones!$B262</f>
        <v>10641456</v>
      </c>
      <c r="E262" s="5">
        <f>clones!H262*clones!$B262</f>
        <v>43222704</v>
      </c>
      <c r="F262" s="5">
        <f>clones!I262*clones!$B262</f>
        <v>104115480</v>
      </c>
      <c r="G262" s="5">
        <f>clones!J262*clones!$B262</f>
        <v>155779092</v>
      </c>
      <c r="H262" s="5">
        <f>clones!K262*clones!$B262</f>
        <v>147633780</v>
      </c>
    </row>
    <row r="263" spans="1:8">
      <c r="A263" s="5">
        <f>clones!D263*clones!$B263</f>
        <v>-10373248</v>
      </c>
      <c r="B263" s="5">
        <f>clones!E263*clones!$B263</f>
        <v>-25219959.200000003</v>
      </c>
      <c r="C263" s="5">
        <f>clones!F263*clones!$B263</f>
        <v>142729409.20000002</v>
      </c>
      <c r="D263" s="5">
        <f>clones!G263*clones!$B263</f>
        <v>10502913.6</v>
      </c>
      <c r="E263" s="5">
        <f>clones!H263*clones!$B263</f>
        <v>42659982.399999999</v>
      </c>
      <c r="F263" s="5">
        <f>clones!I263*clones!$B263</f>
        <v>102759988</v>
      </c>
      <c r="G263" s="5">
        <f>clones!J263*clones!$B263</f>
        <v>153750985.20000002</v>
      </c>
      <c r="H263" s="5">
        <f>clones!K263*clones!$B263</f>
        <v>145711718</v>
      </c>
    </row>
    <row r="264" spans="1:8">
      <c r="A264" s="5">
        <f>clones!D264*clones!$B264</f>
        <v>-10238208</v>
      </c>
      <c r="B264" s="5">
        <f>clones!E264*clones!$B264</f>
        <v>-24891643.200000003</v>
      </c>
      <c r="C264" s="5">
        <f>clones!F264*clones!$B264</f>
        <v>140871343.20000002</v>
      </c>
      <c r="D264" s="5">
        <f>clones!G264*clones!$B264</f>
        <v>10366185.6</v>
      </c>
      <c r="E264" s="5">
        <f>clones!H264*clones!$B264</f>
        <v>42104630.399999999</v>
      </c>
      <c r="F264" s="5">
        <f>clones!I264*clones!$B264</f>
        <v>101422248</v>
      </c>
      <c r="G264" s="5">
        <f>clones!J264*clones!$B264</f>
        <v>151749439.20000002</v>
      </c>
      <c r="H264" s="5">
        <f>clones!K264*clones!$B264</f>
        <v>143814828</v>
      </c>
    </row>
    <row r="265" spans="1:8">
      <c r="A265" s="5">
        <f>clones!D265*clones!$B265</f>
        <v>-9031936</v>
      </c>
      <c r="B265" s="5">
        <f>clones!E265*clones!$B265</f>
        <v>-21958894.399999999</v>
      </c>
      <c r="C265" s="5">
        <f>clones!F265*clones!$B265</f>
        <v>124273794.39999999</v>
      </c>
      <c r="D265" s="5">
        <f>clones!G265*clones!$B265</f>
        <v>9144835.1999999993</v>
      </c>
      <c r="E265" s="5">
        <f>clones!H265*clones!$B265</f>
        <v>37143836.799999997</v>
      </c>
      <c r="F265" s="5">
        <f>clones!I265*clones!$B265</f>
        <v>89472616</v>
      </c>
      <c r="G265" s="5">
        <f>clones!J265*clones!$B265</f>
        <v>133870226.39999999</v>
      </c>
      <c r="H265" s="5">
        <f>clones!K265*clones!$B265</f>
        <v>126870476</v>
      </c>
    </row>
    <row r="266" spans="1:8">
      <c r="A266" s="5">
        <f>clones!D266*clones!$B266</f>
        <v>-8083328</v>
      </c>
      <c r="B266" s="5">
        <f>clones!E266*clones!$B266</f>
        <v>-19652591.200000003</v>
      </c>
      <c r="C266" s="5">
        <f>clones!F266*clones!$B266</f>
        <v>111221541.2</v>
      </c>
      <c r="D266" s="5">
        <f>clones!G266*clones!$B266</f>
        <v>8184369.6000000006</v>
      </c>
      <c r="E266" s="5">
        <f>clones!H266*clones!$B266</f>
        <v>33242686.400000002</v>
      </c>
      <c r="F266" s="5">
        <f>clones!I266*clones!$B266</f>
        <v>80075468</v>
      </c>
      <c r="G266" s="5">
        <f>clones!J266*clones!$B266</f>
        <v>119810077.2</v>
      </c>
      <c r="H266" s="5">
        <f>clones!K266*clones!$B266</f>
        <v>113545498</v>
      </c>
    </row>
    <row r="267" spans="1:8">
      <c r="A267" s="5">
        <f>clones!D267*clones!$B267</f>
        <v>-7596928</v>
      </c>
      <c r="B267" s="5">
        <f>clones!E267*clones!$B267</f>
        <v>-18470031.200000003</v>
      </c>
      <c r="C267" s="5">
        <f>clones!F267*clones!$B267</f>
        <v>104528981.2</v>
      </c>
      <c r="D267" s="5">
        <f>clones!G267*clones!$B267</f>
        <v>7691889.6000000006</v>
      </c>
      <c r="E267" s="5">
        <f>clones!H267*clones!$B267</f>
        <v>31242366.400000002</v>
      </c>
      <c r="F267" s="5">
        <f>clones!I267*clones!$B267</f>
        <v>75257068</v>
      </c>
      <c r="G267" s="5">
        <f>clones!J267*clones!$B267</f>
        <v>112600717.2</v>
      </c>
      <c r="H267" s="5">
        <f>clones!K267*clones!$B267</f>
        <v>106713098</v>
      </c>
    </row>
    <row r="268" spans="1:8">
      <c r="A268" s="5">
        <f>clones!D268*clones!$B268</f>
        <v>-6651520</v>
      </c>
      <c r="B268" s="5">
        <f>clones!E268*clones!$B268</f>
        <v>-16171508</v>
      </c>
      <c r="C268" s="5">
        <f>clones!F268*clones!$B268</f>
        <v>91520758</v>
      </c>
      <c r="D268" s="5">
        <f>clones!G268*clones!$B268</f>
        <v>6734664</v>
      </c>
      <c r="E268" s="5">
        <f>clones!H268*clones!$B268</f>
        <v>27354376</v>
      </c>
      <c r="F268" s="5">
        <f>clones!I268*clones!$B268</f>
        <v>65891620</v>
      </c>
      <c r="G268" s="5">
        <f>clones!J268*clones!$B268</f>
        <v>98587998</v>
      </c>
      <c r="H268" s="5">
        <f>clones!K268*clones!$B268</f>
        <v>93433070</v>
      </c>
    </row>
    <row r="269" spans="1:8">
      <c r="A269" s="5">
        <f>clones!D269*clones!$B269</f>
        <v>-6351872</v>
      </c>
      <c r="B269" s="5">
        <f>clones!E269*clones!$B269</f>
        <v>-15442988.799999999</v>
      </c>
      <c r="C269" s="5">
        <f>clones!F269*clones!$B269</f>
        <v>87397788.799999997</v>
      </c>
      <c r="D269" s="5">
        <f>clones!G269*clones!$B269</f>
        <v>6431270.3999999994</v>
      </c>
      <c r="E269" s="5">
        <f>clones!H269*clones!$B269</f>
        <v>26122073.599999998</v>
      </c>
      <c r="F269" s="5">
        <f>clones!I269*clones!$B269</f>
        <v>62923231.999999993</v>
      </c>
      <c r="G269" s="5">
        <f>clones!J269*clones!$B269</f>
        <v>94146652.799999997</v>
      </c>
      <c r="H269" s="5">
        <f>clones!K269*clones!$B269</f>
        <v>89223952</v>
      </c>
    </row>
    <row r="270" spans="1:8">
      <c r="A270" s="5">
        <f>clones!D270*clones!$B270</f>
        <v>-5554432</v>
      </c>
      <c r="B270" s="5">
        <f>clones!E270*clones!$B270</f>
        <v>-13504212.799999999</v>
      </c>
      <c r="C270" s="5">
        <f>clones!F270*clones!$B270</f>
        <v>76425512.799999997</v>
      </c>
      <c r="D270" s="5">
        <f>clones!G270*clones!$B270</f>
        <v>5623862.3999999994</v>
      </c>
      <c r="E270" s="5">
        <f>clones!H270*clones!$B270</f>
        <v>22842601.599999998</v>
      </c>
      <c r="F270" s="5">
        <f>clones!I270*clones!$B270</f>
        <v>55023591.999999993</v>
      </c>
      <c r="G270" s="5">
        <f>clones!J270*clones!$B270</f>
        <v>82327096.799999997</v>
      </c>
      <c r="H270" s="5">
        <f>clones!K270*clones!$B270</f>
        <v>78022412</v>
      </c>
    </row>
    <row r="271" spans="1:8">
      <c r="A271" s="5">
        <f>clones!D271*clones!$B271</f>
        <v>-5483520</v>
      </c>
      <c r="B271" s="5">
        <f>clones!E271*clones!$B271</f>
        <v>-13331808</v>
      </c>
      <c r="C271" s="5">
        <f>clones!F271*clones!$B271</f>
        <v>75449808</v>
      </c>
      <c r="D271" s="5">
        <f>clones!G271*clones!$B271</f>
        <v>5552064</v>
      </c>
      <c r="E271" s="5">
        <f>clones!H271*clones!$B271</f>
        <v>22550976</v>
      </c>
      <c r="F271" s="5">
        <f>clones!I271*clones!$B271</f>
        <v>54321120</v>
      </c>
      <c r="G271" s="5">
        <f>clones!J271*clones!$B271</f>
        <v>81276048</v>
      </c>
      <c r="H271" s="5">
        <f>clones!K271*clones!$B271</f>
        <v>77026320</v>
      </c>
    </row>
    <row r="272" spans="1:8">
      <c r="A272" s="5">
        <f>clones!D272*clones!$B272</f>
        <v>-5449088</v>
      </c>
      <c r="B272" s="5">
        <f>clones!E272*clones!$B272</f>
        <v>-13248095.200000001</v>
      </c>
      <c r="C272" s="5">
        <f>clones!F272*clones!$B272</f>
        <v>74976045.200000003</v>
      </c>
      <c r="D272" s="5">
        <f>clones!G272*clones!$B272</f>
        <v>5517201.6000000006</v>
      </c>
      <c r="E272" s="5">
        <f>clones!H272*clones!$B272</f>
        <v>22409374.400000002</v>
      </c>
      <c r="F272" s="5">
        <f>clones!I272*clones!$B272</f>
        <v>53980028.000000007</v>
      </c>
      <c r="G272" s="5">
        <f>clones!J272*clones!$B272</f>
        <v>80765701.200000003</v>
      </c>
      <c r="H272" s="5">
        <f>clones!K272*clones!$B272</f>
        <v>76542658</v>
      </c>
    </row>
    <row r="273" spans="1:8">
      <c r="A273" s="5">
        <f>clones!D273*clones!$B273</f>
        <v>-5170048</v>
      </c>
      <c r="B273" s="5">
        <f>clones!E273*clones!$B273</f>
        <v>-12569679.199999999</v>
      </c>
      <c r="C273" s="5">
        <f>clones!F273*clones!$B273</f>
        <v>71136629.200000003</v>
      </c>
      <c r="D273" s="5">
        <f>clones!G273*clones!$B273</f>
        <v>5234673.5999999996</v>
      </c>
      <c r="E273" s="5">
        <f>clones!H273*clones!$B273</f>
        <v>21261822.399999999</v>
      </c>
      <c r="F273" s="5">
        <f>clones!I273*clones!$B273</f>
        <v>51215788</v>
      </c>
      <c r="G273" s="5">
        <f>clones!J273*clones!$B273</f>
        <v>76629805.200000003</v>
      </c>
      <c r="H273" s="5">
        <f>clones!K273*clones!$B273</f>
        <v>72623018</v>
      </c>
    </row>
    <row r="274" spans="1:8">
      <c r="A274" s="5">
        <f>clones!D274*clones!$B274</f>
        <v>-4074752</v>
      </c>
      <c r="B274" s="5">
        <f>clones!E274*clones!$B274</f>
        <v>-9906740.8000000007</v>
      </c>
      <c r="C274" s="5">
        <f>clones!F274*clones!$B274</f>
        <v>56066040.800000004</v>
      </c>
      <c r="D274" s="5">
        <f>clones!G274*clones!$B274</f>
        <v>4125686.4</v>
      </c>
      <c r="E274" s="5">
        <f>clones!H274*clones!$B274</f>
        <v>16757417.6</v>
      </c>
      <c r="F274" s="5">
        <f>clones!I274*clones!$B274</f>
        <v>40365512</v>
      </c>
      <c r="G274" s="5">
        <f>clones!J274*clones!$B274</f>
        <v>60395464.800000004</v>
      </c>
      <c r="H274" s="5">
        <f>clones!K274*clones!$B274</f>
        <v>57237532</v>
      </c>
    </row>
    <row r="275" spans="1:8">
      <c r="A275" s="5">
        <f>clones!D275*clones!$B275</f>
        <v>-3928832</v>
      </c>
      <c r="B275" s="5">
        <f>clones!E275*clones!$B275</f>
        <v>-9551972.8000000007</v>
      </c>
      <c r="C275" s="5">
        <f>clones!F275*clones!$B275</f>
        <v>54058272.800000004</v>
      </c>
      <c r="D275" s="5">
        <f>clones!G275*clones!$B275</f>
        <v>3977942.4</v>
      </c>
      <c r="E275" s="5">
        <f>clones!H275*clones!$B275</f>
        <v>16157321.6</v>
      </c>
      <c r="F275" s="5">
        <f>clones!I275*clones!$B275</f>
        <v>38919992</v>
      </c>
      <c r="G275" s="5">
        <f>clones!J275*clones!$B275</f>
        <v>58232656.800000004</v>
      </c>
      <c r="H275" s="5">
        <f>clones!K275*clones!$B275</f>
        <v>55187812</v>
      </c>
    </row>
    <row r="276" spans="1:8">
      <c r="A276" s="5">
        <f>clones!D276*clones!$B276</f>
        <v>-3566336</v>
      </c>
      <c r="B276" s="5">
        <f>clones!E276*clones!$B276</f>
        <v>-8670654.3999999985</v>
      </c>
      <c r="C276" s="5">
        <f>clones!F276*clones!$B276</f>
        <v>49070554.399999999</v>
      </c>
      <c r="D276" s="5">
        <f>clones!G276*clones!$B276</f>
        <v>3610915.1999999997</v>
      </c>
      <c r="E276" s="5">
        <f>clones!H276*clones!$B276</f>
        <v>14666556.799999999</v>
      </c>
      <c r="F276" s="5">
        <f>clones!I276*clones!$B276</f>
        <v>35329016</v>
      </c>
      <c r="G276" s="5">
        <f>clones!J276*clones!$B276</f>
        <v>52859786.399999999</v>
      </c>
      <c r="H276" s="5">
        <f>clones!K276*clones!$B276</f>
        <v>50095876</v>
      </c>
    </row>
    <row r="277" spans="1:8">
      <c r="A277" s="5">
        <f>clones!D277*clones!$B277</f>
        <v>-3024768</v>
      </c>
      <c r="B277" s="5">
        <f>clones!E277*clones!$B277</f>
        <v>-7353967.1999999993</v>
      </c>
      <c r="C277" s="5">
        <f>clones!F277*clones!$B277</f>
        <v>41618917.199999996</v>
      </c>
      <c r="D277" s="5">
        <f>clones!G277*clones!$B277</f>
        <v>3062577.6</v>
      </c>
      <c r="E277" s="5">
        <f>clones!H277*clones!$B277</f>
        <v>12439358.4</v>
      </c>
      <c r="F277" s="5">
        <f>clones!I277*clones!$B277</f>
        <v>29964108</v>
      </c>
      <c r="G277" s="5">
        <f>clones!J277*clones!$B277</f>
        <v>44832733.199999996</v>
      </c>
      <c r="H277" s="5">
        <f>clones!K277*clones!$B277</f>
        <v>42488538</v>
      </c>
    </row>
    <row r="278" spans="1:8">
      <c r="A278" s="5">
        <f>clones!D278*clones!$B278</f>
        <v>-2600064</v>
      </c>
      <c r="B278" s="5">
        <f>clones!E278*clones!$B278</f>
        <v>-6321405.5999999996</v>
      </c>
      <c r="C278" s="5">
        <f>clones!F278*clones!$B278</f>
        <v>35775255.600000001</v>
      </c>
      <c r="D278" s="5">
        <f>clones!G278*clones!$B278</f>
        <v>2632564.7999999998</v>
      </c>
      <c r="E278" s="5">
        <f>clones!H278*clones!$B278</f>
        <v>10692763.199999999</v>
      </c>
      <c r="F278" s="5">
        <f>clones!I278*clones!$B278</f>
        <v>25756884</v>
      </c>
      <c r="G278" s="5">
        <f>clones!J278*clones!$B278</f>
        <v>38537823.600000001</v>
      </c>
      <c r="H278" s="5">
        <f>clones!K278*clones!$B278</f>
        <v>36522774</v>
      </c>
    </row>
    <row r="279" spans="1:8">
      <c r="A279" s="5">
        <f>clones!D279*clones!$B279</f>
        <v>-2464512</v>
      </c>
      <c r="B279" s="5">
        <f>clones!E279*clones!$B279</f>
        <v>-5991844.8000000007</v>
      </c>
      <c r="C279" s="5">
        <f>clones!F279*clones!$B279</f>
        <v>33910144.800000004</v>
      </c>
      <c r="D279" s="5">
        <f>clones!G279*clones!$B279</f>
        <v>2495318.4</v>
      </c>
      <c r="E279" s="5">
        <f>clones!H279*clones!$B279</f>
        <v>10135305.6</v>
      </c>
      <c r="F279" s="5">
        <f>clones!I279*clones!$B279</f>
        <v>24414072</v>
      </c>
      <c r="G279" s="5">
        <f>clones!J279*clones!$B279</f>
        <v>36528688.800000004</v>
      </c>
      <c r="H279" s="5">
        <f>clones!K279*clones!$B279</f>
        <v>34618692</v>
      </c>
    </row>
    <row r="280" spans="1:8">
      <c r="A280" s="5">
        <f>clones!D280*clones!$B280</f>
        <v>-1317376</v>
      </c>
      <c r="B280" s="5">
        <f>clones!E280*clones!$B280</f>
        <v>-3202870.4000000004</v>
      </c>
      <c r="C280" s="5">
        <f>clones!F280*clones!$B280</f>
        <v>18126270.400000002</v>
      </c>
      <c r="D280" s="5">
        <f>clones!G280*clones!$B280</f>
        <v>1333843.2</v>
      </c>
      <c r="E280" s="5">
        <f>clones!H280*clones!$B280</f>
        <v>5417708.7999999998</v>
      </c>
      <c r="F280" s="5">
        <f>clones!I280*clones!$B280</f>
        <v>13050256</v>
      </c>
      <c r="G280" s="5">
        <f>clones!J280*clones!$B280</f>
        <v>19525982.400000002</v>
      </c>
      <c r="H280" s="5">
        <f>clones!K280*clones!$B280</f>
        <v>18505016</v>
      </c>
    </row>
    <row r="281" spans="1:8">
      <c r="A281" s="5">
        <f>clones!D281*clones!$B281</f>
        <v>-164608</v>
      </c>
      <c r="B281" s="5">
        <f>clones!E281*clones!$B281</f>
        <v>-400203.19999999995</v>
      </c>
      <c r="C281" s="5">
        <f>clones!F281*clones!$B281</f>
        <v>2264903.1999999997</v>
      </c>
      <c r="D281" s="5">
        <f>clones!G281*clones!$B281</f>
        <v>166665.60000000001</v>
      </c>
      <c r="E281" s="5">
        <f>clones!H281*clones!$B281</f>
        <v>676950.4</v>
      </c>
      <c r="F281" s="5">
        <f>clones!I281*clones!$B281</f>
        <v>1630648</v>
      </c>
      <c r="G281" s="5">
        <f>clones!J281*clones!$B281</f>
        <v>2439799.1999999997</v>
      </c>
      <c r="H281" s="5">
        <f>clones!K281*clones!$B281</f>
        <v>2312228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5"/>
  <sheetViews>
    <sheetView topLeftCell="A212" workbookViewId="0">
      <selection activeCell="B74" sqref="B74:G255"/>
    </sheetView>
  </sheetViews>
  <sheetFormatPr defaultRowHeight="15"/>
  <cols>
    <col min="1" max="1" width="39.140625" bestFit="1" customWidth="1"/>
    <col min="2" max="2" width="2" bestFit="1" customWidth="1"/>
    <col min="3" max="3" width="30.42578125" bestFit="1" customWidth="1"/>
    <col min="4" max="4" width="30" bestFit="1" customWidth="1"/>
    <col min="5" max="5" width="2" bestFit="1" customWidth="1"/>
    <col min="6" max="6" width="6.42578125" bestFit="1" customWidth="1"/>
    <col min="7" max="7" width="8.42578125" bestFit="1" customWidth="1"/>
  </cols>
  <sheetData>
    <row r="1" spans="1:7">
      <c r="A1" t="s">
        <v>7</v>
      </c>
      <c r="B1">
        <f t="shared" ref="B1:B18" si="0">SEARCH(":",A1)</f>
        <v>6</v>
      </c>
      <c r="C1" t="str">
        <f t="shared" ref="C1:C18" si="1">MID(A1,B1+1,LEN(A1)-(B1+1))</f>
        <v xml:space="preserve"> 397 ** -3, -8, 43, 4, 14, 31, 47, 4</v>
      </c>
      <c r="D1" t="str">
        <f t="shared" ref="D1:D18" si="2">TRIM(C1)</f>
        <v>397 ** -3, -8, 43, 4, 14, 31, 47, 4</v>
      </c>
      <c r="E1">
        <f t="shared" ref="E1:E18" si="3">SEARCH("~*",D1)</f>
        <v>5</v>
      </c>
      <c r="F1" t="str">
        <f t="shared" ref="F1:F18" si="4">LEFT(D1,E1-1)</f>
        <v xml:space="preserve">397 </v>
      </c>
      <c r="G1">
        <f t="shared" ref="G1:G64" si="5">IF(ISBLANK(A1),"",VALUE(F1))</f>
        <v>397</v>
      </c>
    </row>
    <row r="2" spans="1:7">
      <c r="A2" t="s">
        <v>8</v>
      </c>
      <c r="B2">
        <f t="shared" si="0"/>
        <v>6</v>
      </c>
      <c r="C2" t="str">
        <f t="shared" si="1"/>
        <v xml:space="preserve"> 1709 ** -3, -8, 43, 4, 14, 31, 47, 4</v>
      </c>
      <c r="D2" t="str">
        <f t="shared" si="2"/>
        <v>1709 ** -3, -8, 43, 4, 14, 31, 47, 4</v>
      </c>
      <c r="E2">
        <f t="shared" si="3"/>
        <v>6</v>
      </c>
      <c r="F2" t="str">
        <f t="shared" si="4"/>
        <v xml:space="preserve">1709 </v>
      </c>
      <c r="G2">
        <f t="shared" si="5"/>
        <v>1709</v>
      </c>
    </row>
    <row r="3" spans="1:7">
      <c r="A3" t="s">
        <v>9</v>
      </c>
      <c r="B3">
        <f t="shared" si="0"/>
        <v>6</v>
      </c>
      <c r="C3" t="str">
        <f t="shared" si="1"/>
        <v xml:space="preserve"> 8351 ** -3, -8, 43, 4, 14, 31, 47, 4</v>
      </c>
      <c r="D3" t="str">
        <f t="shared" si="2"/>
        <v>8351 ** -3, -8, 43, 4, 14, 31, 47, 4</v>
      </c>
      <c r="E3">
        <f t="shared" si="3"/>
        <v>6</v>
      </c>
      <c r="F3" t="str">
        <f t="shared" si="4"/>
        <v xml:space="preserve">8351 </v>
      </c>
      <c r="G3">
        <f t="shared" si="5"/>
        <v>8351</v>
      </c>
    </row>
    <row r="4" spans="1:7">
      <c r="A4" t="s">
        <v>10</v>
      </c>
      <c r="B4">
        <f t="shared" si="0"/>
        <v>6</v>
      </c>
      <c r="C4" t="str">
        <f t="shared" si="1"/>
        <v xml:space="preserve"> 5697 ** -3, -8, 43, 4, 14, 31, 47, 4</v>
      </c>
      <c r="D4" t="str">
        <f t="shared" si="2"/>
        <v>5697 ** -3, -8, 43, 4, 14, 31, 47, 4</v>
      </c>
      <c r="E4">
        <f t="shared" si="3"/>
        <v>6</v>
      </c>
      <c r="F4" t="str">
        <f t="shared" si="4"/>
        <v xml:space="preserve">5697 </v>
      </c>
      <c r="G4">
        <f t="shared" si="5"/>
        <v>5697</v>
      </c>
    </row>
    <row r="5" spans="1:7">
      <c r="A5" t="s">
        <v>11</v>
      </c>
      <c r="B5">
        <f t="shared" si="0"/>
        <v>6</v>
      </c>
      <c r="C5" t="str">
        <f t="shared" si="1"/>
        <v xml:space="preserve"> 3977 ** -3, -8, 43, 4, 14, 31, 47, 4</v>
      </c>
      <c r="D5" t="str">
        <f t="shared" si="2"/>
        <v>3977 ** -3, -8, 43, 4, 14, 31, 47, 4</v>
      </c>
      <c r="E5">
        <f t="shared" si="3"/>
        <v>6</v>
      </c>
      <c r="F5" t="str">
        <f t="shared" si="4"/>
        <v xml:space="preserve">3977 </v>
      </c>
      <c r="G5">
        <f t="shared" si="5"/>
        <v>3977</v>
      </c>
    </row>
    <row r="6" spans="1:7">
      <c r="A6" t="s">
        <v>12</v>
      </c>
      <c r="B6">
        <f t="shared" si="0"/>
        <v>6</v>
      </c>
      <c r="C6" t="str">
        <f t="shared" si="1"/>
        <v xml:space="preserve"> 1890 ** -3, -8, 43, 4, 14, 31, 47, 4</v>
      </c>
      <c r="D6" t="str">
        <f t="shared" si="2"/>
        <v>1890 ** -3, -8, 43, 4, 14, 31, 47, 4</v>
      </c>
      <c r="E6">
        <f t="shared" si="3"/>
        <v>6</v>
      </c>
      <c r="F6" t="str">
        <f t="shared" si="4"/>
        <v xml:space="preserve">1890 </v>
      </c>
      <c r="G6">
        <f t="shared" si="5"/>
        <v>1890</v>
      </c>
    </row>
    <row r="7" spans="1:7">
      <c r="A7" t="s">
        <v>13</v>
      </c>
      <c r="B7">
        <f t="shared" si="0"/>
        <v>6</v>
      </c>
      <c r="C7" t="str">
        <f t="shared" si="1"/>
        <v xml:space="preserve"> 14556 ** -3, -8, 43, 4, 14, 31, 47, 4</v>
      </c>
      <c r="D7" t="str">
        <f t="shared" si="2"/>
        <v>14556 ** -3, -8, 43, 4, 14, 31, 47, 4</v>
      </c>
      <c r="E7">
        <f t="shared" si="3"/>
        <v>7</v>
      </c>
      <c r="F7" t="str">
        <f t="shared" si="4"/>
        <v xml:space="preserve">14556 </v>
      </c>
      <c r="G7">
        <f t="shared" si="5"/>
        <v>14556</v>
      </c>
    </row>
    <row r="8" spans="1:7">
      <c r="A8" t="s">
        <v>14</v>
      </c>
      <c r="B8">
        <f t="shared" si="0"/>
        <v>6</v>
      </c>
      <c r="C8" t="str">
        <f t="shared" si="1"/>
        <v xml:space="preserve"> 4493 ** -3, -8, 43, 4, 14, 31, 47, 4</v>
      </c>
      <c r="D8" t="str">
        <f t="shared" si="2"/>
        <v>4493 ** -3, -8, 43, 4, 14, 31, 47, 4</v>
      </c>
      <c r="E8">
        <f t="shared" si="3"/>
        <v>6</v>
      </c>
      <c r="F8" t="str">
        <f t="shared" si="4"/>
        <v xml:space="preserve">4493 </v>
      </c>
      <c r="G8">
        <f t="shared" si="5"/>
        <v>4493</v>
      </c>
    </row>
    <row r="9" spans="1:7">
      <c r="A9" t="s">
        <v>15</v>
      </c>
      <c r="B9">
        <f t="shared" si="0"/>
        <v>6</v>
      </c>
      <c r="C9" t="str">
        <f t="shared" si="1"/>
        <v xml:space="preserve"> 22762 ** -3, -8, 43, 4, 14, 31, 47, 4</v>
      </c>
      <c r="D9" t="str">
        <f t="shared" si="2"/>
        <v>22762 ** -3, -8, 43, 4, 14, 31, 47, 4</v>
      </c>
      <c r="E9">
        <f t="shared" si="3"/>
        <v>7</v>
      </c>
      <c r="F9" t="str">
        <f t="shared" si="4"/>
        <v xml:space="preserve">22762 </v>
      </c>
      <c r="G9">
        <f t="shared" si="5"/>
        <v>22762</v>
      </c>
    </row>
    <row r="10" spans="1:7">
      <c r="A10" t="s">
        <v>16</v>
      </c>
      <c r="B10">
        <f t="shared" si="0"/>
        <v>6</v>
      </c>
      <c r="C10" t="str">
        <f t="shared" si="1"/>
        <v xml:space="preserve"> 12927 ** -3, -8, 43, 4, 14, 31, 47, 4</v>
      </c>
      <c r="D10" t="str">
        <f t="shared" si="2"/>
        <v>12927 ** -3, -8, 43, 4, 14, 31, 47, 4</v>
      </c>
      <c r="E10">
        <f t="shared" si="3"/>
        <v>7</v>
      </c>
      <c r="F10" t="str">
        <f t="shared" si="4"/>
        <v xml:space="preserve">12927 </v>
      </c>
      <c r="G10">
        <f t="shared" si="5"/>
        <v>12927</v>
      </c>
    </row>
    <row r="11" spans="1:7">
      <c r="A11" t="s">
        <v>17</v>
      </c>
      <c r="B11">
        <f t="shared" si="0"/>
        <v>6</v>
      </c>
      <c r="C11" t="str">
        <f t="shared" si="1"/>
        <v xml:space="preserve"> 10760 ** -3, -8, 43, 4, 14, 31, 47, 4</v>
      </c>
      <c r="D11" t="str">
        <f t="shared" si="2"/>
        <v>10760 ** -3, -8, 43, 4, 14, 31, 47, 4</v>
      </c>
      <c r="E11">
        <f t="shared" si="3"/>
        <v>7</v>
      </c>
      <c r="F11" t="str">
        <f t="shared" si="4"/>
        <v xml:space="preserve">10760 </v>
      </c>
      <c r="G11">
        <f t="shared" si="5"/>
        <v>10760</v>
      </c>
    </row>
    <row r="12" spans="1:7">
      <c r="A12" t="s">
        <v>18</v>
      </c>
      <c r="B12">
        <f t="shared" si="0"/>
        <v>6</v>
      </c>
      <c r="C12" t="str">
        <f t="shared" si="1"/>
        <v xml:space="preserve"> 12730 ** -3, -8, 43, 4, 14, 31, 47, 4</v>
      </c>
      <c r="D12" t="str">
        <f t="shared" si="2"/>
        <v>12730 ** -3, -8, 43, 4, 14, 31, 47, 4</v>
      </c>
      <c r="E12">
        <f t="shared" si="3"/>
        <v>7</v>
      </c>
      <c r="F12" t="str">
        <f t="shared" si="4"/>
        <v xml:space="preserve">12730 </v>
      </c>
      <c r="G12">
        <f t="shared" si="5"/>
        <v>12730</v>
      </c>
    </row>
    <row r="13" spans="1:7">
      <c r="A13" t="s">
        <v>19</v>
      </c>
      <c r="B13">
        <f t="shared" si="0"/>
        <v>6</v>
      </c>
      <c r="C13" t="str">
        <f t="shared" si="1"/>
        <v xml:space="preserve"> 8822 ** -3, -8, 43, 4, 14, 31, 47, 4</v>
      </c>
      <c r="D13" t="str">
        <f t="shared" si="2"/>
        <v>8822 ** -3, -8, 43, 4, 14, 31, 47, 4</v>
      </c>
      <c r="E13">
        <f t="shared" si="3"/>
        <v>6</v>
      </c>
      <c r="F13" t="str">
        <f t="shared" si="4"/>
        <v xml:space="preserve">8822 </v>
      </c>
      <c r="G13">
        <f t="shared" si="5"/>
        <v>8822</v>
      </c>
    </row>
    <row r="14" spans="1:7">
      <c r="A14" t="s">
        <v>20</v>
      </c>
      <c r="B14">
        <f t="shared" si="0"/>
        <v>6</v>
      </c>
      <c r="C14" t="str">
        <f t="shared" si="1"/>
        <v xml:space="preserve"> 15678 ** -3, -8, 43, 4, 14, 31, 47, 4</v>
      </c>
      <c r="D14" t="str">
        <f t="shared" si="2"/>
        <v>15678 ** -3, -8, 43, 4, 14, 31, 47, 4</v>
      </c>
      <c r="E14">
        <f t="shared" si="3"/>
        <v>7</v>
      </c>
      <c r="F14" t="str">
        <f t="shared" si="4"/>
        <v xml:space="preserve">15678 </v>
      </c>
      <c r="G14">
        <f t="shared" si="5"/>
        <v>15678</v>
      </c>
    </row>
    <row r="15" spans="1:7">
      <c r="A15" t="s">
        <v>21</v>
      </c>
      <c r="B15">
        <f t="shared" si="0"/>
        <v>6</v>
      </c>
      <c r="C15" t="str">
        <f t="shared" si="1"/>
        <v xml:space="preserve"> 14126 ** -3, -8, 43, 4, 14, 31, 47, 4</v>
      </c>
      <c r="D15" t="str">
        <f t="shared" si="2"/>
        <v>14126 ** -3, -8, 43, 4, 14, 31, 47, 4</v>
      </c>
      <c r="E15">
        <f t="shared" si="3"/>
        <v>7</v>
      </c>
      <c r="F15" t="str">
        <f t="shared" si="4"/>
        <v xml:space="preserve">14126 </v>
      </c>
      <c r="G15">
        <f t="shared" si="5"/>
        <v>14126</v>
      </c>
    </row>
    <row r="16" spans="1:7">
      <c r="A16" t="s">
        <v>22</v>
      </c>
      <c r="B16">
        <f t="shared" si="0"/>
        <v>6</v>
      </c>
      <c r="C16" t="str">
        <f t="shared" si="1"/>
        <v xml:space="preserve"> 19874 ** -3, -8, 43, 4, 14, 31, 47, 4</v>
      </c>
      <c r="D16" t="str">
        <f t="shared" si="2"/>
        <v>19874 ** -3, -8, 43, 4, 14, 31, 47, 4</v>
      </c>
      <c r="E16">
        <f t="shared" si="3"/>
        <v>7</v>
      </c>
      <c r="F16" t="str">
        <f t="shared" si="4"/>
        <v xml:space="preserve">19874 </v>
      </c>
      <c r="G16">
        <f t="shared" si="5"/>
        <v>19874</v>
      </c>
    </row>
    <row r="17" spans="1:7">
      <c r="A17" t="s">
        <v>23</v>
      </c>
      <c r="B17">
        <f t="shared" si="0"/>
        <v>6</v>
      </c>
      <c r="C17" t="str">
        <f t="shared" si="1"/>
        <v xml:space="preserve"> 19748 ** -3, -8, 43, 4, 14, 31, 47, 4</v>
      </c>
      <c r="D17" t="str">
        <f t="shared" si="2"/>
        <v>19748 ** -3, -8, 43, 4, 14, 31, 47, 4</v>
      </c>
      <c r="E17">
        <f t="shared" si="3"/>
        <v>7</v>
      </c>
      <c r="F17" t="str">
        <f t="shared" si="4"/>
        <v xml:space="preserve">19748 </v>
      </c>
      <c r="G17">
        <f t="shared" si="5"/>
        <v>19748</v>
      </c>
    </row>
    <row r="18" spans="1:7">
      <c r="A18" t="s">
        <v>24</v>
      </c>
      <c r="B18">
        <f t="shared" si="0"/>
        <v>6</v>
      </c>
      <c r="C18" t="str">
        <f t="shared" si="1"/>
        <v xml:space="preserve"> 56810 ** -3, -8, 43, 4, 14, 31, 47, 4</v>
      </c>
      <c r="D18" t="str">
        <f t="shared" si="2"/>
        <v>56810 ** -3, -8, 43, 4, 14, 31, 47, 4</v>
      </c>
      <c r="E18">
        <f t="shared" si="3"/>
        <v>7</v>
      </c>
      <c r="F18" t="str">
        <f t="shared" si="4"/>
        <v xml:space="preserve">56810 </v>
      </c>
      <c r="G18">
        <f t="shared" si="5"/>
        <v>56810</v>
      </c>
    </row>
    <row r="19" spans="1:7">
      <c r="A19" t="s">
        <v>25</v>
      </c>
      <c r="B19">
        <f>SEARCH(":",A19)</f>
        <v>6</v>
      </c>
      <c r="C19" t="str">
        <f>MID(A19,B19+1,LEN(A19)-(B19+1))</f>
        <v xml:space="preserve"> 30313 ** -3, -8, 43, 4, 14, 31, 47, 4</v>
      </c>
      <c r="D19" t="str">
        <f>TRIM(C19)</f>
        <v>30313 ** -3, -8, 43, 4, 14, 31, 47, 4</v>
      </c>
      <c r="E19">
        <f>SEARCH("~*",D19)</f>
        <v>7</v>
      </c>
      <c r="F19" t="str">
        <f>LEFT(D19,E19-1)</f>
        <v xml:space="preserve">30313 </v>
      </c>
      <c r="G19">
        <f t="shared" si="5"/>
        <v>30313</v>
      </c>
    </row>
    <row r="20" spans="1:7">
      <c r="A20" t="s">
        <v>26</v>
      </c>
      <c r="B20">
        <f t="shared" ref="B20:B74" si="6">SEARCH(":",A20)</f>
        <v>6</v>
      </c>
      <c r="C20" t="str">
        <f t="shared" ref="C20:C74" si="7">MID(A20,B20+1,LEN(A20)-(B20+1))</f>
        <v xml:space="preserve"> 28304 ** -3, -8, 43, 4, 14, 31, 47, 4</v>
      </c>
      <c r="D20" t="str">
        <f t="shared" ref="D20:D74" si="8">TRIM(C20)</f>
        <v>28304 ** -3, -8, 43, 4, 14, 31, 47, 4</v>
      </c>
      <c r="E20">
        <f t="shared" ref="E20:E74" si="9">SEARCH("~*",D20)</f>
        <v>7</v>
      </c>
      <c r="F20" t="str">
        <f t="shared" ref="F20:F74" si="10">LEFT(D20,E20-1)</f>
        <v xml:space="preserve">28304 </v>
      </c>
      <c r="G20">
        <f t="shared" si="5"/>
        <v>28304</v>
      </c>
    </row>
    <row r="21" spans="1:7">
      <c r="A21" t="s">
        <v>27</v>
      </c>
      <c r="B21">
        <f t="shared" si="6"/>
        <v>6</v>
      </c>
      <c r="C21" t="str">
        <f t="shared" si="7"/>
        <v xml:space="preserve"> 34821 ** -3, -8, 43, 4, 14, 31, 47, 4</v>
      </c>
      <c r="D21" t="str">
        <f t="shared" si="8"/>
        <v>34821 ** -3, -8, 43, 4, 14, 31, 47, 4</v>
      </c>
      <c r="E21">
        <f t="shared" si="9"/>
        <v>7</v>
      </c>
      <c r="F21" t="str">
        <f t="shared" si="10"/>
        <v xml:space="preserve">34821 </v>
      </c>
      <c r="G21">
        <f t="shared" si="5"/>
        <v>34821</v>
      </c>
    </row>
    <row r="22" spans="1:7">
      <c r="A22" t="s">
        <v>28</v>
      </c>
      <c r="B22">
        <f t="shared" si="6"/>
        <v>6</v>
      </c>
      <c r="C22" t="str">
        <f t="shared" si="7"/>
        <v xml:space="preserve"> 34247 ** -3, -8, 43, 4, 14, 31, 47, 4</v>
      </c>
      <c r="D22" t="str">
        <f t="shared" si="8"/>
        <v>34247 ** -3, -8, 43, 4, 14, 31, 47, 4</v>
      </c>
      <c r="E22">
        <f t="shared" si="9"/>
        <v>7</v>
      </c>
      <c r="F22" t="str">
        <f t="shared" si="10"/>
        <v xml:space="preserve">34247 </v>
      </c>
      <c r="G22">
        <f t="shared" si="5"/>
        <v>34247</v>
      </c>
    </row>
    <row r="23" spans="1:7">
      <c r="A23" t="s">
        <v>29</v>
      </c>
      <c r="B23">
        <f t="shared" si="6"/>
        <v>6</v>
      </c>
      <c r="C23" t="str">
        <f t="shared" si="7"/>
        <v xml:space="preserve"> 39169 ** -3, -8, 43, 4, 14, 31, 47, 4</v>
      </c>
      <c r="D23" t="str">
        <f t="shared" si="8"/>
        <v>39169 ** -3, -8, 43, 4, 14, 31, 47, 4</v>
      </c>
      <c r="E23">
        <f t="shared" si="9"/>
        <v>7</v>
      </c>
      <c r="F23" t="str">
        <f t="shared" si="10"/>
        <v xml:space="preserve">39169 </v>
      </c>
      <c r="G23">
        <f t="shared" si="5"/>
        <v>39169</v>
      </c>
    </row>
    <row r="24" spans="1:7">
      <c r="A24" t="s">
        <v>30</v>
      </c>
      <c r="B24">
        <f t="shared" si="6"/>
        <v>6</v>
      </c>
      <c r="C24" t="str">
        <f t="shared" si="7"/>
        <v xml:space="preserve"> 40416 ** -3, -8, 43, 4, 14, 31, 47, 4</v>
      </c>
      <c r="D24" t="str">
        <f t="shared" si="8"/>
        <v>40416 ** -3, -8, 43, 4, 14, 31, 47, 4</v>
      </c>
      <c r="E24">
        <f t="shared" si="9"/>
        <v>7</v>
      </c>
      <c r="F24" t="str">
        <f t="shared" si="10"/>
        <v xml:space="preserve">40416 </v>
      </c>
      <c r="G24">
        <f t="shared" si="5"/>
        <v>40416</v>
      </c>
    </row>
    <row r="25" spans="1:7">
      <c r="A25" t="s">
        <v>31</v>
      </c>
      <c r="B25">
        <f t="shared" si="6"/>
        <v>6</v>
      </c>
      <c r="C25" t="str">
        <f t="shared" si="7"/>
        <v xml:space="preserve"> 94564 ** -3, -8, 43, 4, 14, 31, 47, 4</v>
      </c>
      <c r="D25" t="str">
        <f t="shared" si="8"/>
        <v>94564 ** -3, -8, 43, 4, 14, 31, 47, 4</v>
      </c>
      <c r="E25">
        <f t="shared" si="9"/>
        <v>7</v>
      </c>
      <c r="F25" t="str">
        <f t="shared" si="10"/>
        <v xml:space="preserve">94564 </v>
      </c>
      <c r="G25">
        <f t="shared" si="5"/>
        <v>94564</v>
      </c>
    </row>
    <row r="26" spans="1:7">
      <c r="A26" t="s">
        <v>32</v>
      </c>
      <c r="B26">
        <f t="shared" si="6"/>
        <v>6</v>
      </c>
      <c r="C26" t="str">
        <f t="shared" si="7"/>
        <v xml:space="preserve"> 95447 ** -3, -8, 43, 4, 14, 31, 47, 4</v>
      </c>
      <c r="D26" t="str">
        <f t="shared" si="8"/>
        <v>95447 ** -3, -8, 43, 4, 14, 31, 47, 4</v>
      </c>
      <c r="E26">
        <f t="shared" si="9"/>
        <v>7</v>
      </c>
      <c r="F26" t="str">
        <f t="shared" si="10"/>
        <v xml:space="preserve">95447 </v>
      </c>
      <c r="G26">
        <f t="shared" si="5"/>
        <v>95447</v>
      </c>
    </row>
    <row r="27" spans="1:7">
      <c r="A27" t="s">
        <v>33</v>
      </c>
      <c r="B27">
        <f t="shared" si="6"/>
        <v>6</v>
      </c>
      <c r="C27" t="str">
        <f t="shared" si="7"/>
        <v xml:space="preserve"> 50525 ** -3, -8, 43, 4, 14, 31, 47, 4</v>
      </c>
      <c r="D27" t="str">
        <f t="shared" si="8"/>
        <v>50525 ** -3, -8, 43, 4, 14, 31, 47, 4</v>
      </c>
      <c r="E27">
        <f t="shared" si="9"/>
        <v>7</v>
      </c>
      <c r="F27" t="str">
        <f t="shared" si="10"/>
        <v xml:space="preserve">50525 </v>
      </c>
      <c r="G27">
        <f t="shared" si="5"/>
        <v>50525</v>
      </c>
    </row>
    <row r="28" spans="1:7">
      <c r="A28" t="s">
        <v>34</v>
      </c>
      <c r="B28">
        <f t="shared" si="6"/>
        <v>6</v>
      </c>
      <c r="C28" t="str">
        <f t="shared" si="7"/>
        <v xml:space="preserve"> 101616 ** -3, -8, 43, 4, 14, 31, 47, 4</v>
      </c>
      <c r="D28" t="str">
        <f t="shared" si="8"/>
        <v>101616 ** -3, -8, 43, 4, 14, 31, 47, 4</v>
      </c>
      <c r="E28">
        <f t="shared" si="9"/>
        <v>8</v>
      </c>
      <c r="F28" t="str">
        <f t="shared" si="10"/>
        <v xml:space="preserve">101616 </v>
      </c>
      <c r="G28">
        <f t="shared" si="5"/>
        <v>101616</v>
      </c>
    </row>
    <row r="29" spans="1:7">
      <c r="A29" t="s">
        <v>35</v>
      </c>
      <c r="B29">
        <f t="shared" si="6"/>
        <v>6</v>
      </c>
      <c r="C29" t="str">
        <f t="shared" si="7"/>
        <v xml:space="preserve"> 60295 ** -3, -8, 43, 4, 14, 31, 47, 4</v>
      </c>
      <c r="D29" t="str">
        <f t="shared" si="8"/>
        <v>60295 ** -3, -8, 43, 4, 14, 31, 47, 4</v>
      </c>
      <c r="E29">
        <f t="shared" si="9"/>
        <v>7</v>
      </c>
      <c r="F29" t="str">
        <f t="shared" si="10"/>
        <v xml:space="preserve">60295 </v>
      </c>
      <c r="G29">
        <f t="shared" si="5"/>
        <v>60295</v>
      </c>
    </row>
    <row r="30" spans="1:7">
      <c r="A30" t="s">
        <v>36</v>
      </c>
      <c r="B30">
        <f t="shared" si="6"/>
        <v>6</v>
      </c>
      <c r="C30" t="str">
        <f t="shared" si="7"/>
        <v xml:space="preserve"> 107488 ** -3, -8, 43, 4, 14, 31, 47, 4</v>
      </c>
      <c r="D30" t="str">
        <f t="shared" si="8"/>
        <v>107488 ** -3, -8, 43, 4, 14, 31, 47, 4</v>
      </c>
      <c r="E30">
        <f t="shared" si="9"/>
        <v>8</v>
      </c>
      <c r="F30" t="str">
        <f t="shared" si="10"/>
        <v xml:space="preserve">107488 </v>
      </c>
      <c r="G30">
        <f t="shared" si="5"/>
        <v>107488</v>
      </c>
    </row>
    <row r="31" spans="1:7">
      <c r="A31" t="s">
        <v>37</v>
      </c>
      <c r="B31">
        <f t="shared" si="6"/>
        <v>6</v>
      </c>
      <c r="C31" t="str">
        <f t="shared" si="7"/>
        <v xml:space="preserve"> 55353 ** -3, -8, 43, 4, 14, 31, 47, 4</v>
      </c>
      <c r="D31" t="str">
        <f t="shared" si="8"/>
        <v>55353 ** -3, -8, 43, 4, 14, 31, 47, 4</v>
      </c>
      <c r="E31">
        <f t="shared" si="9"/>
        <v>7</v>
      </c>
      <c r="F31" t="str">
        <f t="shared" si="10"/>
        <v xml:space="preserve">55353 </v>
      </c>
      <c r="G31">
        <f t="shared" si="5"/>
        <v>55353</v>
      </c>
    </row>
    <row r="32" spans="1:7">
      <c r="A32" t="s">
        <v>38</v>
      </c>
      <c r="B32">
        <f t="shared" si="6"/>
        <v>6</v>
      </c>
      <c r="C32" t="str">
        <f t="shared" si="7"/>
        <v xml:space="preserve"> 62164 ** -3, -8, 43, 4, 14, 31, 47, 4</v>
      </c>
      <c r="D32" t="str">
        <f t="shared" si="8"/>
        <v>62164 ** -3, -8, 43, 4, 14, 31, 47, 4</v>
      </c>
      <c r="E32">
        <f t="shared" si="9"/>
        <v>7</v>
      </c>
      <c r="F32" t="str">
        <f t="shared" si="10"/>
        <v xml:space="preserve">62164 </v>
      </c>
      <c r="G32">
        <f t="shared" si="5"/>
        <v>62164</v>
      </c>
    </row>
    <row r="33" spans="1:7">
      <c r="A33" t="s">
        <v>39</v>
      </c>
      <c r="B33">
        <f t="shared" si="6"/>
        <v>6</v>
      </c>
      <c r="C33" t="str">
        <f t="shared" si="7"/>
        <v xml:space="preserve"> 117644 ** -3, -8, 43, 4, 14, 31, 47, 4</v>
      </c>
      <c r="D33" t="str">
        <f t="shared" si="8"/>
        <v>117644 ** -3, -8, 43, 4, 14, 31, 47, 4</v>
      </c>
      <c r="E33">
        <f t="shared" si="9"/>
        <v>8</v>
      </c>
      <c r="F33" t="str">
        <f t="shared" si="10"/>
        <v xml:space="preserve">117644 </v>
      </c>
      <c r="G33">
        <f t="shared" si="5"/>
        <v>117644</v>
      </c>
    </row>
    <row r="34" spans="1:7">
      <c r="A34" t="s">
        <v>40</v>
      </c>
      <c r="B34">
        <f t="shared" si="6"/>
        <v>6</v>
      </c>
      <c r="C34" t="str">
        <f t="shared" si="7"/>
        <v xml:space="preserve"> 56876 ** -3, -8, 43, 4, 14, 31, 47, 4</v>
      </c>
      <c r="D34" t="str">
        <f t="shared" si="8"/>
        <v>56876 ** -3, -8, 43, 4, 14, 31, 47, 4</v>
      </c>
      <c r="E34">
        <f t="shared" si="9"/>
        <v>7</v>
      </c>
      <c r="F34" t="str">
        <f t="shared" si="10"/>
        <v xml:space="preserve">56876 </v>
      </c>
      <c r="G34">
        <f t="shared" si="5"/>
        <v>56876</v>
      </c>
    </row>
    <row r="35" spans="1:7">
      <c r="A35" t="s">
        <v>41</v>
      </c>
      <c r="B35">
        <f t="shared" si="6"/>
        <v>6</v>
      </c>
      <c r="C35" t="str">
        <f t="shared" si="7"/>
        <v xml:space="preserve"> 62503 ** -3, -8, 43, 4, 14, 31, 47, 4</v>
      </c>
      <c r="D35" t="str">
        <f t="shared" si="8"/>
        <v>62503 ** -3, -8, 43, 4, 14, 31, 47, 4</v>
      </c>
      <c r="E35">
        <f t="shared" si="9"/>
        <v>7</v>
      </c>
      <c r="F35" t="str">
        <f t="shared" si="10"/>
        <v xml:space="preserve">62503 </v>
      </c>
      <c r="G35">
        <f t="shared" si="5"/>
        <v>62503</v>
      </c>
    </row>
    <row r="36" spans="1:7">
      <c r="A36" t="s">
        <v>42</v>
      </c>
      <c r="B36">
        <f t="shared" si="6"/>
        <v>6</v>
      </c>
      <c r="C36" t="str">
        <f t="shared" si="7"/>
        <v xml:space="preserve"> 72535 ** -3, -8, 43, 4, 14, 31, 47, 4</v>
      </c>
      <c r="D36" t="str">
        <f t="shared" si="8"/>
        <v>72535 ** -3, -8, 43, 4, 14, 31, 47, 4</v>
      </c>
      <c r="E36">
        <f t="shared" si="9"/>
        <v>7</v>
      </c>
      <c r="F36" t="str">
        <f t="shared" si="10"/>
        <v xml:space="preserve">72535 </v>
      </c>
      <c r="G36">
        <f t="shared" si="5"/>
        <v>72535</v>
      </c>
    </row>
    <row r="37" spans="1:7">
      <c r="A37" t="s">
        <v>43</v>
      </c>
      <c r="B37">
        <f t="shared" si="6"/>
        <v>6</v>
      </c>
      <c r="C37" t="str">
        <f t="shared" si="7"/>
        <v xml:space="preserve"> 127713 ** -3, -8, 43, 4, 14, 31, 47, 4</v>
      </c>
      <c r="D37" t="str">
        <f t="shared" si="8"/>
        <v>127713 ** -3, -8, 43, 4, 14, 31, 47, 4</v>
      </c>
      <c r="E37">
        <f t="shared" si="9"/>
        <v>8</v>
      </c>
      <c r="F37" t="str">
        <f t="shared" si="10"/>
        <v xml:space="preserve">127713 </v>
      </c>
      <c r="G37">
        <f t="shared" si="5"/>
        <v>127713</v>
      </c>
    </row>
    <row r="38" spans="1:7">
      <c r="A38" t="s">
        <v>44</v>
      </c>
      <c r="B38">
        <f t="shared" si="6"/>
        <v>6</v>
      </c>
      <c r="C38" t="str">
        <f t="shared" si="7"/>
        <v xml:space="preserve"> 64601 ** -3, -8, 43, 4, 14, 31, 47, 4</v>
      </c>
      <c r="D38" t="str">
        <f t="shared" si="8"/>
        <v>64601 ** -3, -8, 43, 4, 14, 31, 47, 4</v>
      </c>
      <c r="E38">
        <f t="shared" si="9"/>
        <v>7</v>
      </c>
      <c r="F38" t="str">
        <f t="shared" si="10"/>
        <v xml:space="preserve">64601 </v>
      </c>
      <c r="G38">
        <f t="shared" si="5"/>
        <v>64601</v>
      </c>
    </row>
    <row r="39" spans="1:7">
      <c r="A39" t="s">
        <v>45</v>
      </c>
      <c r="B39">
        <f t="shared" si="6"/>
        <v>6</v>
      </c>
      <c r="C39" t="str">
        <f t="shared" si="7"/>
        <v xml:space="preserve"> 72247 ** -3, -8, 43, 4, 14, 31, 47, 4</v>
      </c>
      <c r="D39" t="str">
        <f t="shared" si="8"/>
        <v>72247 ** -3, -8, 43, 4, 14, 31, 47, 4</v>
      </c>
      <c r="E39">
        <f t="shared" si="9"/>
        <v>7</v>
      </c>
      <c r="F39" t="str">
        <f t="shared" si="10"/>
        <v xml:space="preserve">72247 </v>
      </c>
      <c r="G39">
        <f t="shared" si="5"/>
        <v>72247</v>
      </c>
    </row>
    <row r="40" spans="1:7">
      <c r="A40" t="s">
        <v>46</v>
      </c>
      <c r="B40">
        <f t="shared" si="6"/>
        <v>6</v>
      </c>
      <c r="C40" t="str">
        <f t="shared" si="7"/>
        <v xml:space="preserve"> 65256 ** -3, -8, 43, 4, 14, 31, 47, 4</v>
      </c>
      <c r="D40" t="str">
        <f t="shared" si="8"/>
        <v>65256 ** -3, -8, 43, 4, 14, 31, 47, 4</v>
      </c>
      <c r="E40">
        <f t="shared" si="9"/>
        <v>7</v>
      </c>
      <c r="F40" t="str">
        <f t="shared" si="10"/>
        <v xml:space="preserve">65256 </v>
      </c>
      <c r="G40">
        <f t="shared" si="5"/>
        <v>65256</v>
      </c>
    </row>
    <row r="41" spans="1:7">
      <c r="A41" t="s">
        <v>47</v>
      </c>
      <c r="B41">
        <f t="shared" si="6"/>
        <v>6</v>
      </c>
      <c r="C41" t="str">
        <f t="shared" si="7"/>
        <v xml:space="preserve"> 70749 ** -3, -8, 43, 4, 14, 31, 47, 4</v>
      </c>
      <c r="D41" t="str">
        <f t="shared" si="8"/>
        <v>70749 ** -3, -8, 43, 4, 14, 31, 47, 4</v>
      </c>
      <c r="E41">
        <f t="shared" si="9"/>
        <v>7</v>
      </c>
      <c r="F41" t="str">
        <f t="shared" si="10"/>
        <v xml:space="preserve">70749 </v>
      </c>
      <c r="G41">
        <f t="shared" si="5"/>
        <v>70749</v>
      </c>
    </row>
    <row r="42" spans="1:7">
      <c r="A42" t="s">
        <v>48</v>
      </c>
      <c r="B42">
        <f t="shared" si="6"/>
        <v>6</v>
      </c>
      <c r="C42" t="str">
        <f t="shared" si="7"/>
        <v xml:space="preserve"> 70872 ** -3, -8, 43, 4, 14, 31, 47, 4</v>
      </c>
      <c r="D42" t="str">
        <f t="shared" si="8"/>
        <v>70872 ** -3, -8, 43, 4, 14, 31, 47, 4</v>
      </c>
      <c r="E42">
        <f t="shared" si="9"/>
        <v>7</v>
      </c>
      <c r="F42" t="str">
        <f t="shared" si="10"/>
        <v xml:space="preserve">70872 </v>
      </c>
      <c r="G42">
        <f t="shared" si="5"/>
        <v>70872</v>
      </c>
    </row>
    <row r="43" spans="1:7">
      <c r="A43" t="s">
        <v>49</v>
      </c>
      <c r="B43">
        <f t="shared" si="6"/>
        <v>6</v>
      </c>
      <c r="C43" t="str">
        <f t="shared" si="7"/>
        <v xml:space="preserve"> 77245 ** -3, -8, 43, 4, 14, 31, 47, 4</v>
      </c>
      <c r="D43" t="str">
        <f t="shared" si="8"/>
        <v>77245 ** -3, -8, 43, 4, 14, 31, 47, 4</v>
      </c>
      <c r="E43">
        <f t="shared" si="9"/>
        <v>7</v>
      </c>
      <c r="F43" t="str">
        <f t="shared" si="10"/>
        <v xml:space="preserve">77245 </v>
      </c>
      <c r="G43">
        <f t="shared" si="5"/>
        <v>77245</v>
      </c>
    </row>
    <row r="44" spans="1:7">
      <c r="A44" t="s">
        <v>50</v>
      </c>
      <c r="B44">
        <f t="shared" si="6"/>
        <v>6</v>
      </c>
      <c r="C44" t="str">
        <f t="shared" si="7"/>
        <v xml:space="preserve"> 74564 ** -3, -8, 43, 4, 14, 31, 47, 4</v>
      </c>
      <c r="D44" t="str">
        <f t="shared" si="8"/>
        <v>74564 ** -3, -8, 43, 4, 14, 31, 47, 4</v>
      </c>
      <c r="E44">
        <f t="shared" si="9"/>
        <v>7</v>
      </c>
      <c r="F44" t="str">
        <f t="shared" si="10"/>
        <v xml:space="preserve">74564 </v>
      </c>
      <c r="G44">
        <f t="shared" si="5"/>
        <v>74564</v>
      </c>
    </row>
    <row r="45" spans="1:7">
      <c r="A45" t="s">
        <v>51</v>
      </c>
      <c r="B45">
        <f t="shared" si="6"/>
        <v>6</v>
      </c>
      <c r="C45" t="str">
        <f t="shared" si="7"/>
        <v xml:space="preserve"> 68976 ** -3, -8, 43, 4, 14, 31, 47, 4</v>
      </c>
      <c r="D45" t="str">
        <f t="shared" si="8"/>
        <v>68976 ** -3, -8, 43, 4, 14, 31, 47, 4</v>
      </c>
      <c r="E45">
        <f t="shared" si="9"/>
        <v>7</v>
      </c>
      <c r="F45" t="str">
        <f t="shared" si="10"/>
        <v xml:space="preserve">68976 </v>
      </c>
      <c r="G45">
        <f t="shared" si="5"/>
        <v>68976</v>
      </c>
    </row>
    <row r="46" spans="1:7">
      <c r="A46" t="s">
        <v>52</v>
      </c>
      <c r="B46">
        <f t="shared" si="6"/>
        <v>6</v>
      </c>
      <c r="C46" t="str">
        <f t="shared" si="7"/>
        <v xml:space="preserve"> 81386 ** -3, -8, 43, 4, 14, 31, 47, 4</v>
      </c>
      <c r="D46" t="str">
        <f t="shared" si="8"/>
        <v>81386 ** -3, -8, 43, 4, 14, 31, 47, 4</v>
      </c>
      <c r="E46">
        <f t="shared" si="9"/>
        <v>7</v>
      </c>
      <c r="F46" t="str">
        <f t="shared" si="10"/>
        <v xml:space="preserve">81386 </v>
      </c>
      <c r="G46">
        <f t="shared" si="5"/>
        <v>81386</v>
      </c>
    </row>
    <row r="47" spans="1:7">
      <c r="A47" t="s">
        <v>53</v>
      </c>
      <c r="B47">
        <f t="shared" si="6"/>
        <v>6</v>
      </c>
      <c r="C47" t="str">
        <f t="shared" si="7"/>
        <v xml:space="preserve"> 73297 ** -3, -8, 43, 4, 14, 31, 47, 4</v>
      </c>
      <c r="D47" t="str">
        <f t="shared" si="8"/>
        <v>73297 ** -3, -8, 43, 4, 14, 31, 47, 4</v>
      </c>
      <c r="E47">
        <f t="shared" si="9"/>
        <v>7</v>
      </c>
      <c r="F47" t="str">
        <f t="shared" si="10"/>
        <v xml:space="preserve">73297 </v>
      </c>
      <c r="G47">
        <f t="shared" si="5"/>
        <v>73297</v>
      </c>
    </row>
    <row r="48" spans="1:7">
      <c r="A48" t="s">
        <v>54</v>
      </c>
      <c r="B48">
        <f t="shared" si="6"/>
        <v>6</v>
      </c>
      <c r="C48" t="str">
        <f t="shared" si="7"/>
        <v xml:space="preserve"> 82268 ** -3, -8, 43, 4, 14, 31, 47, 4</v>
      </c>
      <c r="D48" t="str">
        <f t="shared" si="8"/>
        <v>82268 ** -3, -8, 43, 4, 14, 31, 47, 4</v>
      </c>
      <c r="E48">
        <f t="shared" si="9"/>
        <v>7</v>
      </c>
      <c r="F48" t="str">
        <f t="shared" si="10"/>
        <v xml:space="preserve">82268 </v>
      </c>
      <c r="G48">
        <f t="shared" si="5"/>
        <v>82268</v>
      </c>
    </row>
    <row r="49" spans="1:7">
      <c r="A49" t="s">
        <v>55</v>
      </c>
      <c r="B49">
        <f t="shared" si="6"/>
        <v>6</v>
      </c>
      <c r="C49" t="str">
        <f t="shared" si="7"/>
        <v xml:space="preserve"> 82393 ** -3, -8, 43, 4, 14, 31, 47, 4</v>
      </c>
      <c r="D49" t="str">
        <f t="shared" si="8"/>
        <v>82393 ** -3, -8, 43, 4, 14, 31, 47, 4</v>
      </c>
      <c r="E49">
        <f t="shared" si="9"/>
        <v>7</v>
      </c>
      <c r="F49" t="str">
        <f t="shared" si="10"/>
        <v xml:space="preserve">82393 </v>
      </c>
      <c r="G49">
        <f t="shared" si="5"/>
        <v>82393</v>
      </c>
    </row>
    <row r="50" spans="1:7">
      <c r="A50" t="s">
        <v>56</v>
      </c>
      <c r="B50">
        <f t="shared" si="6"/>
        <v>6</v>
      </c>
      <c r="C50" t="str">
        <f t="shared" si="7"/>
        <v xml:space="preserve"> 93367 ** -3, -8, 43, 4, 14, 31, 47, 4</v>
      </c>
      <c r="D50" t="str">
        <f t="shared" si="8"/>
        <v>93367 ** -3, -8, 43, 4, 14, 31, 47, 4</v>
      </c>
      <c r="E50">
        <f t="shared" si="9"/>
        <v>7</v>
      </c>
      <c r="F50" t="str">
        <f t="shared" si="10"/>
        <v xml:space="preserve">93367 </v>
      </c>
      <c r="G50">
        <f t="shared" si="5"/>
        <v>93367</v>
      </c>
    </row>
    <row r="51" spans="1:7">
      <c r="A51" t="s">
        <v>57</v>
      </c>
      <c r="B51">
        <f t="shared" si="6"/>
        <v>6</v>
      </c>
      <c r="C51" t="str">
        <f t="shared" si="7"/>
        <v xml:space="preserve"> 93429 ** -3, -8, 43, 4, 14, 31, 47, 4</v>
      </c>
      <c r="D51" t="str">
        <f t="shared" si="8"/>
        <v>93429 ** -3, -8, 43, 4, 14, 31, 47, 4</v>
      </c>
      <c r="E51">
        <f t="shared" si="9"/>
        <v>7</v>
      </c>
      <c r="F51" t="str">
        <f t="shared" si="10"/>
        <v xml:space="preserve">93429 </v>
      </c>
      <c r="G51">
        <f t="shared" si="5"/>
        <v>93429</v>
      </c>
    </row>
    <row r="52" spans="1:7">
      <c r="A52" t="s">
        <v>58</v>
      </c>
      <c r="B52">
        <f t="shared" si="6"/>
        <v>6</v>
      </c>
      <c r="C52" t="str">
        <f t="shared" si="7"/>
        <v xml:space="preserve"> 97854 ** -3, -8, 43, 4, 14, 31, 47, 4</v>
      </c>
      <c r="D52" t="str">
        <f t="shared" si="8"/>
        <v>97854 ** -3, -8, 43, 4, 14, 31, 47, 4</v>
      </c>
      <c r="E52">
        <f t="shared" si="9"/>
        <v>7</v>
      </c>
      <c r="F52" t="str">
        <f t="shared" si="10"/>
        <v xml:space="preserve">97854 </v>
      </c>
      <c r="G52">
        <f t="shared" si="5"/>
        <v>97854</v>
      </c>
    </row>
    <row r="53" spans="1:7">
      <c r="A53" t="s">
        <v>59</v>
      </c>
      <c r="B53">
        <f t="shared" si="6"/>
        <v>6</v>
      </c>
      <c r="C53" t="str">
        <f t="shared" si="7"/>
        <v xml:space="preserve"> 215238 ** -3, -8, 43, 4, 14, 31, 47, 4</v>
      </c>
      <c r="D53" t="str">
        <f t="shared" si="8"/>
        <v>215238 ** -3, -8, 43, 4, 14, 31, 47, 4</v>
      </c>
      <c r="E53">
        <f t="shared" si="9"/>
        <v>8</v>
      </c>
      <c r="F53" t="str">
        <f t="shared" si="10"/>
        <v xml:space="preserve">215238 </v>
      </c>
      <c r="G53">
        <f t="shared" si="5"/>
        <v>215238</v>
      </c>
    </row>
    <row r="54" spans="1:7">
      <c r="A54" t="s">
        <v>60</v>
      </c>
      <c r="B54">
        <f t="shared" si="6"/>
        <v>6</v>
      </c>
      <c r="C54" t="str">
        <f t="shared" si="7"/>
        <v xml:space="preserve"> 124158 ** -3, -8, 43, 4, 14, 31, 47, 4</v>
      </c>
      <c r="D54" t="str">
        <f t="shared" si="8"/>
        <v>124158 ** -3, -8, 43, 4, 14, 31, 47, 4</v>
      </c>
      <c r="E54">
        <f t="shared" si="9"/>
        <v>8</v>
      </c>
      <c r="F54" t="str">
        <f t="shared" si="10"/>
        <v xml:space="preserve">124158 </v>
      </c>
      <c r="G54">
        <f t="shared" si="5"/>
        <v>124158</v>
      </c>
    </row>
    <row r="55" spans="1:7">
      <c r="A55" t="s">
        <v>61</v>
      </c>
      <c r="B55">
        <f t="shared" si="6"/>
        <v>6</v>
      </c>
      <c r="C55" t="str">
        <f t="shared" si="7"/>
        <v xml:space="preserve"> 125327 ** -3, -8, 43, 4, 14, 31, 47, 4</v>
      </c>
      <c r="D55" t="str">
        <f t="shared" si="8"/>
        <v>125327 ** -3, -8, 43, 4, 14, 31, 47, 4</v>
      </c>
      <c r="E55">
        <f t="shared" si="9"/>
        <v>8</v>
      </c>
      <c r="F55" t="str">
        <f t="shared" si="10"/>
        <v xml:space="preserve">125327 </v>
      </c>
      <c r="G55">
        <f t="shared" si="5"/>
        <v>125327</v>
      </c>
    </row>
    <row r="56" spans="1:7">
      <c r="A56" t="s">
        <v>62</v>
      </c>
      <c r="B56">
        <f t="shared" si="6"/>
        <v>6</v>
      </c>
      <c r="C56" t="str">
        <f t="shared" si="7"/>
        <v xml:space="preserve"> 252456 ** -3, -8, 43, 4, 14, 31, 47, 4</v>
      </c>
      <c r="D56" t="str">
        <f t="shared" si="8"/>
        <v>252456 ** -3, -8, 43, 4, 14, 31, 47, 4</v>
      </c>
      <c r="E56">
        <f t="shared" si="9"/>
        <v>8</v>
      </c>
      <c r="F56" t="str">
        <f t="shared" si="10"/>
        <v xml:space="preserve">252456 </v>
      </c>
      <c r="G56">
        <f t="shared" si="5"/>
        <v>252456</v>
      </c>
    </row>
    <row r="57" spans="1:7">
      <c r="A57" t="s">
        <v>63</v>
      </c>
      <c r="B57">
        <f t="shared" si="6"/>
        <v>6</v>
      </c>
      <c r="C57" t="str">
        <f t="shared" si="7"/>
        <v xml:space="preserve"> 125614 ** -3, -8, 43, 4, 14, 31, 47, 4</v>
      </c>
      <c r="D57" t="str">
        <f t="shared" si="8"/>
        <v>125614 ** -3, -8, 43, 4, 14, 31, 47, 4</v>
      </c>
      <c r="E57">
        <f t="shared" si="9"/>
        <v>8</v>
      </c>
      <c r="F57" t="str">
        <f t="shared" si="10"/>
        <v xml:space="preserve">125614 </v>
      </c>
      <c r="G57">
        <f t="shared" si="5"/>
        <v>125614</v>
      </c>
    </row>
    <row r="58" spans="1:7">
      <c r="A58" t="s">
        <v>64</v>
      </c>
      <c r="B58">
        <f t="shared" si="6"/>
        <v>6</v>
      </c>
      <c r="C58" t="str">
        <f t="shared" si="7"/>
        <v xml:space="preserve"> 113097 ** -3, -8, 43, 4, 14, 31, 47, 4</v>
      </c>
      <c r="D58" t="str">
        <f t="shared" si="8"/>
        <v>113097 ** -3, -8, 43, 4, 14, 31, 47, 4</v>
      </c>
      <c r="E58">
        <f t="shared" si="9"/>
        <v>8</v>
      </c>
      <c r="F58" t="str">
        <f t="shared" si="10"/>
        <v xml:space="preserve">113097 </v>
      </c>
      <c r="G58">
        <f t="shared" si="5"/>
        <v>113097</v>
      </c>
    </row>
    <row r="59" spans="1:7">
      <c r="A59" t="s">
        <v>65</v>
      </c>
      <c r="B59">
        <f t="shared" si="6"/>
        <v>6</v>
      </c>
      <c r="C59" t="str">
        <f t="shared" si="7"/>
        <v xml:space="preserve"> 118500 ** -3, -8, 43, 4, 14, 31, 47, 4</v>
      </c>
      <c r="D59" t="str">
        <f t="shared" si="8"/>
        <v>118500 ** -3, -8, 43, 4, 14, 31, 47, 4</v>
      </c>
      <c r="E59">
        <f t="shared" si="9"/>
        <v>8</v>
      </c>
      <c r="F59" t="str">
        <f t="shared" si="10"/>
        <v xml:space="preserve">118500 </v>
      </c>
      <c r="G59">
        <f t="shared" si="5"/>
        <v>118500</v>
      </c>
    </row>
    <row r="60" spans="1:7">
      <c r="A60" t="s">
        <v>66</v>
      </c>
      <c r="B60">
        <f t="shared" si="6"/>
        <v>6</v>
      </c>
      <c r="C60" t="str">
        <f t="shared" si="7"/>
        <v xml:space="preserve"> 132039 ** -3, -8, 43, 4, 14, 31, 47, 4</v>
      </c>
      <c r="D60" t="str">
        <f t="shared" si="8"/>
        <v>132039 ** -3, -8, 43, 4, 14, 31, 47, 4</v>
      </c>
      <c r="E60">
        <f t="shared" si="9"/>
        <v>8</v>
      </c>
      <c r="F60" t="str">
        <f t="shared" si="10"/>
        <v xml:space="preserve">132039 </v>
      </c>
      <c r="G60">
        <f t="shared" si="5"/>
        <v>132039</v>
      </c>
    </row>
    <row r="61" spans="1:7">
      <c r="A61" t="s">
        <v>67</v>
      </c>
      <c r="B61">
        <f t="shared" si="6"/>
        <v>6</v>
      </c>
      <c r="C61" t="str">
        <f t="shared" si="7"/>
        <v xml:space="preserve"> 124346 ** -3, -8, 43, 4, 14, 31, 47, 4</v>
      </c>
      <c r="D61" t="str">
        <f t="shared" si="8"/>
        <v>124346 ** -3, -8, 43, 4, 14, 31, 47, 4</v>
      </c>
      <c r="E61">
        <f t="shared" si="9"/>
        <v>8</v>
      </c>
      <c r="F61" t="str">
        <f t="shared" si="10"/>
        <v xml:space="preserve">124346 </v>
      </c>
      <c r="G61">
        <f t="shared" si="5"/>
        <v>124346</v>
      </c>
    </row>
    <row r="62" spans="1:7">
      <c r="A62" t="s">
        <v>68</v>
      </c>
      <c r="B62">
        <f t="shared" si="6"/>
        <v>6</v>
      </c>
      <c r="C62" t="str">
        <f t="shared" si="7"/>
        <v xml:space="preserve"> 258415 ** -3, -8, 43, 4, 14, 31, 47, 4</v>
      </c>
      <c r="D62" t="str">
        <f t="shared" si="8"/>
        <v>258415 ** -3, -8, 43, 4, 14, 31, 47, 4</v>
      </c>
      <c r="E62">
        <f t="shared" si="9"/>
        <v>8</v>
      </c>
      <c r="F62" t="str">
        <f t="shared" si="10"/>
        <v xml:space="preserve">258415 </v>
      </c>
      <c r="G62">
        <f t="shared" si="5"/>
        <v>258415</v>
      </c>
    </row>
    <row r="63" spans="1:7">
      <c r="A63" t="s">
        <v>69</v>
      </c>
      <c r="B63">
        <f t="shared" si="6"/>
        <v>6</v>
      </c>
      <c r="C63" t="str">
        <f t="shared" si="7"/>
        <v xml:space="preserve"> 156670 ** -3, -8, 43, 4, 14, 31, 47, 4</v>
      </c>
      <c r="D63" t="str">
        <f t="shared" si="8"/>
        <v>156670 ** -3, -8, 43, 4, 14, 31, 47, 4</v>
      </c>
      <c r="E63">
        <f t="shared" si="9"/>
        <v>8</v>
      </c>
      <c r="F63" t="str">
        <f t="shared" si="10"/>
        <v xml:space="preserve">156670 </v>
      </c>
      <c r="G63">
        <f t="shared" si="5"/>
        <v>156670</v>
      </c>
    </row>
    <row r="64" spans="1:7">
      <c r="A64" t="s">
        <v>70</v>
      </c>
      <c r="B64">
        <f t="shared" si="6"/>
        <v>6</v>
      </c>
      <c r="C64" t="str">
        <f t="shared" si="7"/>
        <v xml:space="preserve"> 144287 ** -3, -8, 43, 4, 14, 31, 47, 4</v>
      </c>
      <c r="D64" t="str">
        <f t="shared" si="8"/>
        <v>144287 ** -3, -8, 43, 4, 14, 31, 47, 4</v>
      </c>
      <c r="E64">
        <f t="shared" si="9"/>
        <v>8</v>
      </c>
      <c r="F64" t="str">
        <f t="shared" si="10"/>
        <v xml:space="preserve">144287 </v>
      </c>
      <c r="G64">
        <f t="shared" si="5"/>
        <v>144287</v>
      </c>
    </row>
    <row r="65" spans="1:7">
      <c r="A65" t="s">
        <v>71</v>
      </c>
      <c r="B65">
        <f t="shared" si="6"/>
        <v>6</v>
      </c>
      <c r="C65" t="str">
        <f t="shared" si="7"/>
        <v xml:space="preserve"> 138631 ** -3, -8, 43, 4, 14, 31, 47, 4</v>
      </c>
      <c r="D65" t="str">
        <f t="shared" si="8"/>
        <v>138631 ** -3, -8, 43, 4, 14, 31, 47, 4</v>
      </c>
      <c r="E65">
        <f t="shared" si="9"/>
        <v>8</v>
      </c>
      <c r="F65" t="str">
        <f t="shared" si="10"/>
        <v xml:space="preserve">138631 </v>
      </c>
      <c r="G65">
        <f>IF(ISBLANK(A65),"",VALUE(F65))</f>
        <v>138631</v>
      </c>
    </row>
    <row r="66" spans="1:7">
      <c r="A66" t="s">
        <v>72</v>
      </c>
      <c r="B66">
        <f t="shared" si="6"/>
        <v>6</v>
      </c>
      <c r="C66" t="str">
        <f t="shared" si="7"/>
        <v xml:space="preserve"> 150316 ** -3, -8, 43, 4, 14, 31, 47, 4</v>
      </c>
      <c r="D66" t="str">
        <f t="shared" si="8"/>
        <v>150316 ** -3, -8, 43, 4, 14, 31, 47, 4</v>
      </c>
      <c r="E66">
        <f t="shared" si="9"/>
        <v>8</v>
      </c>
      <c r="F66" t="str">
        <f t="shared" si="10"/>
        <v xml:space="preserve">150316 </v>
      </c>
      <c r="G66">
        <f t="shared" ref="G66:G74" si="11">IF(ISBLANK(A66),"",VALUE(F66))</f>
        <v>150316</v>
      </c>
    </row>
    <row r="67" spans="1:7">
      <c r="A67" t="s">
        <v>73</v>
      </c>
      <c r="B67">
        <f t="shared" si="6"/>
        <v>6</v>
      </c>
      <c r="C67" t="str">
        <f t="shared" si="7"/>
        <v xml:space="preserve"> 155793 ** -3, -8, 43, 4, 14, 31, 47, 4</v>
      </c>
      <c r="D67" t="str">
        <f t="shared" si="8"/>
        <v>155793 ** -3, -8, 43, 4, 14, 31, 47, 4</v>
      </c>
      <c r="E67">
        <f t="shared" si="9"/>
        <v>8</v>
      </c>
      <c r="F67" t="str">
        <f t="shared" si="10"/>
        <v xml:space="preserve">155793 </v>
      </c>
      <c r="G67">
        <f t="shared" si="11"/>
        <v>155793</v>
      </c>
    </row>
    <row r="68" spans="1:7">
      <c r="A68" t="s">
        <v>74</v>
      </c>
      <c r="B68">
        <f t="shared" si="6"/>
        <v>6</v>
      </c>
      <c r="C68" t="str">
        <f t="shared" si="7"/>
        <v xml:space="preserve"> 143593 ** -3, -8, 43, 4, 14, 31, 47, 4</v>
      </c>
      <c r="D68" t="str">
        <f t="shared" si="8"/>
        <v>143593 ** -3, -8, 43, 4, 14, 31, 47, 4</v>
      </c>
      <c r="E68">
        <f t="shared" si="9"/>
        <v>8</v>
      </c>
      <c r="F68" t="str">
        <f t="shared" si="10"/>
        <v xml:space="preserve">143593 </v>
      </c>
      <c r="G68">
        <f t="shared" si="11"/>
        <v>143593</v>
      </c>
    </row>
    <row r="69" spans="1:7">
      <c r="A69" t="s">
        <v>75</v>
      </c>
      <c r="B69">
        <f t="shared" si="6"/>
        <v>6</v>
      </c>
      <c r="C69" t="str">
        <f t="shared" si="7"/>
        <v xml:space="preserve"> 303727 ** -3, -8, 43, 4, 14, 31, 47, 4</v>
      </c>
      <c r="D69" t="str">
        <f t="shared" si="8"/>
        <v>303727 ** -3, -8, 43, 4, 14, 31, 47, 4</v>
      </c>
      <c r="E69">
        <f t="shared" si="9"/>
        <v>8</v>
      </c>
      <c r="F69" t="str">
        <f t="shared" si="10"/>
        <v xml:space="preserve">303727 </v>
      </c>
      <c r="G69">
        <f t="shared" si="11"/>
        <v>303727</v>
      </c>
    </row>
    <row r="70" spans="1:7">
      <c r="A70" t="s">
        <v>76</v>
      </c>
      <c r="B70">
        <f t="shared" si="6"/>
        <v>6</v>
      </c>
      <c r="C70" t="str">
        <f t="shared" si="7"/>
        <v xml:space="preserve"> 159094 ** -3, -8, 43, 4, 14, 31, 47, 4</v>
      </c>
      <c r="D70" t="str">
        <f t="shared" si="8"/>
        <v>159094 ** -3, -8, 43, 4, 14, 31, 47, 4</v>
      </c>
      <c r="E70">
        <f t="shared" si="9"/>
        <v>8</v>
      </c>
      <c r="F70" t="str">
        <f t="shared" si="10"/>
        <v xml:space="preserve">159094 </v>
      </c>
      <c r="G70">
        <f t="shared" si="11"/>
        <v>159094</v>
      </c>
    </row>
    <row r="71" spans="1:7">
      <c r="A71" t="s">
        <v>77</v>
      </c>
      <c r="B71">
        <f t="shared" si="6"/>
        <v>6</v>
      </c>
      <c r="C71" t="str">
        <f t="shared" si="7"/>
        <v xml:space="preserve"> 146143 ** -3, -8, 43, 4, 14, 31, 47, 4</v>
      </c>
      <c r="D71" t="str">
        <f t="shared" si="8"/>
        <v>146143 ** -3, -8, 43, 4, 14, 31, 47, 4</v>
      </c>
      <c r="E71">
        <f t="shared" si="9"/>
        <v>8</v>
      </c>
      <c r="F71" t="str">
        <f t="shared" si="10"/>
        <v xml:space="preserve">146143 </v>
      </c>
      <c r="G71">
        <f t="shared" si="11"/>
        <v>146143</v>
      </c>
    </row>
    <row r="72" spans="1:7">
      <c r="A72" t="s">
        <v>78</v>
      </c>
      <c r="B72">
        <f t="shared" si="6"/>
        <v>6</v>
      </c>
      <c r="C72" t="str">
        <f t="shared" si="7"/>
        <v xml:space="preserve"> 160462 ** -3, -8, 43, 4, 14, 31, 47, 4</v>
      </c>
      <c r="D72" t="str">
        <f t="shared" si="8"/>
        <v>160462 ** -3, -8, 43, 4, 14, 31, 47, 4</v>
      </c>
      <c r="E72">
        <f t="shared" si="9"/>
        <v>8</v>
      </c>
      <c r="F72" t="str">
        <f t="shared" si="10"/>
        <v xml:space="preserve">160462 </v>
      </c>
      <c r="G72">
        <f t="shared" si="11"/>
        <v>160462</v>
      </c>
    </row>
    <row r="73" spans="1:7">
      <c r="A73" t="s">
        <v>79</v>
      </c>
      <c r="B73">
        <f t="shared" si="6"/>
        <v>6</v>
      </c>
      <c r="C73" t="str">
        <f t="shared" si="7"/>
        <v xml:space="preserve"> 145075 ** -3, -8, 43, 4, 14, 31, 47, 4</v>
      </c>
      <c r="D73" t="str">
        <f t="shared" si="8"/>
        <v>145075 ** -3, -8, 43, 4, 14, 31, 47, 4</v>
      </c>
      <c r="E73">
        <f t="shared" si="9"/>
        <v>8</v>
      </c>
      <c r="F73" t="str">
        <f t="shared" si="10"/>
        <v xml:space="preserve">145075 </v>
      </c>
      <c r="G73">
        <f t="shared" si="11"/>
        <v>145075</v>
      </c>
    </row>
    <row r="74" spans="1:7">
      <c r="A74" t="s">
        <v>80</v>
      </c>
      <c r="B74">
        <f t="shared" si="6"/>
        <v>6</v>
      </c>
      <c r="C74" t="str">
        <f t="shared" si="7"/>
        <v xml:space="preserve"> 158367 ** -3, -8, 43, 4, 14, 31, 47, 4</v>
      </c>
      <c r="D74" t="str">
        <f t="shared" si="8"/>
        <v>158367 ** -3, -8, 43, 4, 14, 31, 47, 4</v>
      </c>
      <c r="E74">
        <f t="shared" si="9"/>
        <v>8</v>
      </c>
      <c r="F74" t="str">
        <f t="shared" si="10"/>
        <v xml:space="preserve">158367 </v>
      </c>
      <c r="G74">
        <f t="shared" si="11"/>
        <v>158367</v>
      </c>
    </row>
    <row r="75" spans="1:7">
      <c r="A75" t="s">
        <v>81</v>
      </c>
      <c r="B75">
        <f t="shared" ref="B75:B138" si="12">SEARCH(":",A75)</f>
        <v>6</v>
      </c>
      <c r="C75" t="str">
        <f t="shared" ref="C75:C138" si="13">MID(A75,B75+1,LEN(A75)-(B75+1))</f>
        <v xml:space="preserve"> 163048 ** -3, -8, 43, 4, 14, 31, 47, 4</v>
      </c>
      <c r="D75" t="str">
        <f t="shared" ref="D75:D138" si="14">TRIM(C75)</f>
        <v>163048 ** -3, -8, 43, 4, 14, 31, 47, 4</v>
      </c>
      <c r="E75">
        <f t="shared" ref="E75:E138" si="15">SEARCH("~*",D75)</f>
        <v>8</v>
      </c>
      <c r="F75" t="str">
        <f t="shared" ref="F75:F138" si="16">LEFT(D75,E75-1)</f>
        <v xml:space="preserve">163048 </v>
      </c>
      <c r="G75">
        <f t="shared" ref="G75:G138" si="17">IF(ISBLANK(A75),"",VALUE(F75))</f>
        <v>163048</v>
      </c>
    </row>
    <row r="76" spans="1:7">
      <c r="A76" t="s">
        <v>82</v>
      </c>
      <c r="B76">
        <f t="shared" si="12"/>
        <v>6</v>
      </c>
      <c r="C76" t="str">
        <f t="shared" si="13"/>
        <v xml:space="preserve"> 144794 ** -3, -8, 43, 4, 14, 31, 47, 4</v>
      </c>
      <c r="D76" t="str">
        <f t="shared" si="14"/>
        <v>144794 ** -3, -8, 43, 4, 14, 31, 47, 4</v>
      </c>
      <c r="E76">
        <f t="shared" si="15"/>
        <v>8</v>
      </c>
      <c r="F76" t="str">
        <f t="shared" si="16"/>
        <v xml:space="preserve">144794 </v>
      </c>
      <c r="G76">
        <f t="shared" si="17"/>
        <v>144794</v>
      </c>
    </row>
    <row r="77" spans="1:7">
      <c r="A77" t="s">
        <v>83</v>
      </c>
      <c r="B77">
        <f t="shared" si="12"/>
        <v>6</v>
      </c>
      <c r="C77" t="str">
        <f t="shared" si="13"/>
        <v xml:space="preserve"> 160544 ** -3, -8, 43, 4, 14, 31, 47, 4</v>
      </c>
      <c r="D77" t="str">
        <f t="shared" si="14"/>
        <v>160544 ** -3, -8, 43, 4, 14, 31, 47, 4</v>
      </c>
      <c r="E77">
        <f t="shared" si="15"/>
        <v>8</v>
      </c>
      <c r="F77" t="str">
        <f t="shared" si="16"/>
        <v xml:space="preserve">160544 </v>
      </c>
      <c r="G77">
        <f t="shared" si="17"/>
        <v>160544</v>
      </c>
    </row>
    <row r="78" spans="1:7">
      <c r="A78" t="s">
        <v>84</v>
      </c>
      <c r="B78">
        <f t="shared" si="12"/>
        <v>6</v>
      </c>
      <c r="C78" t="str">
        <f t="shared" si="13"/>
        <v xml:space="preserve"> 147412 ** -3, -8, 43, 4, 14, 31, 47, 4</v>
      </c>
      <c r="D78" t="str">
        <f t="shared" si="14"/>
        <v>147412 ** -3, -8, 43, 4, 14, 31, 47, 4</v>
      </c>
      <c r="E78">
        <f t="shared" si="15"/>
        <v>8</v>
      </c>
      <c r="F78" t="str">
        <f t="shared" si="16"/>
        <v xml:space="preserve">147412 </v>
      </c>
      <c r="G78">
        <f t="shared" si="17"/>
        <v>147412</v>
      </c>
    </row>
    <row r="79" spans="1:7">
      <c r="A79" t="s">
        <v>85</v>
      </c>
      <c r="B79">
        <f t="shared" si="12"/>
        <v>6</v>
      </c>
      <c r="C79" t="str">
        <f t="shared" si="13"/>
        <v xml:space="preserve"> 160810 ** -3, -8, 43, 4, 14, 31, 47, 4</v>
      </c>
      <c r="D79" t="str">
        <f t="shared" si="14"/>
        <v>160810 ** -3, -8, 43, 4, 14, 31, 47, 4</v>
      </c>
      <c r="E79">
        <f t="shared" si="15"/>
        <v>8</v>
      </c>
      <c r="F79" t="str">
        <f t="shared" si="16"/>
        <v xml:space="preserve">160810 </v>
      </c>
      <c r="G79">
        <f t="shared" si="17"/>
        <v>160810</v>
      </c>
    </row>
    <row r="80" spans="1:7">
      <c r="A80" t="s">
        <v>86</v>
      </c>
      <c r="B80">
        <f t="shared" si="12"/>
        <v>6</v>
      </c>
      <c r="C80" t="str">
        <f t="shared" si="13"/>
        <v xml:space="preserve"> 396782 ** -3, -8, 43, 4, 14, 31, 47, 4</v>
      </c>
      <c r="D80" t="str">
        <f t="shared" si="14"/>
        <v>396782 ** -3, -8, 43, 4, 14, 31, 47, 4</v>
      </c>
      <c r="E80">
        <f t="shared" si="15"/>
        <v>8</v>
      </c>
      <c r="F80" t="str">
        <f t="shared" si="16"/>
        <v xml:space="preserve">396782 </v>
      </c>
      <c r="G80">
        <f t="shared" si="17"/>
        <v>396782</v>
      </c>
    </row>
    <row r="81" spans="1:7">
      <c r="A81" t="s">
        <v>87</v>
      </c>
      <c r="B81">
        <f t="shared" si="12"/>
        <v>6</v>
      </c>
      <c r="C81" t="str">
        <f t="shared" si="13"/>
        <v xml:space="preserve"> 157127 ** -3, -8, 43, 4, 14, 31, 47, 4</v>
      </c>
      <c r="D81" t="str">
        <f t="shared" si="14"/>
        <v>157127 ** -3, -8, 43, 4, 14, 31, 47, 4</v>
      </c>
      <c r="E81">
        <f t="shared" si="15"/>
        <v>8</v>
      </c>
      <c r="F81" t="str">
        <f t="shared" si="16"/>
        <v xml:space="preserve">157127 </v>
      </c>
      <c r="G81">
        <f t="shared" si="17"/>
        <v>157127</v>
      </c>
    </row>
    <row r="82" spans="1:7">
      <c r="A82" t="s">
        <v>88</v>
      </c>
      <c r="B82">
        <f t="shared" si="12"/>
        <v>6</v>
      </c>
      <c r="C82" t="str">
        <f t="shared" si="13"/>
        <v xml:space="preserve"> 384245 ** -3, -8, 43, 4, 14, 31, 47, 4</v>
      </c>
      <c r="D82" t="str">
        <f t="shared" si="14"/>
        <v>384245 ** -3, -8, 43, 4, 14, 31, 47, 4</v>
      </c>
      <c r="E82">
        <f t="shared" si="15"/>
        <v>8</v>
      </c>
      <c r="F82" t="str">
        <f t="shared" si="16"/>
        <v xml:space="preserve">384245 </v>
      </c>
      <c r="G82">
        <f t="shared" si="17"/>
        <v>384245</v>
      </c>
    </row>
    <row r="83" spans="1:7">
      <c r="A83" t="s">
        <v>89</v>
      </c>
      <c r="B83">
        <f t="shared" si="12"/>
        <v>6</v>
      </c>
      <c r="C83" t="str">
        <f t="shared" si="13"/>
        <v xml:space="preserve"> 387606 ** -3, -8, 43, 4, 14, 31, 47, 4</v>
      </c>
      <c r="D83" t="str">
        <f t="shared" si="14"/>
        <v>387606 ** -3, -8, 43, 4, 14, 31, 47, 4</v>
      </c>
      <c r="E83">
        <f t="shared" si="15"/>
        <v>8</v>
      </c>
      <c r="F83" t="str">
        <f t="shared" si="16"/>
        <v xml:space="preserve">387606 </v>
      </c>
      <c r="G83">
        <f t="shared" si="17"/>
        <v>387606</v>
      </c>
    </row>
    <row r="84" spans="1:7">
      <c r="A84" t="s">
        <v>90</v>
      </c>
      <c r="B84">
        <f t="shared" si="12"/>
        <v>6</v>
      </c>
      <c r="C84" t="str">
        <f t="shared" si="13"/>
        <v xml:space="preserve"> 161647 ** -3, -8, 43, 4, 14, 31, 47, 4</v>
      </c>
      <c r="D84" t="str">
        <f t="shared" si="14"/>
        <v>161647 ** -3, -8, 43, 4, 14, 31, 47, 4</v>
      </c>
      <c r="E84">
        <f t="shared" si="15"/>
        <v>8</v>
      </c>
      <c r="F84" t="str">
        <f t="shared" si="16"/>
        <v xml:space="preserve">161647 </v>
      </c>
      <c r="G84">
        <f t="shared" si="17"/>
        <v>161647</v>
      </c>
    </row>
    <row r="85" spans="1:7">
      <c r="A85" t="s">
        <v>91</v>
      </c>
      <c r="B85">
        <f t="shared" si="12"/>
        <v>6</v>
      </c>
      <c r="C85" t="str">
        <f t="shared" si="13"/>
        <v xml:space="preserve"> 428263 ** -3, -8, 43, 4, 14, 31, 47, 4</v>
      </c>
      <c r="D85" t="str">
        <f t="shared" si="14"/>
        <v>428263 ** -3, -8, 43, 4, 14, 31, 47, 4</v>
      </c>
      <c r="E85">
        <f t="shared" si="15"/>
        <v>8</v>
      </c>
      <c r="F85" t="str">
        <f t="shared" si="16"/>
        <v xml:space="preserve">428263 </v>
      </c>
      <c r="G85">
        <f t="shared" si="17"/>
        <v>428263</v>
      </c>
    </row>
    <row r="86" spans="1:7">
      <c r="A86" t="s">
        <v>92</v>
      </c>
      <c r="B86">
        <f t="shared" si="12"/>
        <v>6</v>
      </c>
      <c r="C86" t="str">
        <f t="shared" si="13"/>
        <v xml:space="preserve"> 200056 ** -3, -8, 43, 4, 14, 31, 47, 4</v>
      </c>
      <c r="D86" t="str">
        <f t="shared" si="14"/>
        <v>200056 ** -3, -8, 43, 4, 14, 31, 47, 4</v>
      </c>
      <c r="E86">
        <f t="shared" si="15"/>
        <v>8</v>
      </c>
      <c r="F86" t="str">
        <f t="shared" si="16"/>
        <v xml:space="preserve">200056 </v>
      </c>
      <c r="G86">
        <f t="shared" si="17"/>
        <v>200056</v>
      </c>
    </row>
    <row r="87" spans="1:7">
      <c r="A87" t="s">
        <v>93</v>
      </c>
      <c r="B87">
        <f t="shared" si="12"/>
        <v>6</v>
      </c>
      <c r="C87" t="str">
        <f t="shared" si="13"/>
        <v xml:space="preserve"> 189014 ** -3, -8, 43, 4, 14, 31, 47, 4</v>
      </c>
      <c r="D87" t="str">
        <f t="shared" si="14"/>
        <v>189014 ** -3, -8, 43, 4, 14, 31, 47, 4</v>
      </c>
      <c r="E87">
        <f t="shared" si="15"/>
        <v>8</v>
      </c>
      <c r="F87" t="str">
        <f t="shared" si="16"/>
        <v xml:space="preserve">189014 </v>
      </c>
      <c r="G87">
        <f t="shared" si="17"/>
        <v>189014</v>
      </c>
    </row>
    <row r="88" spans="1:7">
      <c r="A88" t="s">
        <v>94</v>
      </c>
      <c r="B88">
        <f t="shared" si="12"/>
        <v>6</v>
      </c>
      <c r="C88" t="str">
        <f t="shared" si="13"/>
        <v xml:space="preserve"> 298021 ** -3, -8, 43, 4, 14, 31, 47, 4</v>
      </c>
      <c r="D88" t="str">
        <f t="shared" si="14"/>
        <v>298021 ** -3, -8, 43, 4, 14, 31, 47, 4</v>
      </c>
      <c r="E88">
        <f t="shared" si="15"/>
        <v>8</v>
      </c>
      <c r="F88" t="str">
        <f t="shared" si="16"/>
        <v xml:space="preserve">298021 </v>
      </c>
      <c r="G88">
        <f t="shared" si="17"/>
        <v>298021</v>
      </c>
    </row>
    <row r="89" spans="1:7">
      <c r="A89" t="s">
        <v>95</v>
      </c>
      <c r="B89">
        <f t="shared" si="12"/>
        <v>6</v>
      </c>
      <c r="C89" t="str">
        <f t="shared" si="13"/>
        <v xml:space="preserve"> 180083 ** -3, -8, 43, 4, 14, 31, 47, 4</v>
      </c>
      <c r="D89" t="str">
        <f t="shared" si="14"/>
        <v>180083 ** -3, -8, 43, 4, 14, 31, 47, 4</v>
      </c>
      <c r="E89">
        <f t="shared" si="15"/>
        <v>8</v>
      </c>
      <c r="F89" t="str">
        <f t="shared" si="16"/>
        <v xml:space="preserve">180083 </v>
      </c>
      <c r="G89">
        <f t="shared" si="17"/>
        <v>180083</v>
      </c>
    </row>
    <row r="90" spans="1:7">
      <c r="A90" t="s">
        <v>96</v>
      </c>
      <c r="B90">
        <f t="shared" si="12"/>
        <v>6</v>
      </c>
      <c r="C90" t="str">
        <f t="shared" si="13"/>
        <v xml:space="preserve"> 192904 ** -3, -8, 43, 4, 14, 31, 47, 4</v>
      </c>
      <c r="D90" t="str">
        <f t="shared" si="14"/>
        <v>192904 ** -3, -8, 43, 4, 14, 31, 47, 4</v>
      </c>
      <c r="E90">
        <f t="shared" si="15"/>
        <v>8</v>
      </c>
      <c r="F90" t="str">
        <f t="shared" si="16"/>
        <v xml:space="preserve">192904 </v>
      </c>
      <c r="G90">
        <f t="shared" si="17"/>
        <v>192904</v>
      </c>
    </row>
    <row r="91" spans="1:7">
      <c r="A91" t="s">
        <v>97</v>
      </c>
      <c r="B91">
        <f t="shared" si="12"/>
        <v>6</v>
      </c>
      <c r="C91" t="str">
        <f t="shared" si="13"/>
        <v xml:space="preserve"> 201301 ** -3, -8, 43, 4, 14, 31, 47, 4</v>
      </c>
      <c r="D91" t="str">
        <f t="shared" si="14"/>
        <v>201301 ** -3, -8, 43, 4, 14, 31, 47, 4</v>
      </c>
      <c r="E91">
        <f t="shared" si="15"/>
        <v>8</v>
      </c>
      <c r="F91" t="str">
        <f t="shared" si="16"/>
        <v xml:space="preserve">201301 </v>
      </c>
      <c r="G91">
        <f t="shared" si="17"/>
        <v>201301</v>
      </c>
    </row>
    <row r="92" spans="1:7">
      <c r="A92" t="s">
        <v>98</v>
      </c>
      <c r="B92">
        <f t="shared" si="12"/>
        <v>6</v>
      </c>
      <c r="C92" t="str">
        <f t="shared" si="13"/>
        <v xml:space="preserve"> 481381 ** -3, -8, 43, 4, 14, 31, 47, 4</v>
      </c>
      <c r="D92" t="str">
        <f t="shared" si="14"/>
        <v>481381 ** -3, -8, 43, 4, 14, 31, 47, 4</v>
      </c>
      <c r="E92">
        <f t="shared" si="15"/>
        <v>8</v>
      </c>
      <c r="F92" t="str">
        <f t="shared" si="16"/>
        <v xml:space="preserve">481381 </v>
      </c>
      <c r="G92">
        <f t="shared" si="17"/>
        <v>481381</v>
      </c>
    </row>
    <row r="93" spans="1:7">
      <c r="A93" t="s">
        <v>99</v>
      </c>
      <c r="B93">
        <f t="shared" si="12"/>
        <v>6</v>
      </c>
      <c r="C93" t="str">
        <f t="shared" si="13"/>
        <v xml:space="preserve"> 219206 ** -3, -8, 43, 4, 14, 31, 47, 4</v>
      </c>
      <c r="D93" t="str">
        <f t="shared" si="14"/>
        <v>219206 ** -3, -8, 43, 4, 14, 31, 47, 4</v>
      </c>
      <c r="E93">
        <f t="shared" si="15"/>
        <v>8</v>
      </c>
      <c r="F93" t="str">
        <f t="shared" si="16"/>
        <v xml:space="preserve">219206 </v>
      </c>
      <c r="G93">
        <f t="shared" si="17"/>
        <v>219206</v>
      </c>
    </row>
    <row r="94" spans="1:7">
      <c r="A94" t="s">
        <v>100</v>
      </c>
      <c r="B94">
        <f t="shared" si="12"/>
        <v>6</v>
      </c>
      <c r="C94" t="str">
        <f t="shared" si="13"/>
        <v xml:space="preserve"> 228439 ** -3, -8, 43, 4, 14, 31, 47, 4</v>
      </c>
      <c r="D94" t="str">
        <f t="shared" si="14"/>
        <v>228439 ** -3, -8, 43, 4, 14, 31, 47, 4</v>
      </c>
      <c r="E94">
        <f t="shared" si="15"/>
        <v>8</v>
      </c>
      <c r="F94" t="str">
        <f t="shared" si="16"/>
        <v xml:space="preserve">228439 </v>
      </c>
      <c r="G94">
        <f t="shared" si="17"/>
        <v>228439</v>
      </c>
    </row>
    <row r="95" spans="1:7">
      <c r="A95" t="s">
        <v>101</v>
      </c>
      <c r="B95">
        <f t="shared" si="12"/>
        <v>6</v>
      </c>
      <c r="C95" t="str">
        <f t="shared" si="13"/>
        <v xml:space="preserve"> 206366 ** -3, -8, 43, 4, 14, 31, 47, 4</v>
      </c>
      <c r="D95" t="str">
        <f t="shared" si="14"/>
        <v>206366 ** -3, -8, 43, 4, 14, 31, 47, 4</v>
      </c>
      <c r="E95">
        <f t="shared" si="15"/>
        <v>8</v>
      </c>
      <c r="F95" t="str">
        <f t="shared" si="16"/>
        <v xml:space="preserve">206366 </v>
      </c>
      <c r="G95">
        <f t="shared" si="17"/>
        <v>206366</v>
      </c>
    </row>
    <row r="96" spans="1:7">
      <c r="A96" t="s">
        <v>102</v>
      </c>
      <c r="B96">
        <f t="shared" si="12"/>
        <v>6</v>
      </c>
      <c r="C96" t="str">
        <f t="shared" si="13"/>
        <v xml:space="preserve"> 210279 ** -3, -8, 43, 4, 14, 31, 47, 4</v>
      </c>
      <c r="D96" t="str">
        <f t="shared" si="14"/>
        <v>210279 ** -3, -8, 43, 4, 14, 31, 47, 4</v>
      </c>
      <c r="E96">
        <f t="shared" si="15"/>
        <v>8</v>
      </c>
      <c r="F96" t="str">
        <f t="shared" si="16"/>
        <v xml:space="preserve">210279 </v>
      </c>
      <c r="G96">
        <f t="shared" si="17"/>
        <v>210279</v>
      </c>
    </row>
    <row r="97" spans="1:7">
      <c r="A97" t="s">
        <v>103</v>
      </c>
      <c r="B97">
        <f t="shared" si="12"/>
        <v>6</v>
      </c>
      <c r="C97" t="str">
        <f t="shared" si="13"/>
        <v xml:space="preserve"> 255192 ** -3, -8, 43, 4, 14, 31, 47, 4</v>
      </c>
      <c r="D97" t="str">
        <f t="shared" si="14"/>
        <v>255192 ** -3, -8, 43, 4, 14, 31, 47, 4</v>
      </c>
      <c r="E97">
        <f t="shared" si="15"/>
        <v>8</v>
      </c>
      <c r="F97" t="str">
        <f t="shared" si="16"/>
        <v xml:space="preserve">255192 </v>
      </c>
      <c r="G97">
        <f t="shared" si="17"/>
        <v>255192</v>
      </c>
    </row>
    <row r="98" spans="1:7">
      <c r="A98" t="s">
        <v>104</v>
      </c>
      <c r="B98">
        <f t="shared" si="12"/>
        <v>6</v>
      </c>
      <c r="C98" t="str">
        <f t="shared" si="13"/>
        <v xml:space="preserve"> 347603 ** -3, -8, 43, 4, 14, 31, 47, 4</v>
      </c>
      <c r="D98" t="str">
        <f t="shared" si="14"/>
        <v>347603 ** -3, -8, 43, 4, 14, 31, 47, 4</v>
      </c>
      <c r="E98">
        <f t="shared" si="15"/>
        <v>8</v>
      </c>
      <c r="F98" t="str">
        <f t="shared" si="16"/>
        <v xml:space="preserve">347603 </v>
      </c>
      <c r="G98">
        <f t="shared" si="17"/>
        <v>347603</v>
      </c>
    </row>
    <row r="99" spans="1:7">
      <c r="A99" t="s">
        <v>105</v>
      </c>
      <c r="B99">
        <f t="shared" si="12"/>
        <v>6</v>
      </c>
      <c r="C99" t="str">
        <f t="shared" si="13"/>
        <v xml:space="preserve"> 195935 ** -3, -8, 43, 4, 14, 31, 47, 4</v>
      </c>
      <c r="D99" t="str">
        <f t="shared" si="14"/>
        <v>195935 ** -3, -8, 43, 4, 14, 31, 47, 4</v>
      </c>
      <c r="E99">
        <f t="shared" si="15"/>
        <v>8</v>
      </c>
      <c r="F99" t="str">
        <f t="shared" si="16"/>
        <v xml:space="preserve">195935 </v>
      </c>
      <c r="G99">
        <f t="shared" si="17"/>
        <v>195935</v>
      </c>
    </row>
    <row r="100" spans="1:7">
      <c r="A100" t="s">
        <v>106</v>
      </c>
      <c r="B100">
        <f t="shared" si="12"/>
        <v>6</v>
      </c>
      <c r="C100" t="str">
        <f t="shared" si="13"/>
        <v xml:space="preserve"> 202428 ** -3, -8, 43, 4, 14, 31, 47, 4</v>
      </c>
      <c r="D100" t="str">
        <f t="shared" si="14"/>
        <v>202428 ** -3, -8, 43, 4, 14, 31, 47, 4</v>
      </c>
      <c r="E100">
        <f t="shared" si="15"/>
        <v>8</v>
      </c>
      <c r="F100" t="str">
        <f t="shared" si="16"/>
        <v xml:space="preserve">202428 </v>
      </c>
      <c r="G100">
        <f t="shared" si="17"/>
        <v>202428</v>
      </c>
    </row>
    <row r="101" spans="1:7">
      <c r="A101" t="s">
        <v>107</v>
      </c>
      <c r="B101">
        <f t="shared" si="12"/>
        <v>6</v>
      </c>
      <c r="C101" t="str">
        <f t="shared" si="13"/>
        <v xml:space="preserve"> 230283 ** -3, -8, 43, 4, 14, 31, 47, 4</v>
      </c>
      <c r="D101" t="str">
        <f t="shared" si="14"/>
        <v>230283 ** -3, -8, 43, 4, 14, 31, 47, 4</v>
      </c>
      <c r="E101">
        <f t="shared" si="15"/>
        <v>8</v>
      </c>
      <c r="F101" t="str">
        <f t="shared" si="16"/>
        <v xml:space="preserve">230283 </v>
      </c>
      <c r="G101">
        <f t="shared" si="17"/>
        <v>230283</v>
      </c>
    </row>
    <row r="102" spans="1:7">
      <c r="A102" t="s">
        <v>108</v>
      </c>
      <c r="B102">
        <f t="shared" si="12"/>
        <v>6</v>
      </c>
      <c r="C102" t="str">
        <f t="shared" si="13"/>
        <v xml:space="preserve"> 474118 ** -3, -8, 43, 4, 14, 31, 47, 4</v>
      </c>
      <c r="D102" t="str">
        <f t="shared" si="14"/>
        <v>474118 ** -3, -8, 43, 4, 14, 31, 47, 4</v>
      </c>
      <c r="E102">
        <f t="shared" si="15"/>
        <v>8</v>
      </c>
      <c r="F102" t="str">
        <f t="shared" si="16"/>
        <v xml:space="preserve">474118 </v>
      </c>
      <c r="G102">
        <f t="shared" si="17"/>
        <v>474118</v>
      </c>
    </row>
    <row r="103" spans="1:7">
      <c r="A103" t="s">
        <v>109</v>
      </c>
      <c r="B103">
        <f t="shared" si="12"/>
        <v>6</v>
      </c>
      <c r="C103" t="str">
        <f t="shared" si="13"/>
        <v xml:space="preserve"> 228131 ** -3, -8, 43, 4, 14, 31, 47, 4</v>
      </c>
      <c r="D103" t="str">
        <f t="shared" si="14"/>
        <v>228131 ** -3, -8, 43, 4, 14, 31, 47, 4</v>
      </c>
      <c r="E103">
        <f t="shared" si="15"/>
        <v>8</v>
      </c>
      <c r="F103" t="str">
        <f t="shared" si="16"/>
        <v xml:space="preserve">228131 </v>
      </c>
      <c r="G103">
        <f t="shared" si="17"/>
        <v>228131</v>
      </c>
    </row>
    <row r="104" spans="1:7">
      <c r="A104" t="s">
        <v>110</v>
      </c>
      <c r="B104">
        <f t="shared" si="12"/>
        <v>6</v>
      </c>
      <c r="C104" t="str">
        <f t="shared" si="13"/>
        <v xml:space="preserve"> 620183 ** -3, -8, 43, 4, 14, 31, 47, 4</v>
      </c>
      <c r="D104" t="str">
        <f t="shared" si="14"/>
        <v>620183 ** -3, -8, 43, 4, 14, 31, 47, 4</v>
      </c>
      <c r="E104">
        <f t="shared" si="15"/>
        <v>8</v>
      </c>
      <c r="F104" t="str">
        <f t="shared" si="16"/>
        <v xml:space="preserve">620183 </v>
      </c>
      <c r="G104">
        <f t="shared" si="17"/>
        <v>620183</v>
      </c>
    </row>
    <row r="105" spans="1:7">
      <c r="A105" t="s">
        <v>111</v>
      </c>
      <c r="B105">
        <f t="shared" si="12"/>
        <v>6</v>
      </c>
      <c r="C105" t="str">
        <f t="shared" si="13"/>
        <v xml:space="preserve"> 256888 ** -3, -8, 43, 4, 14, 31, 47, 4</v>
      </c>
      <c r="D105" t="str">
        <f t="shared" si="14"/>
        <v>256888 ** -3, -8, 43, 4, 14, 31, 47, 4</v>
      </c>
      <c r="E105">
        <f t="shared" si="15"/>
        <v>8</v>
      </c>
      <c r="F105" t="str">
        <f t="shared" si="16"/>
        <v xml:space="preserve">256888 </v>
      </c>
      <c r="G105">
        <f t="shared" si="17"/>
        <v>256888</v>
      </c>
    </row>
    <row r="106" spans="1:7">
      <c r="A106" t="s">
        <v>112</v>
      </c>
      <c r="B106">
        <f t="shared" si="12"/>
        <v>6</v>
      </c>
      <c r="C106" t="str">
        <f t="shared" si="13"/>
        <v xml:space="preserve"> 227307 ** -3, -8, 43, 4, 14, 31, 47, 4</v>
      </c>
      <c r="D106" t="str">
        <f t="shared" si="14"/>
        <v>227307 ** -3, -8, 43, 4, 14, 31, 47, 4</v>
      </c>
      <c r="E106">
        <f t="shared" si="15"/>
        <v>8</v>
      </c>
      <c r="F106" t="str">
        <f t="shared" si="16"/>
        <v xml:space="preserve">227307 </v>
      </c>
      <c r="G106">
        <f t="shared" si="17"/>
        <v>227307</v>
      </c>
    </row>
    <row r="107" spans="1:7">
      <c r="A107" t="s">
        <v>113</v>
      </c>
      <c r="B107">
        <f t="shared" si="12"/>
        <v>6</v>
      </c>
      <c r="C107" t="str">
        <f t="shared" si="13"/>
        <v xml:space="preserve"> 264585 ** -3, -8, 43, 4, 14, 31, 47, 4</v>
      </c>
      <c r="D107" t="str">
        <f t="shared" si="14"/>
        <v>264585 ** -3, -8, 43, 4, 14, 31, 47, 4</v>
      </c>
      <c r="E107">
        <f t="shared" si="15"/>
        <v>8</v>
      </c>
      <c r="F107" t="str">
        <f t="shared" si="16"/>
        <v xml:space="preserve">264585 </v>
      </c>
      <c r="G107">
        <f t="shared" si="17"/>
        <v>264585</v>
      </c>
    </row>
    <row r="108" spans="1:7">
      <c r="A108" t="s">
        <v>114</v>
      </c>
      <c r="B108">
        <f t="shared" si="12"/>
        <v>6</v>
      </c>
      <c r="C108" t="str">
        <f t="shared" si="13"/>
        <v xml:space="preserve"> 428906 ** -3, -8, 43, 4, 14, 31, 47, 4</v>
      </c>
      <c r="D108" t="str">
        <f t="shared" si="14"/>
        <v>428906 ** -3, -8, 43, 4, 14, 31, 47, 4</v>
      </c>
      <c r="E108">
        <f t="shared" si="15"/>
        <v>8</v>
      </c>
      <c r="F108" t="str">
        <f t="shared" si="16"/>
        <v xml:space="preserve">428906 </v>
      </c>
      <c r="G108">
        <f t="shared" si="17"/>
        <v>428906</v>
      </c>
    </row>
    <row r="109" spans="1:7">
      <c r="A109" t="s">
        <v>115</v>
      </c>
      <c r="B109">
        <f t="shared" si="12"/>
        <v>6</v>
      </c>
      <c r="C109" t="str">
        <f t="shared" si="13"/>
        <v xml:space="preserve"> 261247 ** -3, -8, 43, 4, 14, 31, 47, 4</v>
      </c>
      <c r="D109" t="str">
        <f t="shared" si="14"/>
        <v>261247 ** -3, -8, 43, 4, 14, 31, 47, 4</v>
      </c>
      <c r="E109">
        <f t="shared" si="15"/>
        <v>8</v>
      </c>
      <c r="F109" t="str">
        <f t="shared" si="16"/>
        <v xml:space="preserve">261247 </v>
      </c>
      <c r="G109">
        <f t="shared" si="17"/>
        <v>261247</v>
      </c>
    </row>
    <row r="110" spans="1:7">
      <c r="A110" t="s">
        <v>116</v>
      </c>
      <c r="B110">
        <f t="shared" si="12"/>
        <v>6</v>
      </c>
      <c r="C110" t="str">
        <f t="shared" si="13"/>
        <v xml:space="preserve"> 238603 ** -3, -8, 43, 4, 14, 31, 47, 4</v>
      </c>
      <c r="D110" t="str">
        <f t="shared" si="14"/>
        <v>238603 ** -3, -8, 43, 4, 14, 31, 47, 4</v>
      </c>
      <c r="E110">
        <f t="shared" si="15"/>
        <v>8</v>
      </c>
      <c r="F110" t="str">
        <f t="shared" si="16"/>
        <v xml:space="preserve">238603 </v>
      </c>
      <c r="G110">
        <f t="shared" si="17"/>
        <v>238603</v>
      </c>
    </row>
    <row r="111" spans="1:7">
      <c r="A111" t="s">
        <v>117</v>
      </c>
      <c r="B111">
        <f t="shared" si="12"/>
        <v>6</v>
      </c>
      <c r="C111" t="str">
        <f t="shared" si="13"/>
        <v xml:space="preserve"> 264060 ** -3, -8, 43, 4, 14, 31, 47, 4</v>
      </c>
      <c r="D111" t="str">
        <f t="shared" si="14"/>
        <v>264060 ** -3, -8, 43, 4, 14, 31, 47, 4</v>
      </c>
      <c r="E111">
        <f t="shared" si="15"/>
        <v>8</v>
      </c>
      <c r="F111" t="str">
        <f t="shared" si="16"/>
        <v xml:space="preserve">264060 </v>
      </c>
      <c r="G111">
        <f t="shared" si="17"/>
        <v>264060</v>
      </c>
    </row>
    <row r="112" spans="1:7">
      <c r="A112" t="s">
        <v>118</v>
      </c>
      <c r="B112">
        <f t="shared" si="12"/>
        <v>6</v>
      </c>
      <c r="C112" t="str">
        <f t="shared" si="13"/>
        <v xml:space="preserve"> 262835 ** -3, -8, 43, 4, 14, 31, 47, 4</v>
      </c>
      <c r="D112" t="str">
        <f t="shared" si="14"/>
        <v>262835 ** -3, -8, 43, 4, 14, 31, 47, 4</v>
      </c>
      <c r="E112">
        <f t="shared" si="15"/>
        <v>8</v>
      </c>
      <c r="F112" t="str">
        <f t="shared" si="16"/>
        <v xml:space="preserve">262835 </v>
      </c>
      <c r="G112">
        <f t="shared" si="17"/>
        <v>262835</v>
      </c>
    </row>
    <row r="113" spans="1:7">
      <c r="A113" t="s">
        <v>119</v>
      </c>
      <c r="B113">
        <f t="shared" si="12"/>
        <v>6</v>
      </c>
      <c r="C113" t="str">
        <f t="shared" si="13"/>
        <v xml:space="preserve"> 250988 ** -3, -8, 43, 4, 14, 31, 47, 4</v>
      </c>
      <c r="D113" t="str">
        <f t="shared" si="14"/>
        <v>250988 ** -3, -8, 43, 4, 14, 31, 47, 4</v>
      </c>
      <c r="E113">
        <f t="shared" si="15"/>
        <v>8</v>
      </c>
      <c r="F113" t="str">
        <f t="shared" si="16"/>
        <v xml:space="preserve">250988 </v>
      </c>
      <c r="G113">
        <f t="shared" si="17"/>
        <v>250988</v>
      </c>
    </row>
    <row r="114" spans="1:7">
      <c r="A114" t="s">
        <v>120</v>
      </c>
      <c r="B114">
        <f t="shared" si="12"/>
        <v>6</v>
      </c>
      <c r="C114" t="str">
        <f t="shared" si="13"/>
        <v xml:space="preserve"> 278727 ** -3, -8, 43, 4, 14, 31, 47, 4</v>
      </c>
      <c r="D114" t="str">
        <f t="shared" si="14"/>
        <v>278727 ** -3, -8, 43, 4, 14, 31, 47, 4</v>
      </c>
      <c r="E114">
        <f t="shared" si="15"/>
        <v>8</v>
      </c>
      <c r="F114" t="str">
        <f t="shared" si="16"/>
        <v xml:space="preserve">278727 </v>
      </c>
      <c r="G114">
        <f t="shared" si="17"/>
        <v>278727</v>
      </c>
    </row>
    <row r="115" spans="1:7">
      <c r="A115" t="s">
        <v>121</v>
      </c>
      <c r="B115">
        <f t="shared" si="12"/>
        <v>6</v>
      </c>
      <c r="C115" t="str">
        <f t="shared" si="13"/>
        <v xml:space="preserve"> 270404 ** -3, -8, 43, 4, 14, 31, 47, 4</v>
      </c>
      <c r="D115" t="str">
        <f t="shared" si="14"/>
        <v>270404 ** -3, -8, 43, 4, 14, 31, 47, 4</v>
      </c>
      <c r="E115">
        <f t="shared" si="15"/>
        <v>8</v>
      </c>
      <c r="F115" t="str">
        <f t="shared" si="16"/>
        <v xml:space="preserve">270404 </v>
      </c>
      <c r="G115">
        <f t="shared" si="17"/>
        <v>270404</v>
      </c>
    </row>
    <row r="116" spans="1:7">
      <c r="A116" t="s">
        <v>122</v>
      </c>
      <c r="B116">
        <f t="shared" si="12"/>
        <v>6</v>
      </c>
      <c r="C116" t="str">
        <f t="shared" si="13"/>
        <v xml:space="preserve"> 295490 ** -3, -8, 43, 4, 14, 31, 47, 4</v>
      </c>
      <c r="D116" t="str">
        <f t="shared" si="14"/>
        <v>295490 ** -3, -8, 43, 4, 14, 31, 47, 4</v>
      </c>
      <c r="E116">
        <f t="shared" si="15"/>
        <v>8</v>
      </c>
      <c r="F116" t="str">
        <f t="shared" si="16"/>
        <v xml:space="preserve">295490 </v>
      </c>
      <c r="G116">
        <f t="shared" si="17"/>
        <v>295490</v>
      </c>
    </row>
    <row r="117" spans="1:7">
      <c r="A117" t="s">
        <v>123</v>
      </c>
      <c r="B117">
        <f t="shared" si="12"/>
        <v>6</v>
      </c>
      <c r="C117" t="str">
        <f t="shared" si="13"/>
        <v xml:space="preserve"> 650894 ** -3, -8, 43, 4, 14, 31, 47, 4</v>
      </c>
      <c r="D117" t="str">
        <f t="shared" si="14"/>
        <v>650894 ** -3, -8, 43, 4, 14, 31, 47, 4</v>
      </c>
      <c r="E117">
        <f t="shared" si="15"/>
        <v>8</v>
      </c>
      <c r="F117" t="str">
        <f t="shared" si="16"/>
        <v xml:space="preserve">650894 </v>
      </c>
      <c r="G117">
        <f t="shared" si="17"/>
        <v>650894</v>
      </c>
    </row>
    <row r="118" spans="1:7">
      <c r="A118" t="s">
        <v>124</v>
      </c>
      <c r="B118">
        <f t="shared" si="12"/>
        <v>6</v>
      </c>
      <c r="C118" t="str">
        <f t="shared" si="13"/>
        <v xml:space="preserve"> 275075 ** -3, -8, 43, 4, 14, 31, 47, 4</v>
      </c>
      <c r="D118" t="str">
        <f t="shared" si="14"/>
        <v>275075 ** -3, -8, 43, 4, 14, 31, 47, 4</v>
      </c>
      <c r="E118">
        <f t="shared" si="15"/>
        <v>8</v>
      </c>
      <c r="F118" t="str">
        <f t="shared" si="16"/>
        <v xml:space="preserve">275075 </v>
      </c>
      <c r="G118">
        <f t="shared" si="17"/>
        <v>275075</v>
      </c>
    </row>
    <row r="119" spans="1:7">
      <c r="A119" t="s">
        <v>125</v>
      </c>
      <c r="B119">
        <f t="shared" si="12"/>
        <v>6</v>
      </c>
      <c r="C119" t="str">
        <f t="shared" si="13"/>
        <v xml:space="preserve"> 965919 ** -3, -8, 43, 4, 14, 31, 47, 4</v>
      </c>
      <c r="D119" t="str">
        <f t="shared" si="14"/>
        <v>965919 ** -3, -8, 43, 4, 14, 31, 47, 4</v>
      </c>
      <c r="E119">
        <f t="shared" si="15"/>
        <v>8</v>
      </c>
      <c r="F119" t="str">
        <f t="shared" si="16"/>
        <v xml:space="preserve">965919 </v>
      </c>
      <c r="G119">
        <f t="shared" si="17"/>
        <v>965919</v>
      </c>
    </row>
    <row r="120" spans="1:7">
      <c r="A120" t="s">
        <v>126</v>
      </c>
      <c r="B120">
        <f t="shared" si="12"/>
        <v>6</v>
      </c>
      <c r="C120" t="str">
        <f t="shared" si="13"/>
        <v xml:space="preserve"> 622668 ** -3, -8, 43, 4, 14, 31, 47, 4</v>
      </c>
      <c r="D120" t="str">
        <f t="shared" si="14"/>
        <v>622668 ** -3, -8, 43, 4, 14, 31, 47, 4</v>
      </c>
      <c r="E120">
        <f t="shared" si="15"/>
        <v>8</v>
      </c>
      <c r="F120" t="str">
        <f t="shared" si="16"/>
        <v xml:space="preserve">622668 </v>
      </c>
      <c r="G120">
        <f t="shared" si="17"/>
        <v>622668</v>
      </c>
    </row>
    <row r="121" spans="1:7">
      <c r="A121" t="s">
        <v>127</v>
      </c>
      <c r="B121">
        <f t="shared" si="12"/>
        <v>6</v>
      </c>
      <c r="C121" t="str">
        <f t="shared" si="13"/>
        <v xml:space="preserve"> 281862 ** -3, -8, 43, 4, 14, 31, 47, 4</v>
      </c>
      <c r="D121" t="str">
        <f t="shared" si="14"/>
        <v>281862 ** -3, -8, 43, 4, 14, 31, 47, 4</v>
      </c>
      <c r="E121">
        <f t="shared" si="15"/>
        <v>8</v>
      </c>
      <c r="F121" t="str">
        <f t="shared" si="16"/>
        <v xml:space="preserve">281862 </v>
      </c>
      <c r="G121">
        <f t="shared" si="17"/>
        <v>281862</v>
      </c>
    </row>
    <row r="122" spans="1:7">
      <c r="A122" t="s">
        <v>128</v>
      </c>
      <c r="B122">
        <f t="shared" si="12"/>
        <v>6</v>
      </c>
      <c r="C122" t="str">
        <f t="shared" si="13"/>
        <v xml:space="preserve"> 790120 ** -3, -8, 43, 4, 14, 31, 47, 4</v>
      </c>
      <c r="D122" t="str">
        <f t="shared" si="14"/>
        <v>790120 ** -3, -8, 43, 4, 14, 31, 47, 4</v>
      </c>
      <c r="E122">
        <f t="shared" si="15"/>
        <v>8</v>
      </c>
      <c r="F122" t="str">
        <f t="shared" si="16"/>
        <v xml:space="preserve">790120 </v>
      </c>
      <c r="G122">
        <f t="shared" si="17"/>
        <v>790120</v>
      </c>
    </row>
    <row r="123" spans="1:7">
      <c r="A123" t="s">
        <v>129</v>
      </c>
      <c r="B123">
        <f t="shared" si="12"/>
        <v>6</v>
      </c>
      <c r="C123" t="str">
        <f t="shared" si="13"/>
        <v xml:space="preserve"> 286766 ** -3, -8, 43, 4, 14, 31, 47, 4</v>
      </c>
      <c r="D123" t="str">
        <f t="shared" si="14"/>
        <v>286766 ** -3, -8, 43, 4, 14, 31, 47, 4</v>
      </c>
      <c r="E123">
        <f t="shared" si="15"/>
        <v>8</v>
      </c>
      <c r="F123" t="str">
        <f t="shared" si="16"/>
        <v xml:space="preserve">286766 </v>
      </c>
      <c r="G123">
        <f t="shared" si="17"/>
        <v>286766</v>
      </c>
    </row>
    <row r="124" spans="1:7">
      <c r="A124" t="s">
        <v>130</v>
      </c>
      <c r="B124">
        <f t="shared" si="12"/>
        <v>6</v>
      </c>
      <c r="C124" t="str">
        <f t="shared" si="13"/>
        <v xml:space="preserve"> 296274 ** -3, -8, 43, 4, 14, 31, 47, 4</v>
      </c>
      <c r="D124" t="str">
        <f t="shared" si="14"/>
        <v>296274 ** -3, -8, 43, 4, 14, 31, 47, 4</v>
      </c>
      <c r="E124">
        <f t="shared" si="15"/>
        <v>8</v>
      </c>
      <c r="F124" t="str">
        <f t="shared" si="16"/>
        <v xml:space="preserve">296274 </v>
      </c>
      <c r="G124">
        <f t="shared" si="17"/>
        <v>296274</v>
      </c>
    </row>
    <row r="125" spans="1:7">
      <c r="A125" t="s">
        <v>131</v>
      </c>
      <c r="B125">
        <f t="shared" si="12"/>
        <v>6</v>
      </c>
      <c r="C125" t="str">
        <f t="shared" si="13"/>
        <v xml:space="preserve"> 315651 ** -3, -8, 43, 4, 14, 31, 47, 4</v>
      </c>
      <c r="D125" t="str">
        <f t="shared" si="14"/>
        <v>315651 ** -3, -8, 43, 4, 14, 31, 47, 4</v>
      </c>
      <c r="E125">
        <f t="shared" si="15"/>
        <v>8</v>
      </c>
      <c r="F125" t="str">
        <f t="shared" si="16"/>
        <v xml:space="preserve">315651 </v>
      </c>
      <c r="G125">
        <f t="shared" si="17"/>
        <v>315651</v>
      </c>
    </row>
    <row r="126" spans="1:7">
      <c r="A126" t="s">
        <v>132</v>
      </c>
      <c r="B126">
        <f t="shared" si="12"/>
        <v>6</v>
      </c>
      <c r="C126" t="str">
        <f t="shared" si="13"/>
        <v xml:space="preserve"> 322280 ** -3, -8, 43, 4, 14, 31, 47, 4</v>
      </c>
      <c r="D126" t="str">
        <f t="shared" si="14"/>
        <v>322280 ** -3, -8, 43, 4, 14, 31, 47, 4</v>
      </c>
      <c r="E126">
        <f t="shared" si="15"/>
        <v>8</v>
      </c>
      <c r="F126" t="str">
        <f t="shared" si="16"/>
        <v xml:space="preserve">322280 </v>
      </c>
      <c r="G126">
        <f t="shared" si="17"/>
        <v>322280</v>
      </c>
    </row>
    <row r="127" spans="1:7">
      <c r="A127" t="s">
        <v>133</v>
      </c>
      <c r="B127">
        <f t="shared" si="12"/>
        <v>6</v>
      </c>
      <c r="C127" t="str">
        <f t="shared" si="13"/>
        <v xml:space="preserve"> 752418 ** -3, -8, 43, 4, 14, 31, 47, 4</v>
      </c>
      <c r="D127" t="str">
        <f t="shared" si="14"/>
        <v>752418 ** -3, -8, 43, 4, 14, 31, 47, 4</v>
      </c>
      <c r="E127">
        <f t="shared" si="15"/>
        <v>8</v>
      </c>
      <c r="F127" t="str">
        <f t="shared" si="16"/>
        <v xml:space="preserve">752418 </v>
      </c>
      <c r="G127">
        <f t="shared" si="17"/>
        <v>752418</v>
      </c>
    </row>
    <row r="128" spans="1:7">
      <c r="A128" t="s">
        <v>134</v>
      </c>
      <c r="B128">
        <f t="shared" si="12"/>
        <v>6</v>
      </c>
      <c r="C128" t="str">
        <f t="shared" si="13"/>
        <v xml:space="preserve"> 303889 ** -3, -8, 43, 4, 14, 31, 47, 4</v>
      </c>
      <c r="D128" t="str">
        <f t="shared" si="14"/>
        <v>303889 ** -3, -8, 43, 4, 14, 31, 47, 4</v>
      </c>
      <c r="E128">
        <f t="shared" si="15"/>
        <v>8</v>
      </c>
      <c r="F128" t="str">
        <f t="shared" si="16"/>
        <v xml:space="preserve">303889 </v>
      </c>
      <c r="G128">
        <f t="shared" si="17"/>
        <v>303889</v>
      </c>
    </row>
    <row r="129" spans="1:7">
      <c r="A129" t="s">
        <v>135</v>
      </c>
      <c r="B129">
        <f t="shared" si="12"/>
        <v>6</v>
      </c>
      <c r="C129" t="str">
        <f t="shared" si="13"/>
        <v xml:space="preserve"> 326375 ** -3, -8, 43, 4, 14, 31, 47, 4</v>
      </c>
      <c r="D129" t="str">
        <f t="shared" si="14"/>
        <v>326375 ** -3, -8, 43, 4, 14, 31, 47, 4</v>
      </c>
      <c r="E129">
        <f t="shared" si="15"/>
        <v>8</v>
      </c>
      <c r="F129" t="str">
        <f t="shared" si="16"/>
        <v xml:space="preserve">326375 </v>
      </c>
      <c r="G129">
        <f t="shared" si="17"/>
        <v>326375</v>
      </c>
    </row>
    <row r="130" spans="1:7">
      <c r="A130" t="s">
        <v>136</v>
      </c>
      <c r="B130">
        <f t="shared" si="12"/>
        <v>6</v>
      </c>
      <c r="C130" t="str">
        <f t="shared" si="13"/>
        <v xml:space="preserve"> 318919 ** -3, -8, 43, 4, 14, 31, 47, 4</v>
      </c>
      <c r="D130" t="str">
        <f t="shared" si="14"/>
        <v>318919 ** -3, -8, 43, 4, 14, 31, 47, 4</v>
      </c>
      <c r="E130">
        <f t="shared" si="15"/>
        <v>8</v>
      </c>
      <c r="F130" t="str">
        <f t="shared" si="16"/>
        <v xml:space="preserve">318919 </v>
      </c>
      <c r="G130">
        <f t="shared" si="17"/>
        <v>318919</v>
      </c>
    </row>
    <row r="131" spans="1:7">
      <c r="A131" t="s">
        <v>137</v>
      </c>
      <c r="B131">
        <f t="shared" si="12"/>
        <v>6</v>
      </c>
      <c r="C131" t="str">
        <f t="shared" si="13"/>
        <v xml:space="preserve"> 299036 ** -3, -8, 43, 4, 14, 31, 47, 4</v>
      </c>
      <c r="D131" t="str">
        <f t="shared" si="14"/>
        <v>299036 ** -3, -8, 43, 4, 14, 31, 47, 4</v>
      </c>
      <c r="E131">
        <f t="shared" si="15"/>
        <v>8</v>
      </c>
      <c r="F131" t="str">
        <f t="shared" si="16"/>
        <v xml:space="preserve">299036 </v>
      </c>
      <c r="G131">
        <f t="shared" si="17"/>
        <v>299036</v>
      </c>
    </row>
    <row r="132" spans="1:7">
      <c r="A132" t="s">
        <v>138</v>
      </c>
      <c r="B132">
        <f t="shared" si="12"/>
        <v>6</v>
      </c>
      <c r="C132" t="str">
        <f t="shared" si="13"/>
        <v xml:space="preserve"> 305724 ** -3, -8, 43, 4, 14, 31, 47, 4</v>
      </c>
      <c r="D132" t="str">
        <f t="shared" si="14"/>
        <v>305724 ** -3, -8, 43, 4, 14, 31, 47, 4</v>
      </c>
      <c r="E132">
        <f t="shared" si="15"/>
        <v>8</v>
      </c>
      <c r="F132" t="str">
        <f t="shared" si="16"/>
        <v xml:space="preserve">305724 </v>
      </c>
      <c r="G132">
        <f t="shared" si="17"/>
        <v>305724</v>
      </c>
    </row>
    <row r="133" spans="1:7">
      <c r="A133" t="s">
        <v>139</v>
      </c>
      <c r="B133">
        <f t="shared" si="12"/>
        <v>6</v>
      </c>
      <c r="C133" t="str">
        <f t="shared" si="13"/>
        <v xml:space="preserve"> 624573 ** -3, -8, 43, 4, 14, 31, 47, 4</v>
      </c>
      <c r="D133" t="str">
        <f t="shared" si="14"/>
        <v>624573 ** -3, -8, 43, 4, 14, 31, 47, 4</v>
      </c>
      <c r="E133">
        <f t="shared" si="15"/>
        <v>8</v>
      </c>
      <c r="F133" t="str">
        <f t="shared" si="16"/>
        <v xml:space="preserve">624573 </v>
      </c>
      <c r="G133">
        <f t="shared" si="17"/>
        <v>624573</v>
      </c>
    </row>
    <row r="134" spans="1:7">
      <c r="A134" t="s">
        <v>140</v>
      </c>
      <c r="B134">
        <f t="shared" si="12"/>
        <v>6</v>
      </c>
      <c r="C134" t="str">
        <f t="shared" si="13"/>
        <v xml:space="preserve"> 392773 ** -3, -8, 43, 4, 14, 31, 47, 4</v>
      </c>
      <c r="D134" t="str">
        <f t="shared" si="14"/>
        <v>392773 ** -3, -8, 43, 4, 14, 31, 47, 4</v>
      </c>
      <c r="E134">
        <f t="shared" si="15"/>
        <v>8</v>
      </c>
      <c r="F134" t="str">
        <f t="shared" si="16"/>
        <v xml:space="preserve">392773 </v>
      </c>
      <c r="G134">
        <f t="shared" si="17"/>
        <v>392773</v>
      </c>
    </row>
    <row r="135" spans="1:7">
      <c r="A135" t="s">
        <v>141</v>
      </c>
      <c r="B135">
        <f t="shared" si="12"/>
        <v>6</v>
      </c>
      <c r="C135" t="str">
        <f t="shared" si="13"/>
        <v xml:space="preserve"> 402404 ** -3, -8, 43, 4, 14, 31, 47, 4</v>
      </c>
      <c r="D135" t="str">
        <f t="shared" si="14"/>
        <v>402404 ** -3, -8, 43, 4, 14, 31, 47, 4</v>
      </c>
      <c r="E135">
        <f t="shared" si="15"/>
        <v>8</v>
      </c>
      <c r="F135" t="str">
        <f t="shared" si="16"/>
        <v xml:space="preserve">402404 </v>
      </c>
      <c r="G135">
        <f t="shared" si="17"/>
        <v>402404</v>
      </c>
    </row>
    <row r="136" spans="1:7">
      <c r="A136" t="s">
        <v>142</v>
      </c>
      <c r="B136">
        <f t="shared" si="12"/>
        <v>6</v>
      </c>
      <c r="C136" t="str">
        <f t="shared" si="13"/>
        <v xml:space="preserve"> 336422 ** -3, -8, 43, 4, 14, 31, 47, 4</v>
      </c>
      <c r="D136" t="str">
        <f t="shared" si="14"/>
        <v>336422 ** -3, -8, 43, 4, 14, 31, 47, 4</v>
      </c>
      <c r="E136">
        <f t="shared" si="15"/>
        <v>8</v>
      </c>
      <c r="F136" t="str">
        <f t="shared" si="16"/>
        <v xml:space="preserve">336422 </v>
      </c>
      <c r="G136">
        <f t="shared" si="17"/>
        <v>336422</v>
      </c>
    </row>
    <row r="137" spans="1:7">
      <c r="A137" t="s">
        <v>143</v>
      </c>
      <c r="B137">
        <f t="shared" si="12"/>
        <v>6</v>
      </c>
      <c r="C137" t="str">
        <f t="shared" si="13"/>
        <v xml:space="preserve"> 312843 ** -3, -8, 43, 4, 14, 31, 47, 4</v>
      </c>
      <c r="D137" t="str">
        <f t="shared" si="14"/>
        <v>312843 ** -3, -8, 43, 4, 14, 31, 47, 4</v>
      </c>
      <c r="E137">
        <f t="shared" si="15"/>
        <v>8</v>
      </c>
      <c r="F137" t="str">
        <f t="shared" si="16"/>
        <v xml:space="preserve">312843 </v>
      </c>
      <c r="G137">
        <f t="shared" si="17"/>
        <v>312843</v>
      </c>
    </row>
    <row r="138" spans="1:7">
      <c r="A138" t="s">
        <v>144</v>
      </c>
      <c r="B138">
        <f t="shared" si="12"/>
        <v>6</v>
      </c>
      <c r="C138" t="str">
        <f t="shared" si="13"/>
        <v xml:space="preserve"> 368103 ** -3, -8, 43, 4, 14, 31, 47, 4</v>
      </c>
      <c r="D138" t="str">
        <f t="shared" si="14"/>
        <v>368103 ** -3, -8, 43, 4, 14, 31, 47, 4</v>
      </c>
      <c r="E138">
        <f t="shared" si="15"/>
        <v>8</v>
      </c>
      <c r="F138" t="str">
        <f t="shared" si="16"/>
        <v xml:space="preserve">368103 </v>
      </c>
      <c r="G138">
        <f t="shared" si="17"/>
        <v>368103</v>
      </c>
    </row>
    <row r="139" spans="1:7">
      <c r="A139" t="s">
        <v>145</v>
      </c>
      <c r="B139">
        <f t="shared" ref="B139:B202" si="18">SEARCH(":",A139)</f>
        <v>6</v>
      </c>
      <c r="C139" t="str">
        <f t="shared" ref="C139:C202" si="19">MID(A139,B139+1,LEN(A139)-(B139+1))</f>
        <v xml:space="preserve"> 358525 ** -3, -8, 43, 4, 14, 31, 47, 4</v>
      </c>
      <c r="D139" t="str">
        <f t="shared" ref="D139:D202" si="20">TRIM(C139)</f>
        <v>358525 ** -3, -8, 43, 4, 14, 31, 47, 4</v>
      </c>
      <c r="E139">
        <f t="shared" ref="E139:E202" si="21">SEARCH("~*",D139)</f>
        <v>8</v>
      </c>
      <c r="F139" t="str">
        <f t="shared" ref="F139:F202" si="22">LEFT(D139,E139-1)</f>
        <v xml:space="preserve">358525 </v>
      </c>
      <c r="G139">
        <f t="shared" ref="G139:G202" si="23">IF(ISBLANK(A139),"",VALUE(F139))</f>
        <v>358525</v>
      </c>
    </row>
    <row r="140" spans="1:7">
      <c r="A140" t="s">
        <v>146</v>
      </c>
      <c r="B140">
        <f t="shared" si="18"/>
        <v>6</v>
      </c>
      <c r="C140" t="str">
        <f t="shared" si="19"/>
        <v xml:space="preserve"> 321719 ** -3, -8, 43, 4, 14, 31, 47, 4</v>
      </c>
      <c r="D140" t="str">
        <f t="shared" si="20"/>
        <v>321719 ** -3, -8, 43, 4, 14, 31, 47, 4</v>
      </c>
      <c r="E140">
        <f t="shared" si="21"/>
        <v>8</v>
      </c>
      <c r="F140" t="str">
        <f t="shared" si="22"/>
        <v xml:space="preserve">321719 </v>
      </c>
      <c r="G140">
        <f t="shared" si="23"/>
        <v>321719</v>
      </c>
    </row>
    <row r="141" spans="1:7">
      <c r="A141" t="s">
        <v>147</v>
      </c>
      <c r="B141">
        <f t="shared" si="18"/>
        <v>6</v>
      </c>
      <c r="C141" t="str">
        <f t="shared" si="19"/>
        <v xml:space="preserve"> 363681 ** -3, -8, 43, 4, 14, 31, 47, 4</v>
      </c>
      <c r="D141" t="str">
        <f t="shared" si="20"/>
        <v>363681 ** -3, -8, 43, 4, 14, 31, 47, 4</v>
      </c>
      <c r="E141">
        <f t="shared" si="21"/>
        <v>8</v>
      </c>
      <c r="F141" t="str">
        <f t="shared" si="22"/>
        <v xml:space="preserve">363681 </v>
      </c>
      <c r="G141">
        <f t="shared" si="23"/>
        <v>363681</v>
      </c>
    </row>
    <row r="142" spans="1:7">
      <c r="A142" t="s">
        <v>148</v>
      </c>
      <c r="B142">
        <f t="shared" si="18"/>
        <v>6</v>
      </c>
      <c r="C142" t="str">
        <f t="shared" si="19"/>
        <v xml:space="preserve"> 822906 ** -3, -8, 43, 4, 14, 31, 47, 4</v>
      </c>
      <c r="D142" t="str">
        <f t="shared" si="20"/>
        <v>822906 ** -3, -8, 43, 4, 14, 31, 47, 4</v>
      </c>
      <c r="E142">
        <f t="shared" si="21"/>
        <v>8</v>
      </c>
      <c r="F142" t="str">
        <f t="shared" si="22"/>
        <v xml:space="preserve">822906 </v>
      </c>
      <c r="G142">
        <f t="shared" si="23"/>
        <v>822906</v>
      </c>
    </row>
    <row r="143" spans="1:7">
      <c r="A143" t="s">
        <v>149</v>
      </c>
      <c r="B143">
        <f t="shared" si="18"/>
        <v>6</v>
      </c>
      <c r="C143" t="str">
        <f t="shared" si="19"/>
        <v xml:space="preserve"> 405124 ** -3, -8, 43, 4, 14, 31, 47, 4</v>
      </c>
      <c r="D143" t="str">
        <f t="shared" si="20"/>
        <v>405124 ** -3, -8, 43, 4, 14, 31, 47, 4</v>
      </c>
      <c r="E143">
        <f t="shared" si="21"/>
        <v>8</v>
      </c>
      <c r="F143" t="str">
        <f t="shared" si="22"/>
        <v xml:space="preserve">405124 </v>
      </c>
      <c r="G143">
        <f t="shared" si="23"/>
        <v>405124</v>
      </c>
    </row>
    <row r="144" spans="1:7">
      <c r="A144" t="s">
        <v>150</v>
      </c>
      <c r="B144">
        <f t="shared" si="18"/>
        <v>6</v>
      </c>
      <c r="C144" t="str">
        <f t="shared" si="19"/>
        <v xml:space="preserve"> 327699 ** -3, -8, 43, 4, 14, 31, 47, 4</v>
      </c>
      <c r="D144" t="str">
        <f t="shared" si="20"/>
        <v>327699 ** -3, -8, 43, 4, 14, 31, 47, 4</v>
      </c>
      <c r="E144">
        <f t="shared" si="21"/>
        <v>8</v>
      </c>
      <c r="F144" t="str">
        <f t="shared" si="22"/>
        <v xml:space="preserve">327699 </v>
      </c>
      <c r="G144">
        <f t="shared" si="23"/>
        <v>327699</v>
      </c>
    </row>
    <row r="145" spans="1:7">
      <c r="A145" t="s">
        <v>151</v>
      </c>
      <c r="B145">
        <f t="shared" si="18"/>
        <v>6</v>
      </c>
      <c r="C145" t="str">
        <f t="shared" si="19"/>
        <v xml:space="preserve"> 415305 ** -3, -8, 43, 4, 14, 31, 47, 4</v>
      </c>
      <c r="D145" t="str">
        <f t="shared" si="20"/>
        <v>415305 ** -3, -8, 43, 4, 14, 31, 47, 4</v>
      </c>
      <c r="E145">
        <f t="shared" si="21"/>
        <v>8</v>
      </c>
      <c r="F145" t="str">
        <f t="shared" si="22"/>
        <v xml:space="preserve">415305 </v>
      </c>
      <c r="G145">
        <f t="shared" si="23"/>
        <v>415305</v>
      </c>
    </row>
    <row r="146" spans="1:7">
      <c r="A146" t="s">
        <v>152</v>
      </c>
      <c r="B146">
        <f t="shared" si="18"/>
        <v>6</v>
      </c>
      <c r="C146" t="str">
        <f t="shared" si="19"/>
        <v xml:space="preserve"> 378750 ** -3, -8, 43, 4, 14, 31, 47, 4</v>
      </c>
      <c r="D146" t="str">
        <f t="shared" si="20"/>
        <v>378750 ** -3, -8, 43, 4, 14, 31, 47, 4</v>
      </c>
      <c r="E146">
        <f t="shared" si="21"/>
        <v>8</v>
      </c>
      <c r="F146" t="str">
        <f t="shared" si="22"/>
        <v xml:space="preserve">378750 </v>
      </c>
      <c r="G146">
        <f t="shared" si="23"/>
        <v>378750</v>
      </c>
    </row>
    <row r="147" spans="1:7">
      <c r="A147" t="s">
        <v>153</v>
      </c>
      <c r="B147">
        <f t="shared" si="18"/>
        <v>6</v>
      </c>
      <c r="C147" t="str">
        <f t="shared" si="19"/>
        <v xml:space="preserve"> 448733 ** -3, -8, 43, 4, 14, 31, 47, 4</v>
      </c>
      <c r="D147" t="str">
        <f t="shared" si="20"/>
        <v>448733 ** -3, -8, 43, 4, 14, 31, 47, 4</v>
      </c>
      <c r="E147">
        <f t="shared" si="21"/>
        <v>8</v>
      </c>
      <c r="F147" t="str">
        <f t="shared" si="22"/>
        <v xml:space="preserve">448733 </v>
      </c>
      <c r="G147">
        <f t="shared" si="23"/>
        <v>448733</v>
      </c>
    </row>
    <row r="148" spans="1:7">
      <c r="A148" t="s">
        <v>154</v>
      </c>
      <c r="B148">
        <f t="shared" si="18"/>
        <v>6</v>
      </c>
      <c r="C148" t="str">
        <f t="shared" si="19"/>
        <v xml:space="preserve"> 418898 ** -3, -8, 43, 4, 14, 31, 47, 4</v>
      </c>
      <c r="D148" t="str">
        <f t="shared" si="20"/>
        <v>418898 ** -3, -8, 43, 4, 14, 31, 47, 4</v>
      </c>
      <c r="E148">
        <f t="shared" si="21"/>
        <v>8</v>
      </c>
      <c r="F148" t="str">
        <f t="shared" si="22"/>
        <v xml:space="preserve">418898 </v>
      </c>
      <c r="G148">
        <f t="shared" si="23"/>
        <v>418898</v>
      </c>
    </row>
    <row r="149" spans="1:7">
      <c r="A149" t="s">
        <v>155</v>
      </c>
      <c r="B149">
        <f t="shared" si="18"/>
        <v>6</v>
      </c>
      <c r="C149" t="str">
        <f t="shared" si="19"/>
        <v xml:space="preserve"> 439638 ** -3, -8, 43, 4, 14, 31, 47, 4</v>
      </c>
      <c r="D149" t="str">
        <f t="shared" si="20"/>
        <v>439638 ** -3, -8, 43, 4, 14, 31, 47, 4</v>
      </c>
      <c r="E149">
        <f t="shared" si="21"/>
        <v>8</v>
      </c>
      <c r="F149" t="str">
        <f t="shared" si="22"/>
        <v xml:space="preserve">439638 </v>
      </c>
      <c r="G149">
        <f t="shared" si="23"/>
        <v>439638</v>
      </c>
    </row>
    <row r="150" spans="1:7">
      <c r="A150" t="s">
        <v>156</v>
      </c>
      <c r="B150">
        <f t="shared" si="18"/>
        <v>6</v>
      </c>
      <c r="C150" t="str">
        <f t="shared" si="19"/>
        <v xml:space="preserve"> 1374307 ** -3, -8, 43, 4, 14, 31, 47, 4</v>
      </c>
      <c r="D150" t="str">
        <f t="shared" si="20"/>
        <v>1374307 ** -3, -8, 43, 4, 14, 31, 47, 4</v>
      </c>
      <c r="E150">
        <f t="shared" si="21"/>
        <v>9</v>
      </c>
      <c r="F150" t="str">
        <f t="shared" si="22"/>
        <v xml:space="preserve">1374307 </v>
      </c>
      <c r="G150">
        <f t="shared" si="23"/>
        <v>1374307</v>
      </c>
    </row>
    <row r="151" spans="1:7">
      <c r="A151" t="s">
        <v>157</v>
      </c>
      <c r="B151">
        <f t="shared" si="18"/>
        <v>6</v>
      </c>
      <c r="C151" t="str">
        <f t="shared" si="19"/>
        <v xml:space="preserve"> 433239 ** -3, -8, 43, 4, 14, 31, 47, 4</v>
      </c>
      <c r="D151" t="str">
        <f t="shared" si="20"/>
        <v>433239 ** -3, -8, 43, 4, 14, 31, 47, 4</v>
      </c>
      <c r="E151">
        <f t="shared" si="21"/>
        <v>8</v>
      </c>
      <c r="F151" t="str">
        <f t="shared" si="22"/>
        <v xml:space="preserve">433239 </v>
      </c>
      <c r="G151">
        <f t="shared" si="23"/>
        <v>433239</v>
      </c>
    </row>
    <row r="152" spans="1:7">
      <c r="A152" t="s">
        <v>158</v>
      </c>
      <c r="B152">
        <f t="shared" si="18"/>
        <v>6</v>
      </c>
      <c r="C152" t="str">
        <f t="shared" si="19"/>
        <v xml:space="preserve"> 829244 ** -3, -8, 43, 4, 14, 31, 47, 4</v>
      </c>
      <c r="D152" t="str">
        <f t="shared" si="20"/>
        <v>829244 ** -3, -8, 43, 4, 14, 31, 47, 4</v>
      </c>
      <c r="E152">
        <f t="shared" si="21"/>
        <v>8</v>
      </c>
      <c r="F152" t="str">
        <f t="shared" si="22"/>
        <v xml:space="preserve">829244 </v>
      </c>
      <c r="G152">
        <f t="shared" si="23"/>
        <v>829244</v>
      </c>
    </row>
    <row r="153" spans="1:7">
      <c r="A153" t="s">
        <v>159</v>
      </c>
      <c r="B153">
        <f t="shared" si="18"/>
        <v>6</v>
      </c>
      <c r="C153" t="str">
        <f t="shared" si="19"/>
        <v xml:space="preserve"> 487072 ** -3, -8, 43, 4, 14, 31, 47, 4</v>
      </c>
      <c r="D153" t="str">
        <f t="shared" si="20"/>
        <v>487072 ** -3, -8, 43, 4, 14, 31, 47, 4</v>
      </c>
      <c r="E153">
        <f t="shared" si="21"/>
        <v>8</v>
      </c>
      <c r="F153" t="str">
        <f t="shared" si="22"/>
        <v xml:space="preserve">487072 </v>
      </c>
      <c r="G153">
        <f t="shared" si="23"/>
        <v>487072</v>
      </c>
    </row>
    <row r="154" spans="1:7">
      <c r="A154" t="s">
        <v>160</v>
      </c>
      <c r="B154">
        <f t="shared" si="18"/>
        <v>6</v>
      </c>
      <c r="C154" t="str">
        <f t="shared" si="19"/>
        <v xml:space="preserve"> 1103019 ** -3, -8, 43, 4, 14, 31, 47, 4</v>
      </c>
      <c r="D154" t="str">
        <f t="shared" si="20"/>
        <v>1103019 ** -3, -8, 43, 4, 14, 31, 47, 4</v>
      </c>
      <c r="E154">
        <f t="shared" si="21"/>
        <v>9</v>
      </c>
      <c r="F154" t="str">
        <f t="shared" si="22"/>
        <v xml:space="preserve">1103019 </v>
      </c>
      <c r="G154">
        <f t="shared" si="23"/>
        <v>1103019</v>
      </c>
    </row>
    <row r="155" spans="1:7">
      <c r="A155" t="s">
        <v>161</v>
      </c>
      <c r="B155">
        <f t="shared" si="18"/>
        <v>6</v>
      </c>
      <c r="C155" t="str">
        <f t="shared" si="19"/>
        <v xml:space="preserve"> 876358 ** -3, -8, 43, 4, 14, 31, 47, 4</v>
      </c>
      <c r="D155" t="str">
        <f t="shared" si="20"/>
        <v>876358 ** -3, -8, 43, 4, 14, 31, 47, 4</v>
      </c>
      <c r="E155">
        <f t="shared" si="21"/>
        <v>8</v>
      </c>
      <c r="F155" t="str">
        <f t="shared" si="22"/>
        <v xml:space="preserve">876358 </v>
      </c>
      <c r="G155">
        <f t="shared" si="23"/>
        <v>876358</v>
      </c>
    </row>
    <row r="156" spans="1:7">
      <c r="A156" t="s">
        <v>162</v>
      </c>
      <c r="B156">
        <f t="shared" si="18"/>
        <v>6</v>
      </c>
      <c r="C156" t="str">
        <f t="shared" si="19"/>
        <v xml:space="preserve"> 884444 ** -3, -8, 43, 4, 14, 31, 47, 4</v>
      </c>
      <c r="D156" t="str">
        <f t="shared" si="20"/>
        <v>884444 ** -3, -8, 43, 4, 14, 31, 47, 4</v>
      </c>
      <c r="E156">
        <f t="shared" si="21"/>
        <v>8</v>
      </c>
      <c r="F156" t="str">
        <f t="shared" si="22"/>
        <v xml:space="preserve">884444 </v>
      </c>
      <c r="G156">
        <f t="shared" si="23"/>
        <v>884444</v>
      </c>
    </row>
    <row r="157" spans="1:7">
      <c r="A157" t="s">
        <v>163</v>
      </c>
      <c r="B157">
        <f t="shared" si="18"/>
        <v>6</v>
      </c>
      <c r="C157" t="str">
        <f t="shared" si="19"/>
        <v xml:space="preserve"> 498171 ** -3, -8, 43, 4, 14, 31, 47, 4</v>
      </c>
      <c r="D157" t="str">
        <f t="shared" si="20"/>
        <v>498171 ** -3, -8, 43, 4, 14, 31, 47, 4</v>
      </c>
      <c r="E157">
        <f t="shared" si="21"/>
        <v>8</v>
      </c>
      <c r="F157" t="str">
        <f t="shared" si="22"/>
        <v xml:space="preserve">498171 </v>
      </c>
      <c r="G157">
        <f t="shared" si="23"/>
        <v>498171</v>
      </c>
    </row>
    <row r="158" spans="1:7">
      <c r="A158" t="s">
        <v>164</v>
      </c>
      <c r="B158">
        <f t="shared" si="18"/>
        <v>6</v>
      </c>
      <c r="C158" t="str">
        <f t="shared" si="19"/>
        <v xml:space="preserve"> 863654 ** -3, -8, 43, 4, 14, 31, 47, 4</v>
      </c>
      <c r="D158" t="str">
        <f t="shared" si="20"/>
        <v>863654 ** -3, -8, 43, 4, 14, 31, 47, 4</v>
      </c>
      <c r="E158">
        <f t="shared" si="21"/>
        <v>8</v>
      </c>
      <c r="F158" t="str">
        <f t="shared" si="22"/>
        <v xml:space="preserve">863654 </v>
      </c>
      <c r="G158">
        <f t="shared" si="23"/>
        <v>863654</v>
      </c>
    </row>
    <row r="159" spans="1:7">
      <c r="A159" t="s">
        <v>165</v>
      </c>
      <c r="B159">
        <f t="shared" si="18"/>
        <v>6</v>
      </c>
      <c r="C159" t="str">
        <f t="shared" si="19"/>
        <v xml:space="preserve"> 1077734 ** -3, -8, 43, 4, 14, 31, 47, 4</v>
      </c>
      <c r="D159" t="str">
        <f t="shared" si="20"/>
        <v>1077734 ** -3, -8, 43, 4, 14, 31, 47, 4</v>
      </c>
      <c r="E159">
        <f t="shared" si="21"/>
        <v>9</v>
      </c>
      <c r="F159" t="str">
        <f t="shared" si="22"/>
        <v xml:space="preserve">1077734 </v>
      </c>
      <c r="G159">
        <f t="shared" si="23"/>
        <v>1077734</v>
      </c>
    </row>
    <row r="160" spans="1:7">
      <c r="A160" t="s">
        <v>166</v>
      </c>
      <c r="B160">
        <f t="shared" si="18"/>
        <v>6</v>
      </c>
      <c r="C160" t="str">
        <f t="shared" si="19"/>
        <v xml:space="preserve"> 459085 ** -3, -8, 43, 4, 14, 31, 47, 4</v>
      </c>
      <c r="D160" t="str">
        <f t="shared" si="20"/>
        <v>459085 ** -3, -8, 43, 4, 14, 31, 47, 4</v>
      </c>
      <c r="E160">
        <f t="shared" si="21"/>
        <v>8</v>
      </c>
      <c r="F160" t="str">
        <f t="shared" si="22"/>
        <v xml:space="preserve">459085 </v>
      </c>
      <c r="G160">
        <f t="shared" si="23"/>
        <v>459085</v>
      </c>
    </row>
    <row r="161" spans="1:7">
      <c r="A161" t="s">
        <v>167</v>
      </c>
      <c r="B161">
        <f t="shared" si="18"/>
        <v>6</v>
      </c>
      <c r="C161" t="str">
        <f t="shared" si="19"/>
        <v xml:space="preserve"> 1188070 ** -3, -8, 43, 4, 14, 31, 47, 4</v>
      </c>
      <c r="D161" t="str">
        <f t="shared" si="20"/>
        <v>1188070 ** -3, -8, 43, 4, 14, 31, 47, 4</v>
      </c>
      <c r="E161">
        <f t="shared" si="21"/>
        <v>9</v>
      </c>
      <c r="F161" t="str">
        <f t="shared" si="22"/>
        <v xml:space="preserve">1188070 </v>
      </c>
      <c r="G161">
        <f t="shared" si="23"/>
        <v>1188070</v>
      </c>
    </row>
    <row r="162" spans="1:7">
      <c r="A162" t="s">
        <v>168</v>
      </c>
      <c r="B162">
        <f t="shared" si="18"/>
        <v>6</v>
      </c>
      <c r="C162" t="str">
        <f t="shared" si="19"/>
        <v xml:space="preserve"> 403474 ** -3, -8, 43, 4, 14, 31, 47, 4</v>
      </c>
      <c r="D162" t="str">
        <f t="shared" si="20"/>
        <v>403474 ** -3, -8, 43, 4, 14, 31, 47, 4</v>
      </c>
      <c r="E162">
        <f t="shared" si="21"/>
        <v>8</v>
      </c>
      <c r="F162" t="str">
        <f t="shared" si="22"/>
        <v xml:space="preserve">403474 </v>
      </c>
      <c r="G162">
        <f t="shared" si="23"/>
        <v>403474</v>
      </c>
    </row>
    <row r="163" spans="1:7">
      <c r="A163" t="s">
        <v>169</v>
      </c>
      <c r="B163">
        <f t="shared" si="18"/>
        <v>6</v>
      </c>
      <c r="C163" t="str">
        <f t="shared" si="19"/>
        <v xml:space="preserve"> 1278343 ** -3, -8, 43, 4, 14, 31, 47, 4</v>
      </c>
      <c r="D163" t="str">
        <f t="shared" si="20"/>
        <v>1278343 ** -3, -8, 43, 4, 14, 31, 47, 4</v>
      </c>
      <c r="E163">
        <f t="shared" si="21"/>
        <v>9</v>
      </c>
      <c r="F163" t="str">
        <f t="shared" si="22"/>
        <v xml:space="preserve">1278343 </v>
      </c>
      <c r="G163">
        <f t="shared" si="23"/>
        <v>1278343</v>
      </c>
    </row>
    <row r="164" spans="1:7">
      <c r="A164" t="s">
        <v>170</v>
      </c>
      <c r="B164">
        <f t="shared" si="18"/>
        <v>6</v>
      </c>
      <c r="C164" t="str">
        <f t="shared" si="19"/>
        <v xml:space="preserve"> 1289573 ** -3, -8, 43, 4, 14, 31, 47, 4</v>
      </c>
      <c r="D164" t="str">
        <f t="shared" si="20"/>
        <v>1289573 ** -3, -8, 43, 4, 14, 31, 47, 4</v>
      </c>
      <c r="E164">
        <f t="shared" si="21"/>
        <v>9</v>
      </c>
      <c r="F164" t="str">
        <f t="shared" si="22"/>
        <v xml:space="preserve">1289573 </v>
      </c>
      <c r="G164">
        <f t="shared" si="23"/>
        <v>1289573</v>
      </c>
    </row>
    <row r="165" spans="1:7">
      <c r="A165" t="s">
        <v>171</v>
      </c>
      <c r="B165">
        <f t="shared" si="18"/>
        <v>6</v>
      </c>
      <c r="C165" t="str">
        <f t="shared" si="19"/>
        <v xml:space="preserve"> 1247767 ** -3, -8, 43, 4, 14, 31, 47, 4</v>
      </c>
      <c r="D165" t="str">
        <f t="shared" si="20"/>
        <v>1247767 ** -3, -8, 43, 4, 14, 31, 47, 4</v>
      </c>
      <c r="E165">
        <f t="shared" si="21"/>
        <v>9</v>
      </c>
      <c r="F165" t="str">
        <f t="shared" si="22"/>
        <v xml:space="preserve">1247767 </v>
      </c>
      <c r="G165">
        <f t="shared" si="23"/>
        <v>1247767</v>
      </c>
    </row>
    <row r="166" spans="1:7">
      <c r="A166" t="s">
        <v>172</v>
      </c>
      <c r="B166">
        <f t="shared" si="18"/>
        <v>6</v>
      </c>
      <c r="C166" t="str">
        <f t="shared" si="19"/>
        <v xml:space="preserve"> 1200470 ** -3, -8, 43, 4, 14, 31, 47, 4</v>
      </c>
      <c r="D166" t="str">
        <f t="shared" si="20"/>
        <v>1200470 ** -3, -8, 43, 4, 14, 31, 47, 4</v>
      </c>
      <c r="E166">
        <f t="shared" si="21"/>
        <v>9</v>
      </c>
      <c r="F166" t="str">
        <f t="shared" si="22"/>
        <v xml:space="preserve">1200470 </v>
      </c>
      <c r="G166">
        <f t="shared" si="23"/>
        <v>1200470</v>
      </c>
    </row>
    <row r="167" spans="1:7">
      <c r="A167" t="s">
        <v>173</v>
      </c>
      <c r="B167">
        <f t="shared" si="18"/>
        <v>6</v>
      </c>
      <c r="C167" t="str">
        <f t="shared" si="19"/>
        <v xml:space="preserve"> 535376 ** -3, -8, 43, 4, 14, 31, 47, 4</v>
      </c>
      <c r="D167" t="str">
        <f t="shared" si="20"/>
        <v>535376 ** -3, -8, 43, 4, 14, 31, 47, 4</v>
      </c>
      <c r="E167">
        <f t="shared" si="21"/>
        <v>8</v>
      </c>
      <c r="F167" t="str">
        <f t="shared" si="22"/>
        <v xml:space="preserve">535376 </v>
      </c>
      <c r="G167">
        <f t="shared" si="23"/>
        <v>535376</v>
      </c>
    </row>
    <row r="168" spans="1:7">
      <c r="A168" t="s">
        <v>174</v>
      </c>
      <c r="B168">
        <f t="shared" si="18"/>
        <v>6</v>
      </c>
      <c r="C168" t="str">
        <f t="shared" si="19"/>
        <v xml:space="preserve"> 1293865 ** -3, -8, 43, 4, 14, 31, 47, 4</v>
      </c>
      <c r="D168" t="str">
        <f t="shared" si="20"/>
        <v>1293865 ** -3, -8, 43, 4, 14, 31, 47, 4</v>
      </c>
      <c r="E168">
        <f t="shared" si="21"/>
        <v>9</v>
      </c>
      <c r="F168" t="str">
        <f t="shared" si="22"/>
        <v xml:space="preserve">1293865 </v>
      </c>
      <c r="G168">
        <f t="shared" si="23"/>
        <v>1293865</v>
      </c>
    </row>
    <row r="169" spans="1:7">
      <c r="A169" t="s">
        <v>175</v>
      </c>
      <c r="B169">
        <f t="shared" si="18"/>
        <v>6</v>
      </c>
      <c r="C169" t="str">
        <f t="shared" si="19"/>
        <v xml:space="preserve"> 530595 ** -3, -8, 43, 4, 14, 31, 47, 4</v>
      </c>
      <c r="D169" t="str">
        <f t="shared" si="20"/>
        <v>530595 ** -3, -8, 43, 4, 14, 31, 47, 4</v>
      </c>
      <c r="E169">
        <f t="shared" si="21"/>
        <v>8</v>
      </c>
      <c r="F169" t="str">
        <f t="shared" si="22"/>
        <v xml:space="preserve">530595 </v>
      </c>
      <c r="G169">
        <f t="shared" si="23"/>
        <v>530595</v>
      </c>
    </row>
    <row r="170" spans="1:7">
      <c r="A170" t="s">
        <v>176</v>
      </c>
      <c r="B170">
        <f t="shared" si="18"/>
        <v>6</v>
      </c>
      <c r="C170" t="str">
        <f t="shared" si="19"/>
        <v xml:space="preserve"> 1104673 ** -3, -8, 43, 4, 14, 31, 47, 4</v>
      </c>
      <c r="D170" t="str">
        <f t="shared" si="20"/>
        <v>1104673 ** -3, -8, 43, 4, 14, 31, 47, 4</v>
      </c>
      <c r="E170">
        <f t="shared" si="21"/>
        <v>9</v>
      </c>
      <c r="F170" t="str">
        <f t="shared" si="22"/>
        <v xml:space="preserve">1104673 </v>
      </c>
      <c r="G170">
        <f t="shared" si="23"/>
        <v>1104673</v>
      </c>
    </row>
    <row r="171" spans="1:7">
      <c r="A171" t="s">
        <v>177</v>
      </c>
      <c r="B171">
        <f t="shared" si="18"/>
        <v>6</v>
      </c>
      <c r="C171" t="str">
        <f t="shared" si="19"/>
        <v xml:space="preserve"> 491197 ** -3, -8, 43, 4, 14, 31, 47, 4</v>
      </c>
      <c r="D171" t="str">
        <f t="shared" si="20"/>
        <v>491197 ** -3, -8, 43, 4, 14, 31, 47, 4</v>
      </c>
      <c r="E171">
        <f t="shared" si="21"/>
        <v>8</v>
      </c>
      <c r="F171" t="str">
        <f t="shared" si="22"/>
        <v xml:space="preserve">491197 </v>
      </c>
      <c r="G171">
        <f t="shared" si="23"/>
        <v>491197</v>
      </c>
    </row>
    <row r="172" spans="1:7">
      <c r="A172" t="s">
        <v>178</v>
      </c>
      <c r="B172">
        <f t="shared" si="18"/>
        <v>6</v>
      </c>
      <c r="C172" t="str">
        <f t="shared" si="19"/>
        <v xml:space="preserve"> 483562 ** -3, -8, 43, 4, 14, 31, 47, 4</v>
      </c>
      <c r="D172" t="str">
        <f t="shared" si="20"/>
        <v>483562 ** -3, -8, 43, 4, 14, 31, 47, 4</v>
      </c>
      <c r="E172">
        <f t="shared" si="21"/>
        <v>8</v>
      </c>
      <c r="F172" t="str">
        <f t="shared" si="22"/>
        <v xml:space="preserve">483562 </v>
      </c>
      <c r="G172">
        <f t="shared" si="23"/>
        <v>483562</v>
      </c>
    </row>
    <row r="173" spans="1:7">
      <c r="A173" t="s">
        <v>179</v>
      </c>
      <c r="B173">
        <f t="shared" si="18"/>
        <v>6</v>
      </c>
      <c r="C173" t="str">
        <f t="shared" si="19"/>
        <v xml:space="preserve"> 520810 ** -3, -8, 43, 4, 14, 31, 47, 4</v>
      </c>
      <c r="D173" t="str">
        <f t="shared" si="20"/>
        <v>520810 ** -3, -8, 43, 4, 14, 31, 47, 4</v>
      </c>
      <c r="E173">
        <f t="shared" si="21"/>
        <v>8</v>
      </c>
      <c r="F173" t="str">
        <f t="shared" si="22"/>
        <v xml:space="preserve">520810 </v>
      </c>
      <c r="G173">
        <f t="shared" si="23"/>
        <v>520810</v>
      </c>
    </row>
    <row r="174" spans="1:7">
      <c r="A174" t="s">
        <v>180</v>
      </c>
      <c r="B174">
        <f t="shared" si="18"/>
        <v>6</v>
      </c>
      <c r="C174" t="str">
        <f t="shared" si="19"/>
        <v xml:space="preserve"> 1877589 ** -3, -8, 43, 4, 14, 31, 47, 4</v>
      </c>
      <c r="D174" t="str">
        <f t="shared" si="20"/>
        <v>1877589 ** -3, -8, 43, 4, 14, 31, 47, 4</v>
      </c>
      <c r="E174">
        <f t="shared" si="21"/>
        <v>9</v>
      </c>
      <c r="F174" t="str">
        <f t="shared" si="22"/>
        <v xml:space="preserve">1877589 </v>
      </c>
      <c r="G174">
        <f t="shared" si="23"/>
        <v>1877589</v>
      </c>
    </row>
    <row r="175" spans="1:7">
      <c r="A175" t="s">
        <v>181</v>
      </c>
      <c r="B175">
        <f t="shared" si="18"/>
        <v>6</v>
      </c>
      <c r="C175" t="str">
        <f t="shared" si="19"/>
        <v xml:space="preserve"> 442917 ** -3, -8, 43, 4, 14, 31, 47, 4</v>
      </c>
      <c r="D175" t="str">
        <f t="shared" si="20"/>
        <v>442917 ** -3, -8, 43, 4, 14, 31, 47, 4</v>
      </c>
      <c r="E175">
        <f t="shared" si="21"/>
        <v>8</v>
      </c>
      <c r="F175" t="str">
        <f t="shared" si="22"/>
        <v xml:space="preserve">442917 </v>
      </c>
      <c r="G175">
        <f t="shared" si="23"/>
        <v>442917</v>
      </c>
    </row>
    <row r="176" spans="1:7">
      <c r="A176" t="s">
        <v>182</v>
      </c>
      <c r="B176">
        <f t="shared" si="18"/>
        <v>6</v>
      </c>
      <c r="C176" t="str">
        <f t="shared" si="19"/>
        <v xml:space="preserve"> 587987 ** -3, -8, 43, 4, 14, 31, 47, 4</v>
      </c>
      <c r="D176" t="str">
        <f t="shared" si="20"/>
        <v>587987 ** -3, -8, 43, 4, 14, 31, 47, 4</v>
      </c>
      <c r="E176">
        <f t="shared" si="21"/>
        <v>8</v>
      </c>
      <c r="F176" t="str">
        <f t="shared" si="22"/>
        <v xml:space="preserve">587987 </v>
      </c>
      <c r="G176">
        <f t="shared" si="23"/>
        <v>587987</v>
      </c>
    </row>
    <row r="177" spans="1:7">
      <c r="A177" t="s">
        <v>183</v>
      </c>
      <c r="B177">
        <f t="shared" si="18"/>
        <v>6</v>
      </c>
      <c r="C177" t="str">
        <f t="shared" si="19"/>
        <v xml:space="preserve"> 506634 ** -3, -8, 43, 4, 14, 31, 47, 4</v>
      </c>
      <c r="D177" t="str">
        <f t="shared" si="20"/>
        <v>506634 ** -3, -8, 43, 4, 14, 31, 47, 4</v>
      </c>
      <c r="E177">
        <f t="shared" si="21"/>
        <v>8</v>
      </c>
      <c r="F177" t="str">
        <f t="shared" si="22"/>
        <v xml:space="preserve">506634 </v>
      </c>
      <c r="G177">
        <f t="shared" si="23"/>
        <v>506634</v>
      </c>
    </row>
    <row r="178" spans="1:7">
      <c r="A178" t="s">
        <v>184</v>
      </c>
      <c r="B178">
        <f t="shared" si="18"/>
        <v>6</v>
      </c>
      <c r="C178" t="str">
        <f t="shared" si="19"/>
        <v xml:space="preserve"> 489091 ** -3, -8, 43, 4, 14, 31, 47, 4</v>
      </c>
      <c r="D178" t="str">
        <f t="shared" si="20"/>
        <v>489091 ** -3, -8, 43, 4, 14, 31, 47, 4</v>
      </c>
      <c r="E178">
        <f t="shared" si="21"/>
        <v>8</v>
      </c>
      <c r="F178" t="str">
        <f t="shared" si="22"/>
        <v xml:space="preserve">489091 </v>
      </c>
      <c r="G178">
        <f t="shared" si="23"/>
        <v>489091</v>
      </c>
    </row>
    <row r="179" spans="1:7">
      <c r="A179" t="s">
        <v>185</v>
      </c>
      <c r="B179">
        <f t="shared" si="18"/>
        <v>6</v>
      </c>
      <c r="C179" t="str">
        <f t="shared" si="19"/>
        <v xml:space="preserve"> 552557 ** -3, -8, 43, 4, 14, 31, 47, 4</v>
      </c>
      <c r="D179" t="str">
        <f t="shared" si="20"/>
        <v>552557 ** -3, -8, 43, 4, 14, 31, 47, 4</v>
      </c>
      <c r="E179">
        <f t="shared" si="21"/>
        <v>8</v>
      </c>
      <c r="F179" t="str">
        <f t="shared" si="22"/>
        <v xml:space="preserve">552557 </v>
      </c>
      <c r="G179">
        <f t="shared" si="23"/>
        <v>552557</v>
      </c>
    </row>
    <row r="180" spans="1:7">
      <c r="A180" t="s">
        <v>186</v>
      </c>
      <c r="B180">
        <f t="shared" si="18"/>
        <v>6</v>
      </c>
      <c r="C180" t="str">
        <f t="shared" si="19"/>
        <v xml:space="preserve"> 645082 ** -3, -8, 43, 4, 14, 31, 47, 4</v>
      </c>
      <c r="D180" t="str">
        <f t="shared" si="20"/>
        <v>645082 ** -3, -8, 43, 4, 14, 31, 47, 4</v>
      </c>
      <c r="E180">
        <f t="shared" si="21"/>
        <v>8</v>
      </c>
      <c r="F180" t="str">
        <f t="shared" si="22"/>
        <v xml:space="preserve">645082 </v>
      </c>
      <c r="G180">
        <f t="shared" si="23"/>
        <v>645082</v>
      </c>
    </row>
    <row r="181" spans="1:7">
      <c r="A181" t="s">
        <v>187</v>
      </c>
      <c r="B181">
        <f t="shared" si="18"/>
        <v>6</v>
      </c>
      <c r="C181" t="str">
        <f t="shared" si="19"/>
        <v xml:space="preserve"> 546196 ** -3, -8, 43, 4, 14, 31, 47, 4</v>
      </c>
      <c r="D181" t="str">
        <f t="shared" si="20"/>
        <v>546196 ** -3, -8, 43, 4, 14, 31, 47, 4</v>
      </c>
      <c r="E181">
        <f t="shared" si="21"/>
        <v>8</v>
      </c>
      <c r="F181" t="str">
        <f t="shared" si="22"/>
        <v xml:space="preserve">546196 </v>
      </c>
      <c r="G181">
        <f t="shared" si="23"/>
        <v>546196</v>
      </c>
    </row>
    <row r="182" spans="1:7">
      <c r="A182" t="s">
        <v>188</v>
      </c>
      <c r="B182">
        <f t="shared" si="18"/>
        <v>6</v>
      </c>
      <c r="C182" t="str">
        <f t="shared" si="19"/>
        <v xml:space="preserve"> 528943 ** -3, -8, 43, 4, 14, 31, 47, 4</v>
      </c>
      <c r="D182" t="str">
        <f t="shared" si="20"/>
        <v>528943 ** -3, -8, 43, 4, 14, 31, 47, 4</v>
      </c>
      <c r="E182">
        <f t="shared" si="21"/>
        <v>8</v>
      </c>
      <c r="F182" t="str">
        <f t="shared" si="22"/>
        <v xml:space="preserve">528943 </v>
      </c>
      <c r="G182">
        <f t="shared" si="23"/>
        <v>528943</v>
      </c>
    </row>
    <row r="183" spans="1:7">
      <c r="A183" t="s">
        <v>189</v>
      </c>
      <c r="B183">
        <f t="shared" si="18"/>
        <v>6</v>
      </c>
      <c r="C183" t="str">
        <f t="shared" si="19"/>
        <v xml:space="preserve"> 2356982 ** -3, -8, 43, 4, 14, 31, 47, 4</v>
      </c>
      <c r="D183" t="str">
        <f t="shared" si="20"/>
        <v>2356982 ** -3, -8, 43, 4, 14, 31, 47, 4</v>
      </c>
      <c r="E183">
        <f t="shared" si="21"/>
        <v>9</v>
      </c>
      <c r="F183" t="str">
        <f t="shared" si="22"/>
        <v xml:space="preserve">2356982 </v>
      </c>
      <c r="G183">
        <f t="shared" si="23"/>
        <v>2356982</v>
      </c>
    </row>
    <row r="184" spans="1:7">
      <c r="A184" t="s">
        <v>190</v>
      </c>
      <c r="B184">
        <f t="shared" si="18"/>
        <v>6</v>
      </c>
      <c r="C184" t="str">
        <f t="shared" si="19"/>
        <v xml:space="preserve"> 714583 ** -3, -8, 43, 4, 14, 31, 47, 4</v>
      </c>
      <c r="D184" t="str">
        <f t="shared" si="20"/>
        <v>714583 ** -3, -8, 43, 4, 14, 31, 47, 4</v>
      </c>
      <c r="E184">
        <f t="shared" si="21"/>
        <v>8</v>
      </c>
      <c r="F184" t="str">
        <f t="shared" si="22"/>
        <v xml:space="preserve">714583 </v>
      </c>
      <c r="G184">
        <f t="shared" si="23"/>
        <v>714583</v>
      </c>
    </row>
    <row r="185" spans="1:7">
      <c r="A185" t="s">
        <v>191</v>
      </c>
      <c r="B185">
        <f t="shared" si="18"/>
        <v>6</v>
      </c>
      <c r="C185" t="str">
        <f t="shared" si="19"/>
        <v xml:space="preserve"> 698410 ** -3, -8, 43, 4, 14, 31, 47, 4</v>
      </c>
      <c r="D185" t="str">
        <f t="shared" si="20"/>
        <v>698410 ** -3, -8, 43, 4, 14, 31, 47, 4</v>
      </c>
      <c r="E185">
        <f t="shared" si="21"/>
        <v>8</v>
      </c>
      <c r="F185" t="str">
        <f t="shared" si="22"/>
        <v xml:space="preserve">698410 </v>
      </c>
      <c r="G185">
        <f t="shared" si="23"/>
        <v>698410</v>
      </c>
    </row>
    <row r="186" spans="1:7">
      <c r="A186" t="s">
        <v>192</v>
      </c>
      <c r="B186">
        <f t="shared" si="18"/>
        <v>6</v>
      </c>
      <c r="C186" t="str">
        <f t="shared" si="19"/>
        <v xml:space="preserve"> 594647 ** -3, -8, 43, 4, 14, 31, 47, 4</v>
      </c>
      <c r="D186" t="str">
        <f t="shared" si="20"/>
        <v>594647 ** -3, -8, 43, 4, 14, 31, 47, 4</v>
      </c>
      <c r="E186">
        <f t="shared" si="21"/>
        <v>8</v>
      </c>
      <c r="F186" t="str">
        <f t="shared" si="22"/>
        <v xml:space="preserve">594647 </v>
      </c>
      <c r="G186">
        <f t="shared" si="23"/>
        <v>594647</v>
      </c>
    </row>
    <row r="187" spans="1:7">
      <c r="A187" t="s">
        <v>193</v>
      </c>
      <c r="B187">
        <f t="shared" si="18"/>
        <v>6</v>
      </c>
      <c r="C187" t="str">
        <f t="shared" si="19"/>
        <v xml:space="preserve"> 685921 ** -3, -8, 43, 4, 14, 31, 47, 4</v>
      </c>
      <c r="D187" t="str">
        <f t="shared" si="20"/>
        <v>685921 ** -3, -8, 43, 4, 14, 31, 47, 4</v>
      </c>
      <c r="E187">
        <f t="shared" si="21"/>
        <v>8</v>
      </c>
      <c r="F187" t="str">
        <f t="shared" si="22"/>
        <v xml:space="preserve">685921 </v>
      </c>
      <c r="G187">
        <f t="shared" si="23"/>
        <v>685921</v>
      </c>
    </row>
    <row r="188" spans="1:7">
      <c r="A188" t="s">
        <v>194</v>
      </c>
      <c r="B188">
        <f t="shared" si="18"/>
        <v>6</v>
      </c>
      <c r="C188" t="str">
        <f t="shared" si="19"/>
        <v xml:space="preserve"> 672376 ** -3, -8, 43, 4, 14, 31, 47, 4</v>
      </c>
      <c r="D188" t="str">
        <f t="shared" si="20"/>
        <v>672376 ** -3, -8, 43, 4, 14, 31, 47, 4</v>
      </c>
      <c r="E188">
        <f t="shared" si="21"/>
        <v>8</v>
      </c>
      <c r="F188" t="str">
        <f t="shared" si="22"/>
        <v xml:space="preserve">672376 </v>
      </c>
      <c r="G188">
        <f t="shared" si="23"/>
        <v>672376</v>
      </c>
    </row>
    <row r="189" spans="1:7">
      <c r="A189" t="s">
        <v>195</v>
      </c>
      <c r="B189">
        <f t="shared" si="18"/>
        <v>6</v>
      </c>
      <c r="C189" t="str">
        <f t="shared" si="19"/>
        <v xml:space="preserve"> 695153 ** -3, -8, 43, 4, 14, 31, 47, 4</v>
      </c>
      <c r="D189" t="str">
        <f t="shared" si="20"/>
        <v>695153 ** -3, -8, 43, 4, 14, 31, 47, 4</v>
      </c>
      <c r="E189">
        <f t="shared" si="21"/>
        <v>8</v>
      </c>
      <c r="F189" t="str">
        <f t="shared" si="22"/>
        <v xml:space="preserve">695153 </v>
      </c>
      <c r="G189">
        <f t="shared" si="23"/>
        <v>695153</v>
      </c>
    </row>
    <row r="190" spans="1:7">
      <c r="A190" t="s">
        <v>196</v>
      </c>
      <c r="B190">
        <f t="shared" si="18"/>
        <v>6</v>
      </c>
      <c r="C190" t="str">
        <f t="shared" si="19"/>
        <v xml:space="preserve"> 765636 ** -3, -8, 43, 4, 14, 31, 47, 4</v>
      </c>
      <c r="D190" t="str">
        <f t="shared" si="20"/>
        <v>765636 ** -3, -8, 43, 4, 14, 31, 47, 4</v>
      </c>
      <c r="E190">
        <f t="shared" si="21"/>
        <v>8</v>
      </c>
      <c r="F190" t="str">
        <f t="shared" si="22"/>
        <v xml:space="preserve">765636 </v>
      </c>
      <c r="G190">
        <f t="shared" si="23"/>
        <v>765636</v>
      </c>
    </row>
    <row r="191" spans="1:7">
      <c r="A191" t="s">
        <v>197</v>
      </c>
      <c r="B191">
        <f t="shared" si="18"/>
        <v>6</v>
      </c>
      <c r="C191" t="str">
        <f t="shared" si="19"/>
        <v xml:space="preserve"> 701100 ** -3, -8, 43, 4, 14, 31, 47, 4</v>
      </c>
      <c r="D191" t="str">
        <f t="shared" si="20"/>
        <v>701100 ** -3, -8, 43, 4, 14, 31, 47, 4</v>
      </c>
      <c r="E191">
        <f t="shared" si="21"/>
        <v>8</v>
      </c>
      <c r="F191" t="str">
        <f t="shared" si="22"/>
        <v xml:space="preserve">701100 </v>
      </c>
      <c r="G191">
        <f t="shared" si="23"/>
        <v>701100</v>
      </c>
    </row>
    <row r="192" spans="1:7">
      <c r="A192" t="s">
        <v>198</v>
      </c>
      <c r="B192">
        <f t="shared" si="18"/>
        <v>6</v>
      </c>
      <c r="C192" t="str">
        <f t="shared" si="19"/>
        <v xml:space="preserve"> 661441 ** -3, -8, 43, 4, 14, 31, 47, 4</v>
      </c>
      <c r="D192" t="str">
        <f t="shared" si="20"/>
        <v>661441 ** -3, -8, 43, 4, 14, 31, 47, 4</v>
      </c>
      <c r="E192">
        <f t="shared" si="21"/>
        <v>8</v>
      </c>
      <c r="F192" t="str">
        <f t="shared" si="22"/>
        <v xml:space="preserve">661441 </v>
      </c>
      <c r="G192">
        <f t="shared" si="23"/>
        <v>661441</v>
      </c>
    </row>
    <row r="193" spans="1:7">
      <c r="A193" t="s">
        <v>199</v>
      </c>
      <c r="B193">
        <f t="shared" si="18"/>
        <v>6</v>
      </c>
      <c r="C193" t="str">
        <f t="shared" si="19"/>
        <v xml:space="preserve"> 773613 ** -3, -8, 43, 4, 14, 31, 47, 4</v>
      </c>
      <c r="D193" t="str">
        <f t="shared" si="20"/>
        <v>773613 ** -3, -8, 43, 4, 14, 31, 47, 4</v>
      </c>
      <c r="E193">
        <f t="shared" si="21"/>
        <v>8</v>
      </c>
      <c r="F193" t="str">
        <f t="shared" si="22"/>
        <v xml:space="preserve">773613 </v>
      </c>
      <c r="G193">
        <f t="shared" si="23"/>
        <v>773613</v>
      </c>
    </row>
    <row r="194" spans="1:7">
      <c r="A194" t="s">
        <v>200</v>
      </c>
      <c r="B194">
        <f t="shared" si="18"/>
        <v>6</v>
      </c>
      <c r="C194" t="str">
        <f t="shared" si="19"/>
        <v xml:space="preserve"> 542937 ** -3, -8, 43, 4, 14, 31, 47, 4</v>
      </c>
      <c r="D194" t="str">
        <f t="shared" si="20"/>
        <v>542937 ** -3, -8, 43, 4, 14, 31, 47, 4</v>
      </c>
      <c r="E194">
        <f t="shared" si="21"/>
        <v>8</v>
      </c>
      <c r="F194" t="str">
        <f t="shared" si="22"/>
        <v xml:space="preserve">542937 </v>
      </c>
      <c r="G194">
        <f t="shared" si="23"/>
        <v>542937</v>
      </c>
    </row>
    <row r="195" spans="1:7">
      <c r="A195" t="s">
        <v>201</v>
      </c>
      <c r="B195">
        <f t="shared" si="18"/>
        <v>6</v>
      </c>
      <c r="C195" t="str">
        <f t="shared" si="19"/>
        <v xml:space="preserve"> 3379046 ** -3, -8, 43, 4, 14, 31, 47, 4</v>
      </c>
      <c r="D195" t="str">
        <f t="shared" si="20"/>
        <v>3379046 ** -3, -8, 43, 4, 14, 31, 47, 4</v>
      </c>
      <c r="E195">
        <f t="shared" si="21"/>
        <v>9</v>
      </c>
      <c r="F195" t="str">
        <f t="shared" si="22"/>
        <v xml:space="preserve">3379046 </v>
      </c>
      <c r="G195">
        <f t="shared" si="23"/>
        <v>3379046</v>
      </c>
    </row>
    <row r="196" spans="1:7">
      <c r="A196" t="s">
        <v>202</v>
      </c>
      <c r="B196">
        <f t="shared" si="18"/>
        <v>6</v>
      </c>
      <c r="C196" t="str">
        <f t="shared" si="19"/>
        <v xml:space="preserve"> 3072513 ** -3, -8, 43, 4, 14, 31, 47, 4</v>
      </c>
      <c r="D196" t="str">
        <f t="shared" si="20"/>
        <v>3072513 ** -3, -8, 43, 4, 14, 31, 47, 4</v>
      </c>
      <c r="E196">
        <f t="shared" si="21"/>
        <v>9</v>
      </c>
      <c r="F196" t="str">
        <f t="shared" si="22"/>
        <v xml:space="preserve">3072513 </v>
      </c>
      <c r="G196">
        <f t="shared" si="23"/>
        <v>3072513</v>
      </c>
    </row>
    <row r="197" spans="1:7">
      <c r="A197" t="s">
        <v>203</v>
      </c>
      <c r="B197">
        <f t="shared" si="18"/>
        <v>6</v>
      </c>
      <c r="C197" t="str">
        <f t="shared" si="19"/>
        <v xml:space="preserve"> 820173 ** -3, -8, 43, 4, 14, 31, 47, 4</v>
      </c>
      <c r="D197" t="str">
        <f t="shared" si="20"/>
        <v>820173 ** -3, -8, 43, 4, 14, 31, 47, 4</v>
      </c>
      <c r="E197">
        <f t="shared" si="21"/>
        <v>8</v>
      </c>
      <c r="F197" t="str">
        <f t="shared" si="22"/>
        <v xml:space="preserve">820173 </v>
      </c>
      <c r="G197">
        <f t="shared" si="23"/>
        <v>820173</v>
      </c>
    </row>
    <row r="198" spans="1:7">
      <c r="A198" t="s">
        <v>204</v>
      </c>
      <c r="B198">
        <f t="shared" si="18"/>
        <v>6</v>
      </c>
      <c r="C198" t="str">
        <f t="shared" si="19"/>
        <v xml:space="preserve"> 569247 ** -3, -8, 43, 4, 14, 31, 47, 4</v>
      </c>
      <c r="D198" t="str">
        <f t="shared" si="20"/>
        <v>569247 ** -3, -8, 43, 4, 14, 31, 47, 4</v>
      </c>
      <c r="E198">
        <f t="shared" si="21"/>
        <v>8</v>
      </c>
      <c r="F198" t="str">
        <f t="shared" si="22"/>
        <v xml:space="preserve">569247 </v>
      </c>
      <c r="G198">
        <f t="shared" si="23"/>
        <v>569247</v>
      </c>
    </row>
    <row r="199" spans="1:7">
      <c r="A199" t="s">
        <v>205</v>
      </c>
      <c r="B199">
        <f t="shared" si="18"/>
        <v>6</v>
      </c>
      <c r="C199" t="str">
        <f t="shared" si="19"/>
        <v xml:space="preserve"> 581370 ** -3, -8, 43, 4, 14, 31, 47, 4</v>
      </c>
      <c r="D199" t="str">
        <f t="shared" si="20"/>
        <v>581370 ** -3, -8, 43, 4, 14, 31, 47, 4</v>
      </c>
      <c r="E199">
        <f t="shared" si="21"/>
        <v>8</v>
      </c>
      <c r="F199" t="str">
        <f t="shared" si="22"/>
        <v xml:space="preserve">581370 </v>
      </c>
      <c r="G199">
        <f t="shared" si="23"/>
        <v>581370</v>
      </c>
    </row>
    <row r="200" spans="1:7">
      <c r="A200" t="s">
        <v>206</v>
      </c>
      <c r="B200">
        <f t="shared" si="18"/>
        <v>6</v>
      </c>
      <c r="C200" t="str">
        <f t="shared" si="19"/>
        <v xml:space="preserve"> 872435 ** -3, -8, 43, 4, 14, 31, 47, 4</v>
      </c>
      <c r="D200" t="str">
        <f t="shared" si="20"/>
        <v>872435 ** -3, -8, 43, 4, 14, 31, 47, 4</v>
      </c>
      <c r="E200">
        <f t="shared" si="21"/>
        <v>8</v>
      </c>
      <c r="F200" t="str">
        <f t="shared" si="22"/>
        <v xml:space="preserve">872435 </v>
      </c>
      <c r="G200">
        <f t="shared" si="23"/>
        <v>872435</v>
      </c>
    </row>
    <row r="201" spans="1:7">
      <c r="A201" t="s">
        <v>207</v>
      </c>
      <c r="B201">
        <f t="shared" si="18"/>
        <v>6</v>
      </c>
      <c r="C201" t="str">
        <f t="shared" si="19"/>
        <v xml:space="preserve"> 859395 ** -3, -8, 43, 4, 14, 31, 47, 4</v>
      </c>
      <c r="D201" t="str">
        <f t="shared" si="20"/>
        <v>859395 ** -3, -8, 43, 4, 14, 31, 47, 4</v>
      </c>
      <c r="E201">
        <f t="shared" si="21"/>
        <v>8</v>
      </c>
      <c r="F201" t="str">
        <f t="shared" si="22"/>
        <v xml:space="preserve">859395 </v>
      </c>
      <c r="G201">
        <f t="shared" si="23"/>
        <v>859395</v>
      </c>
    </row>
    <row r="202" spans="1:7">
      <c r="A202" t="s">
        <v>208</v>
      </c>
      <c r="B202">
        <f t="shared" si="18"/>
        <v>6</v>
      </c>
      <c r="C202" t="str">
        <f t="shared" si="19"/>
        <v xml:space="preserve"> 932791 ** -3, -8, 43, 4, 14, 31, 47, 4</v>
      </c>
      <c r="D202" t="str">
        <f t="shared" si="20"/>
        <v>932791 ** -3, -8, 43, 4, 14, 31, 47, 4</v>
      </c>
      <c r="E202">
        <f t="shared" si="21"/>
        <v>8</v>
      </c>
      <c r="F202" t="str">
        <f t="shared" si="22"/>
        <v xml:space="preserve">932791 </v>
      </c>
      <c r="G202">
        <f t="shared" si="23"/>
        <v>932791</v>
      </c>
    </row>
    <row r="203" spans="1:7">
      <c r="A203" t="s">
        <v>209</v>
      </c>
      <c r="B203">
        <f t="shared" ref="B203:B255" si="24">SEARCH(":",A203)</f>
        <v>6</v>
      </c>
      <c r="C203" t="str">
        <f t="shared" ref="C203:C255" si="25">MID(A203,B203+1,LEN(A203)-(B203+1))</f>
        <v xml:space="preserve"> 690038 ** -3, -8, 43, 4, 14, 31, 47, 4</v>
      </c>
      <c r="D203" t="str">
        <f t="shared" ref="D203:D255" si="26">TRIM(C203)</f>
        <v>690038 ** -3, -8, 43, 4, 14, 31, 47, 4</v>
      </c>
      <c r="E203">
        <f t="shared" ref="E203:E255" si="27">SEARCH("~*",D203)</f>
        <v>8</v>
      </c>
      <c r="F203" t="str">
        <f t="shared" ref="F203:F255" si="28">LEFT(D203,E203-1)</f>
        <v xml:space="preserve">690038 </v>
      </c>
      <c r="G203">
        <f t="shared" ref="G203:G255" si="29">IF(ISBLANK(A203),"",VALUE(F203))</f>
        <v>690038</v>
      </c>
    </row>
    <row r="204" spans="1:7">
      <c r="A204" t="s">
        <v>210</v>
      </c>
      <c r="B204">
        <f t="shared" si="24"/>
        <v>6</v>
      </c>
      <c r="C204" t="str">
        <f t="shared" si="25"/>
        <v xml:space="preserve"> 681198 ** -3, -8, 43, 4, 14, 31, 47, 4</v>
      </c>
      <c r="D204" t="str">
        <f t="shared" si="26"/>
        <v>681198 ** -3, -8, 43, 4, 14, 31, 47, 4</v>
      </c>
      <c r="E204">
        <f t="shared" si="27"/>
        <v>8</v>
      </c>
      <c r="F204" t="str">
        <f t="shared" si="28"/>
        <v xml:space="preserve">681198 </v>
      </c>
      <c r="G204">
        <f t="shared" si="29"/>
        <v>681198</v>
      </c>
    </row>
    <row r="205" spans="1:7">
      <c r="A205" t="s">
        <v>211</v>
      </c>
      <c r="B205">
        <f t="shared" si="24"/>
        <v>6</v>
      </c>
      <c r="C205" t="str">
        <f t="shared" si="25"/>
        <v xml:space="preserve"> 900055 ** -3, -8, 43, 4, 14, 31, 47, 4</v>
      </c>
      <c r="D205" t="str">
        <f t="shared" si="26"/>
        <v>900055 ** -3, -8, 43, 4, 14, 31, 47, 4</v>
      </c>
      <c r="E205">
        <f t="shared" si="27"/>
        <v>8</v>
      </c>
      <c r="F205" t="str">
        <f t="shared" si="28"/>
        <v xml:space="preserve">900055 </v>
      </c>
      <c r="G205">
        <f t="shared" si="29"/>
        <v>900055</v>
      </c>
    </row>
    <row r="206" spans="1:7">
      <c r="A206" t="s">
        <v>212</v>
      </c>
      <c r="B206">
        <f t="shared" si="24"/>
        <v>6</v>
      </c>
      <c r="C206" t="str">
        <f t="shared" si="25"/>
        <v xml:space="preserve"> 1036714 ** -3, -8, 43, 4, 14, 31, 47, 4</v>
      </c>
      <c r="D206" t="str">
        <f t="shared" si="26"/>
        <v>1036714 ** -3, -8, 43, 4, 14, 31, 47, 4</v>
      </c>
      <c r="E206">
        <f t="shared" si="27"/>
        <v>9</v>
      </c>
      <c r="F206" t="str">
        <f t="shared" si="28"/>
        <v xml:space="preserve">1036714 </v>
      </c>
      <c r="G206">
        <f t="shared" si="29"/>
        <v>1036714</v>
      </c>
    </row>
    <row r="207" spans="1:7">
      <c r="A207" t="s">
        <v>213</v>
      </c>
      <c r="B207">
        <f t="shared" si="24"/>
        <v>6</v>
      </c>
      <c r="C207" t="str">
        <f t="shared" si="25"/>
        <v xml:space="preserve"> 726081 ** -3, -8, 43, 4, 14, 31, 47, 4</v>
      </c>
      <c r="D207" t="str">
        <f t="shared" si="26"/>
        <v>726081 ** -3, -8, 43, 4, 14, 31, 47, 4</v>
      </c>
      <c r="E207">
        <f t="shared" si="27"/>
        <v>8</v>
      </c>
      <c r="F207" t="str">
        <f t="shared" si="28"/>
        <v xml:space="preserve">726081 </v>
      </c>
      <c r="G207">
        <f t="shared" si="29"/>
        <v>726081</v>
      </c>
    </row>
    <row r="208" spans="1:7">
      <c r="A208" t="s">
        <v>214</v>
      </c>
      <c r="B208">
        <f t="shared" si="24"/>
        <v>6</v>
      </c>
      <c r="C208" t="str">
        <f t="shared" si="25"/>
        <v xml:space="preserve"> 938540 ** -3, -8, 43, 4, 14, 31, 47, 4</v>
      </c>
      <c r="D208" t="str">
        <f t="shared" si="26"/>
        <v>938540 ** -3, -8, 43, 4, 14, 31, 47, 4</v>
      </c>
      <c r="E208">
        <f t="shared" si="27"/>
        <v>8</v>
      </c>
      <c r="F208" t="str">
        <f t="shared" si="28"/>
        <v xml:space="preserve">938540 </v>
      </c>
      <c r="G208">
        <f t="shared" si="29"/>
        <v>938540</v>
      </c>
    </row>
    <row r="209" spans="1:7">
      <c r="A209" t="s">
        <v>215</v>
      </c>
      <c r="B209">
        <f t="shared" si="24"/>
        <v>6</v>
      </c>
      <c r="C209" t="str">
        <f t="shared" si="25"/>
        <v xml:space="preserve"> 699379 ** -3, -8, 43, 4, 14, 31, 47, 4</v>
      </c>
      <c r="D209" t="str">
        <f t="shared" si="26"/>
        <v>699379 ** -3, -8, 43, 4, 14, 31, 47, 4</v>
      </c>
      <c r="E209">
        <f t="shared" si="27"/>
        <v>8</v>
      </c>
      <c r="F209" t="str">
        <f t="shared" si="28"/>
        <v xml:space="preserve">699379 </v>
      </c>
      <c r="G209">
        <f t="shared" si="29"/>
        <v>699379</v>
      </c>
    </row>
    <row r="210" spans="1:7">
      <c r="A210" t="s">
        <v>216</v>
      </c>
      <c r="B210">
        <f t="shared" si="24"/>
        <v>6</v>
      </c>
      <c r="C210" t="str">
        <f t="shared" si="25"/>
        <v xml:space="preserve"> 962734 ** -3, -8, 43, 4, 14, 31, 47, 4</v>
      </c>
      <c r="D210" t="str">
        <f t="shared" si="26"/>
        <v>962734 ** -3, -8, 43, 4, 14, 31, 47, 4</v>
      </c>
      <c r="E210">
        <f t="shared" si="27"/>
        <v>8</v>
      </c>
      <c r="F210" t="str">
        <f t="shared" si="28"/>
        <v xml:space="preserve">962734 </v>
      </c>
      <c r="G210">
        <f t="shared" si="29"/>
        <v>962734</v>
      </c>
    </row>
    <row r="211" spans="1:7">
      <c r="A211" t="s">
        <v>217</v>
      </c>
      <c r="B211">
        <f t="shared" si="24"/>
        <v>6</v>
      </c>
      <c r="C211" t="str">
        <f t="shared" si="25"/>
        <v xml:space="preserve"> 759349 ** -3, -8, 43, 4, 14, 31, 47, 4</v>
      </c>
      <c r="D211" t="str">
        <f t="shared" si="26"/>
        <v>759349 ** -3, -8, 43, 4, 14, 31, 47, 4</v>
      </c>
      <c r="E211">
        <f t="shared" si="27"/>
        <v>8</v>
      </c>
      <c r="F211" t="str">
        <f t="shared" si="28"/>
        <v xml:space="preserve">759349 </v>
      </c>
      <c r="G211">
        <f t="shared" si="29"/>
        <v>759349</v>
      </c>
    </row>
    <row r="212" spans="1:7">
      <c r="A212" t="s">
        <v>218</v>
      </c>
      <c r="B212">
        <f t="shared" si="24"/>
        <v>6</v>
      </c>
      <c r="C212" t="str">
        <f t="shared" si="25"/>
        <v xml:space="preserve"> 1331759 ** -3, -8, 43, 4, 14, 31, 47, 4</v>
      </c>
      <c r="D212" t="str">
        <f t="shared" si="26"/>
        <v>1331759 ** -3, -8, 43, 4, 14, 31, 47, 4</v>
      </c>
      <c r="E212">
        <f t="shared" si="27"/>
        <v>9</v>
      </c>
      <c r="F212" t="str">
        <f t="shared" si="28"/>
        <v xml:space="preserve">1331759 </v>
      </c>
      <c r="G212">
        <f t="shared" si="29"/>
        <v>1331759</v>
      </c>
    </row>
    <row r="213" spans="1:7">
      <c r="A213" t="s">
        <v>219</v>
      </c>
      <c r="B213">
        <f t="shared" si="24"/>
        <v>6</v>
      </c>
      <c r="C213" t="str">
        <f t="shared" si="25"/>
        <v xml:space="preserve"> 1019932 ** -3, -8, 43, 4, 14, 31, 47, 4</v>
      </c>
      <c r="D213" t="str">
        <f t="shared" si="26"/>
        <v>1019932 ** -3, -8, 43, 4, 14, 31, 47, 4</v>
      </c>
      <c r="E213">
        <f t="shared" si="27"/>
        <v>9</v>
      </c>
      <c r="F213" t="str">
        <f t="shared" si="28"/>
        <v xml:space="preserve">1019932 </v>
      </c>
      <c r="G213">
        <f t="shared" si="29"/>
        <v>1019932</v>
      </c>
    </row>
    <row r="214" spans="1:7">
      <c r="A214" t="s">
        <v>220</v>
      </c>
      <c r="B214">
        <f t="shared" si="24"/>
        <v>6</v>
      </c>
      <c r="C214" t="str">
        <f t="shared" si="25"/>
        <v xml:space="preserve"> 1008422 ** -3, -8, 43, 4, 14, 31, 47, 4</v>
      </c>
      <c r="D214" t="str">
        <f t="shared" si="26"/>
        <v>1008422 ** -3, -8, 43, 4, 14, 31, 47, 4</v>
      </c>
      <c r="E214">
        <f t="shared" si="27"/>
        <v>9</v>
      </c>
      <c r="F214" t="str">
        <f t="shared" si="28"/>
        <v xml:space="preserve">1008422 </v>
      </c>
      <c r="G214">
        <f t="shared" si="29"/>
        <v>1008422</v>
      </c>
    </row>
    <row r="215" spans="1:7">
      <c r="A215" t="s">
        <v>221</v>
      </c>
      <c r="B215">
        <f t="shared" si="24"/>
        <v>6</v>
      </c>
      <c r="C215" t="str">
        <f t="shared" si="25"/>
        <v xml:space="preserve"> 763606 ** -3, -8, 43, 4, 14, 31, 47, 4</v>
      </c>
      <c r="D215" t="str">
        <f t="shared" si="26"/>
        <v>763606 ** -3, -8, 43, 4, 14, 31, 47, 4</v>
      </c>
      <c r="E215">
        <f t="shared" si="27"/>
        <v>8</v>
      </c>
      <c r="F215" t="str">
        <f t="shared" si="28"/>
        <v xml:space="preserve">763606 </v>
      </c>
      <c r="G215">
        <f t="shared" si="29"/>
        <v>763606</v>
      </c>
    </row>
    <row r="216" spans="1:7">
      <c r="A216" t="s">
        <v>222</v>
      </c>
      <c r="B216">
        <f t="shared" si="24"/>
        <v>6</v>
      </c>
      <c r="C216" t="str">
        <f t="shared" si="25"/>
        <v xml:space="preserve"> 1012582 ** -3, -8, 43, 4, 14, 31, 47, 4</v>
      </c>
      <c r="D216" t="str">
        <f t="shared" si="26"/>
        <v>1012582 ** -3, -8, 43, 4, 14, 31, 47, 4</v>
      </c>
      <c r="E216">
        <f t="shared" si="27"/>
        <v>9</v>
      </c>
      <c r="F216" t="str">
        <f t="shared" si="28"/>
        <v xml:space="preserve">1012582 </v>
      </c>
      <c r="G216">
        <f t="shared" si="29"/>
        <v>1012582</v>
      </c>
    </row>
    <row r="217" spans="1:7">
      <c r="A217" t="s">
        <v>223</v>
      </c>
      <c r="B217">
        <f t="shared" si="24"/>
        <v>6</v>
      </c>
      <c r="C217" t="str">
        <f t="shared" si="25"/>
        <v xml:space="preserve"> 1295503 ** -3, -8, 43, 4, 14, 31, 47, 4</v>
      </c>
      <c r="D217" t="str">
        <f t="shared" si="26"/>
        <v>1295503 ** -3, -8, 43, 4, 14, 31, 47, 4</v>
      </c>
      <c r="E217">
        <f t="shared" si="27"/>
        <v>9</v>
      </c>
      <c r="F217" t="str">
        <f t="shared" si="28"/>
        <v xml:space="preserve">1295503 </v>
      </c>
      <c r="G217">
        <f t="shared" si="29"/>
        <v>1295503</v>
      </c>
    </row>
    <row r="218" spans="1:7">
      <c r="A218" t="s">
        <v>224</v>
      </c>
      <c r="B218">
        <f t="shared" si="24"/>
        <v>6</v>
      </c>
      <c r="C218" t="str">
        <f t="shared" si="25"/>
        <v xml:space="preserve"> 1048369 ** -3, -8, 43, 4, 14, 31, 47, 4</v>
      </c>
      <c r="D218" t="str">
        <f t="shared" si="26"/>
        <v>1048369 ** -3, -8, 43, 4, 14, 31, 47, 4</v>
      </c>
      <c r="E218">
        <f t="shared" si="27"/>
        <v>9</v>
      </c>
      <c r="F218" t="str">
        <f t="shared" si="28"/>
        <v xml:space="preserve">1048369 </v>
      </c>
      <c r="G218">
        <f t="shared" si="29"/>
        <v>1048369</v>
      </c>
    </row>
    <row r="219" spans="1:7">
      <c r="A219" t="s">
        <v>225</v>
      </c>
      <c r="B219">
        <f t="shared" si="24"/>
        <v>6</v>
      </c>
      <c r="C219" t="str">
        <f t="shared" si="25"/>
        <v xml:space="preserve"> 1049203 ** -3, -8, 43, 4, 14, 31, 47, 4</v>
      </c>
      <c r="D219" t="str">
        <f t="shared" si="26"/>
        <v>1049203 ** -3, -8, 43, 4, 14, 31, 47, 4</v>
      </c>
      <c r="E219">
        <f t="shared" si="27"/>
        <v>9</v>
      </c>
      <c r="F219" t="str">
        <f t="shared" si="28"/>
        <v xml:space="preserve">1049203 </v>
      </c>
      <c r="G219">
        <f t="shared" si="29"/>
        <v>1049203</v>
      </c>
    </row>
    <row r="220" spans="1:7">
      <c r="A220" t="s">
        <v>226</v>
      </c>
      <c r="B220">
        <f t="shared" si="24"/>
        <v>6</v>
      </c>
      <c r="C220" t="str">
        <f t="shared" si="25"/>
        <v xml:space="preserve"> 1650468 ** -3, -8, 43, 4, 14, 31, 47, 4</v>
      </c>
      <c r="D220" t="str">
        <f t="shared" si="26"/>
        <v>1650468 ** -3, -8, 43, 4, 14, 31, 47, 4</v>
      </c>
      <c r="E220">
        <f t="shared" si="27"/>
        <v>9</v>
      </c>
      <c r="F220" t="str">
        <f t="shared" si="28"/>
        <v xml:space="preserve">1650468 </v>
      </c>
      <c r="G220">
        <f t="shared" si="29"/>
        <v>1650468</v>
      </c>
    </row>
    <row r="221" spans="1:7">
      <c r="A221" t="s">
        <v>227</v>
      </c>
      <c r="B221">
        <f t="shared" si="24"/>
        <v>6</v>
      </c>
      <c r="C221" t="str">
        <f t="shared" si="25"/>
        <v xml:space="preserve"> 796498 ** -3, -8, 43, 4, 14, 31, 47, 4</v>
      </c>
      <c r="D221" t="str">
        <f t="shared" si="26"/>
        <v>796498 ** -3, -8, 43, 4, 14, 31, 47, 4</v>
      </c>
      <c r="E221">
        <f t="shared" si="27"/>
        <v>8</v>
      </c>
      <c r="F221" t="str">
        <f t="shared" si="28"/>
        <v xml:space="preserve">796498 </v>
      </c>
      <c r="G221">
        <f t="shared" si="29"/>
        <v>796498</v>
      </c>
    </row>
    <row r="222" spans="1:7">
      <c r="A222" t="s">
        <v>228</v>
      </c>
      <c r="B222">
        <f t="shared" si="24"/>
        <v>6</v>
      </c>
      <c r="C222" t="str">
        <f t="shared" si="25"/>
        <v xml:space="preserve"> 1157423 ** -3, -8, 43, 4, 14, 31, 47, 4</v>
      </c>
      <c r="D222" t="str">
        <f t="shared" si="26"/>
        <v>1157423 ** -3, -8, 43, 4, 14, 31, 47, 4</v>
      </c>
      <c r="E222">
        <f t="shared" si="27"/>
        <v>9</v>
      </c>
      <c r="F222" t="str">
        <f t="shared" si="28"/>
        <v xml:space="preserve">1157423 </v>
      </c>
      <c r="G222">
        <f t="shared" si="29"/>
        <v>1157423</v>
      </c>
    </row>
    <row r="223" spans="1:7">
      <c r="A223" t="s">
        <v>229</v>
      </c>
      <c r="B223">
        <f t="shared" si="24"/>
        <v>6</v>
      </c>
      <c r="C223" t="str">
        <f t="shared" si="25"/>
        <v xml:space="preserve"> 893718 ** -3, -8, 43, 4, 14, 31, 47, 4</v>
      </c>
      <c r="D223" t="str">
        <f t="shared" si="26"/>
        <v>893718 ** -3, -8, 43, 4, 14, 31, 47, 4</v>
      </c>
      <c r="E223">
        <f t="shared" si="27"/>
        <v>8</v>
      </c>
      <c r="F223" t="str">
        <f t="shared" si="28"/>
        <v xml:space="preserve">893718 </v>
      </c>
      <c r="G223">
        <f t="shared" si="29"/>
        <v>893718</v>
      </c>
    </row>
    <row r="224" spans="1:7">
      <c r="A224" t="s">
        <v>230</v>
      </c>
      <c r="B224">
        <f t="shared" si="24"/>
        <v>6</v>
      </c>
      <c r="C224" t="str">
        <f t="shared" si="25"/>
        <v xml:space="preserve"> 892205 ** -3, -8, 43, 4, 14, 31, 47, 4</v>
      </c>
      <c r="D224" t="str">
        <f t="shared" si="26"/>
        <v>892205 ** -3, -8, 43, 4, 14, 31, 47, 4</v>
      </c>
      <c r="E224">
        <f t="shared" si="27"/>
        <v>8</v>
      </c>
      <c r="F224" t="str">
        <f t="shared" si="28"/>
        <v xml:space="preserve">892205 </v>
      </c>
      <c r="G224">
        <f t="shared" si="29"/>
        <v>892205</v>
      </c>
    </row>
    <row r="225" spans="1:7">
      <c r="A225" t="s">
        <v>231</v>
      </c>
      <c r="B225">
        <f t="shared" si="24"/>
        <v>6</v>
      </c>
      <c r="C225" t="str">
        <f t="shared" si="25"/>
        <v xml:space="preserve"> 934017 ** -3, -8, 43, 4, 14, 31, 47, 4</v>
      </c>
      <c r="D225" t="str">
        <f t="shared" si="26"/>
        <v>934017 ** -3, -8, 43, 4, 14, 31, 47, 4</v>
      </c>
      <c r="E225">
        <f t="shared" si="27"/>
        <v>8</v>
      </c>
      <c r="F225" t="str">
        <f t="shared" si="28"/>
        <v xml:space="preserve">934017 </v>
      </c>
      <c r="G225">
        <f t="shared" si="29"/>
        <v>934017</v>
      </c>
    </row>
    <row r="226" spans="1:7">
      <c r="A226" t="s">
        <v>232</v>
      </c>
      <c r="B226">
        <f t="shared" si="24"/>
        <v>6</v>
      </c>
      <c r="C226" t="str">
        <f t="shared" si="25"/>
        <v xml:space="preserve"> 939670 ** -3, -8, 43, 4, 14, 31, 47, 4</v>
      </c>
      <c r="D226" t="str">
        <f t="shared" si="26"/>
        <v>939670 ** -3, -8, 43, 4, 14, 31, 47, 4</v>
      </c>
      <c r="E226">
        <f t="shared" si="27"/>
        <v>8</v>
      </c>
      <c r="F226" t="str">
        <f t="shared" si="28"/>
        <v xml:space="preserve">939670 </v>
      </c>
      <c r="G226">
        <f t="shared" si="29"/>
        <v>939670</v>
      </c>
    </row>
    <row r="227" spans="1:7">
      <c r="A227" t="s">
        <v>233</v>
      </c>
      <c r="B227">
        <f t="shared" si="24"/>
        <v>6</v>
      </c>
      <c r="C227" t="str">
        <f t="shared" si="25"/>
        <v xml:space="preserve"> 988709 ** -3, -8, 43, 4, 14, 31, 47, 4</v>
      </c>
      <c r="D227" t="str">
        <f t="shared" si="26"/>
        <v>988709 ** -3, -8, 43, 4, 14, 31, 47, 4</v>
      </c>
      <c r="E227">
        <f t="shared" si="27"/>
        <v>8</v>
      </c>
      <c r="F227" t="str">
        <f t="shared" si="28"/>
        <v xml:space="preserve">988709 </v>
      </c>
      <c r="G227">
        <f t="shared" si="29"/>
        <v>988709</v>
      </c>
    </row>
    <row r="228" spans="1:7">
      <c r="A228" t="s">
        <v>234</v>
      </c>
      <c r="B228">
        <f t="shared" si="24"/>
        <v>6</v>
      </c>
      <c r="C228" t="str">
        <f t="shared" si="25"/>
        <v xml:space="preserve"> 2014843 ** -3, -8, 43, 4, 14, 31, 47, 4</v>
      </c>
      <c r="D228" t="str">
        <f t="shared" si="26"/>
        <v>2014843 ** -3, -8, 43, 4, 14, 31, 47, 4</v>
      </c>
      <c r="E228">
        <f t="shared" si="27"/>
        <v>9</v>
      </c>
      <c r="F228" t="str">
        <f t="shared" si="28"/>
        <v xml:space="preserve">2014843 </v>
      </c>
      <c r="G228">
        <f t="shared" si="29"/>
        <v>2014843</v>
      </c>
    </row>
    <row r="229" spans="1:7">
      <c r="A229" t="s">
        <v>235</v>
      </c>
      <c r="B229">
        <f t="shared" si="24"/>
        <v>6</v>
      </c>
      <c r="C229" t="str">
        <f t="shared" si="25"/>
        <v xml:space="preserve"> 1504029 ** -3, -8, 43, 4, 14, 31, 47, 4</v>
      </c>
      <c r="D229" t="str">
        <f t="shared" si="26"/>
        <v>1504029 ** -3, -8, 43, 4, 14, 31, 47, 4</v>
      </c>
      <c r="E229">
        <f t="shared" si="27"/>
        <v>9</v>
      </c>
      <c r="F229" t="str">
        <f t="shared" si="28"/>
        <v xml:space="preserve">1504029 </v>
      </c>
      <c r="G229">
        <f t="shared" si="29"/>
        <v>1504029</v>
      </c>
    </row>
    <row r="230" spans="1:7">
      <c r="A230" t="s">
        <v>236</v>
      </c>
      <c r="B230">
        <f t="shared" si="24"/>
        <v>6</v>
      </c>
      <c r="C230" t="str">
        <f t="shared" si="25"/>
        <v xml:space="preserve"> 992071 ** -3, -8, 43, 4, 14, 31, 47, 4</v>
      </c>
      <c r="D230" t="str">
        <f t="shared" si="26"/>
        <v>992071 ** -3, -8, 43, 4, 14, 31, 47, 4</v>
      </c>
      <c r="E230">
        <f t="shared" si="27"/>
        <v>8</v>
      </c>
      <c r="F230" t="str">
        <f t="shared" si="28"/>
        <v xml:space="preserve">992071 </v>
      </c>
      <c r="G230">
        <f t="shared" si="29"/>
        <v>992071</v>
      </c>
    </row>
    <row r="231" spans="1:7">
      <c r="A231" t="s">
        <v>237</v>
      </c>
      <c r="B231">
        <f t="shared" si="24"/>
        <v>6</v>
      </c>
      <c r="C231" t="str">
        <f t="shared" si="25"/>
        <v xml:space="preserve"> 1572084 ** -3, -8, 43, 4, 14, 31, 47, 4</v>
      </c>
      <c r="D231" t="str">
        <f t="shared" si="26"/>
        <v>1572084 ** -3, -8, 43, 4, 14, 31, 47, 4</v>
      </c>
      <c r="E231">
        <f t="shared" si="27"/>
        <v>9</v>
      </c>
      <c r="F231" t="str">
        <f t="shared" si="28"/>
        <v xml:space="preserve">1572084 </v>
      </c>
      <c r="G231">
        <f t="shared" si="29"/>
        <v>1572084</v>
      </c>
    </row>
    <row r="232" spans="1:7">
      <c r="A232" t="s">
        <v>238</v>
      </c>
      <c r="B232">
        <f t="shared" si="24"/>
        <v>6</v>
      </c>
      <c r="C232" t="str">
        <f t="shared" si="25"/>
        <v xml:space="preserve"> 1129306 ** -3, -8, 43, 4, 14, 31, 47, 4</v>
      </c>
      <c r="D232" t="str">
        <f t="shared" si="26"/>
        <v>1129306 ** -3, -8, 43, 4, 14, 31, 47, 4</v>
      </c>
      <c r="E232">
        <f t="shared" si="27"/>
        <v>9</v>
      </c>
      <c r="F232" t="str">
        <f t="shared" si="28"/>
        <v xml:space="preserve">1129306 </v>
      </c>
      <c r="G232">
        <f t="shared" si="29"/>
        <v>1129306</v>
      </c>
    </row>
    <row r="233" spans="1:7">
      <c r="A233" t="s">
        <v>239</v>
      </c>
      <c r="B233">
        <f t="shared" si="24"/>
        <v>6</v>
      </c>
      <c r="C233" t="str">
        <f t="shared" si="25"/>
        <v xml:space="preserve"> 1082507 ** -3, -8, 43, 4, 14, 31, 47, 4</v>
      </c>
      <c r="D233" t="str">
        <f t="shared" si="26"/>
        <v>1082507 ** -3, -8, 43, 4, 14, 31, 47, 4</v>
      </c>
      <c r="E233">
        <f t="shared" si="27"/>
        <v>9</v>
      </c>
      <c r="F233" t="str">
        <f t="shared" si="28"/>
        <v xml:space="preserve">1082507 </v>
      </c>
      <c r="G233">
        <f t="shared" si="29"/>
        <v>1082507</v>
      </c>
    </row>
    <row r="234" spans="1:7">
      <c r="A234" t="s">
        <v>240</v>
      </c>
      <c r="B234">
        <f t="shared" si="24"/>
        <v>6</v>
      </c>
      <c r="C234" t="str">
        <f t="shared" si="25"/>
        <v xml:space="preserve"> 1771262 ** -3, -8, 43, 4, 14, 31, 47, 4</v>
      </c>
      <c r="D234" t="str">
        <f t="shared" si="26"/>
        <v>1771262 ** -3, -8, 43, 4, 14, 31, 47, 4</v>
      </c>
      <c r="E234">
        <f t="shared" si="27"/>
        <v>9</v>
      </c>
      <c r="F234" t="str">
        <f t="shared" si="28"/>
        <v xml:space="preserve">1771262 </v>
      </c>
      <c r="G234">
        <f t="shared" si="29"/>
        <v>1771262</v>
      </c>
    </row>
    <row r="235" spans="1:7">
      <c r="A235" t="s">
        <v>241</v>
      </c>
      <c r="B235">
        <f t="shared" si="24"/>
        <v>6</v>
      </c>
      <c r="C235" t="str">
        <f t="shared" si="25"/>
        <v xml:space="preserve"> 1145067 ** -3, -8, 43, 4, 14, 31, 47, 4</v>
      </c>
      <c r="D235" t="str">
        <f t="shared" si="26"/>
        <v>1145067 ** -3, -8, 43, 4, 14, 31, 47, 4</v>
      </c>
      <c r="E235">
        <f t="shared" si="27"/>
        <v>9</v>
      </c>
      <c r="F235" t="str">
        <f t="shared" si="28"/>
        <v xml:space="preserve">1145067 </v>
      </c>
      <c r="G235">
        <f t="shared" si="29"/>
        <v>1145067</v>
      </c>
    </row>
    <row r="236" spans="1:7">
      <c r="A236" t="s">
        <v>242</v>
      </c>
      <c r="B236">
        <f t="shared" si="24"/>
        <v>6</v>
      </c>
      <c r="C236" t="str">
        <f t="shared" si="25"/>
        <v xml:space="preserve"> 1219083 ** -3, -8, 43, 4, 14, 31, 47, 4</v>
      </c>
      <c r="D236" t="str">
        <f t="shared" si="26"/>
        <v>1219083 ** -3, -8, 43, 4, 14, 31, 47, 4</v>
      </c>
      <c r="E236">
        <f t="shared" si="27"/>
        <v>9</v>
      </c>
      <c r="F236" t="str">
        <f t="shared" si="28"/>
        <v xml:space="preserve">1219083 </v>
      </c>
      <c r="G236">
        <f t="shared" si="29"/>
        <v>1219083</v>
      </c>
    </row>
    <row r="237" spans="1:7">
      <c r="A237" t="s">
        <v>243</v>
      </c>
      <c r="B237">
        <f t="shared" si="24"/>
        <v>6</v>
      </c>
      <c r="C237" t="str">
        <f t="shared" si="25"/>
        <v xml:space="preserve"> 1158288 ** -3, -8, 43, 4, 14, 31, 47, 4</v>
      </c>
      <c r="D237" t="str">
        <f t="shared" si="26"/>
        <v>1158288 ** -3, -8, 43, 4, 14, 31, 47, 4</v>
      </c>
      <c r="E237">
        <f t="shared" si="27"/>
        <v>9</v>
      </c>
      <c r="F237" t="str">
        <f t="shared" si="28"/>
        <v xml:space="preserve">1158288 </v>
      </c>
      <c r="G237">
        <f t="shared" si="29"/>
        <v>1158288</v>
      </c>
    </row>
    <row r="238" spans="1:7">
      <c r="A238" t="s">
        <v>244</v>
      </c>
      <c r="B238">
        <f t="shared" si="24"/>
        <v>6</v>
      </c>
      <c r="C238" t="str">
        <f t="shared" si="25"/>
        <v xml:space="preserve"> 1891906 ** -3, -8, 43, 4, 14, 31, 47, 4</v>
      </c>
      <c r="D238" t="str">
        <f t="shared" si="26"/>
        <v>1891906 ** -3, -8, 43, 4, 14, 31, 47, 4</v>
      </c>
      <c r="E238">
        <f t="shared" si="27"/>
        <v>9</v>
      </c>
      <c r="F238" t="str">
        <f t="shared" si="28"/>
        <v xml:space="preserve">1891906 </v>
      </c>
      <c r="G238">
        <f t="shared" si="29"/>
        <v>1891906</v>
      </c>
    </row>
    <row r="239" spans="1:7">
      <c r="A239" t="s">
        <v>245</v>
      </c>
      <c r="B239">
        <f t="shared" si="24"/>
        <v>6</v>
      </c>
      <c r="C239" t="str">
        <f t="shared" si="25"/>
        <v xml:space="preserve"> 1219911 ** -3, -8, 43, 4, 14, 31, 47, 4</v>
      </c>
      <c r="D239" t="str">
        <f t="shared" si="26"/>
        <v>1219911 ** -3, -8, 43, 4, 14, 31, 47, 4</v>
      </c>
      <c r="E239">
        <f t="shared" si="27"/>
        <v>9</v>
      </c>
      <c r="F239" t="str">
        <f t="shared" si="28"/>
        <v xml:space="preserve">1219911 </v>
      </c>
      <c r="G239">
        <f t="shared" si="29"/>
        <v>1219911</v>
      </c>
    </row>
    <row r="240" spans="1:7">
      <c r="A240" t="s">
        <v>246</v>
      </c>
      <c r="B240">
        <f t="shared" si="24"/>
        <v>6</v>
      </c>
      <c r="C240" t="str">
        <f t="shared" si="25"/>
        <v xml:space="preserve"> 1228566 ** -3, -8, 43, 4, 14, 31, 47, 4</v>
      </c>
      <c r="D240" t="str">
        <f t="shared" si="26"/>
        <v>1228566 ** -3, -8, 43, 4, 14, 31, 47, 4</v>
      </c>
      <c r="E240">
        <f t="shared" si="27"/>
        <v>9</v>
      </c>
      <c r="F240" t="str">
        <f t="shared" si="28"/>
        <v xml:space="preserve">1228566 </v>
      </c>
      <c r="G240">
        <f t="shared" si="29"/>
        <v>1228566</v>
      </c>
    </row>
    <row r="241" spans="1:7">
      <c r="A241" t="s">
        <v>247</v>
      </c>
      <c r="B241">
        <f t="shared" si="24"/>
        <v>6</v>
      </c>
      <c r="C241" t="str">
        <f t="shared" si="25"/>
        <v xml:space="preserve"> 2026124 ** -3, -8, 43, 4, 14, 31, 47, 4</v>
      </c>
      <c r="D241" t="str">
        <f t="shared" si="26"/>
        <v>2026124 ** -3, -8, 43, 4, 14, 31, 47, 4</v>
      </c>
      <c r="E241">
        <f t="shared" si="27"/>
        <v>9</v>
      </c>
      <c r="F241" t="str">
        <f t="shared" si="28"/>
        <v xml:space="preserve">2026124 </v>
      </c>
      <c r="G241">
        <f t="shared" si="29"/>
        <v>2026124</v>
      </c>
    </row>
    <row r="242" spans="1:7">
      <c r="A242" t="s">
        <v>248</v>
      </c>
      <c r="B242">
        <f t="shared" si="24"/>
        <v>6</v>
      </c>
      <c r="C242" t="str">
        <f t="shared" si="25"/>
        <v xml:space="preserve"> 2030751 ** -3, -8, 43, 4, 14, 31, 47, 4</v>
      </c>
      <c r="D242" t="str">
        <f t="shared" si="26"/>
        <v>2030751 ** -3, -8, 43, 4, 14, 31, 47, 4</v>
      </c>
      <c r="E242">
        <f t="shared" si="27"/>
        <v>9</v>
      </c>
      <c r="F242" t="str">
        <f t="shared" si="28"/>
        <v xml:space="preserve">2030751 </v>
      </c>
      <c r="G242">
        <f t="shared" si="29"/>
        <v>2030751</v>
      </c>
    </row>
    <row r="243" spans="1:7">
      <c r="A243" t="s">
        <v>249</v>
      </c>
      <c r="B243">
        <f t="shared" si="24"/>
        <v>6</v>
      </c>
      <c r="C243" t="str">
        <f t="shared" si="25"/>
        <v xml:space="preserve"> 1259551 ** -3, -8, 43, 4, 14, 31, 47, 4</v>
      </c>
      <c r="D243" t="str">
        <f t="shared" si="26"/>
        <v>1259551 ** -3, -8, 43, 4, 14, 31, 47, 4</v>
      </c>
      <c r="E243">
        <f t="shared" si="27"/>
        <v>9</v>
      </c>
      <c r="F243" t="str">
        <f t="shared" si="28"/>
        <v xml:space="preserve">1259551 </v>
      </c>
      <c r="G243">
        <f t="shared" si="29"/>
        <v>1259551</v>
      </c>
    </row>
    <row r="244" spans="1:7">
      <c r="A244" t="s">
        <v>250</v>
      </c>
      <c r="B244">
        <f t="shared" si="24"/>
        <v>6</v>
      </c>
      <c r="C244" t="str">
        <f t="shared" si="25"/>
        <v xml:space="preserve"> 1352997 ** -3, -8, 43, 4, 14, 31, 47, 4</v>
      </c>
      <c r="D244" t="str">
        <f t="shared" si="26"/>
        <v>1352997 ** -3, -8, 43, 4, 14, 31, 47, 4</v>
      </c>
      <c r="E244">
        <f t="shared" si="27"/>
        <v>9</v>
      </c>
      <c r="F244" t="str">
        <f t="shared" si="28"/>
        <v xml:space="preserve">1352997 </v>
      </c>
      <c r="G244">
        <f t="shared" si="29"/>
        <v>1352997</v>
      </c>
    </row>
    <row r="245" spans="1:7">
      <c r="A245" t="s">
        <v>251</v>
      </c>
      <c r="B245">
        <f t="shared" si="24"/>
        <v>6</v>
      </c>
      <c r="C245" t="str">
        <f t="shared" si="25"/>
        <v xml:space="preserve"> 1552712 ** -3, -8, 43, 4, 14, 31, 47, 4</v>
      </c>
      <c r="D245" t="str">
        <f t="shared" si="26"/>
        <v>1552712 ** -3, -8, 43, 4, 14, 31, 47, 4</v>
      </c>
      <c r="E245">
        <f t="shared" si="27"/>
        <v>9</v>
      </c>
      <c r="F245" t="str">
        <f t="shared" si="28"/>
        <v xml:space="preserve">1552712 </v>
      </c>
      <c r="G245">
        <f t="shared" si="29"/>
        <v>1552712</v>
      </c>
    </row>
    <row r="246" spans="1:7">
      <c r="A246" t="s">
        <v>252</v>
      </c>
      <c r="B246">
        <f t="shared" si="24"/>
        <v>6</v>
      </c>
      <c r="C246" t="str">
        <f t="shared" si="25"/>
        <v xml:space="preserve"> 1545780 ** -3, -8, 43, 4, 14, 31, 47, 4</v>
      </c>
      <c r="D246" t="str">
        <f t="shared" si="26"/>
        <v>1545780 ** -3, -8, 43, 4, 14, 31, 47, 4</v>
      </c>
      <c r="E246">
        <f t="shared" si="27"/>
        <v>9</v>
      </c>
      <c r="F246" t="str">
        <f t="shared" si="28"/>
        <v xml:space="preserve">1545780 </v>
      </c>
      <c r="G246">
        <f t="shared" si="29"/>
        <v>1545780</v>
      </c>
    </row>
    <row r="247" spans="1:7">
      <c r="A247" t="s">
        <v>253</v>
      </c>
      <c r="B247">
        <f t="shared" si="24"/>
        <v>6</v>
      </c>
      <c r="C247" t="str">
        <f t="shared" si="25"/>
        <v xml:space="preserve"> 1666046 ** -3, -8, 43, 4, 14, 31, 47, 4</v>
      </c>
      <c r="D247" t="str">
        <f t="shared" si="26"/>
        <v>1666046 ** -3, -8, 43, 4, 14, 31, 47, 4</v>
      </c>
      <c r="E247">
        <f t="shared" si="27"/>
        <v>9</v>
      </c>
      <c r="F247" t="str">
        <f t="shared" si="28"/>
        <v xml:space="preserve">1666046 </v>
      </c>
      <c r="G247">
        <f t="shared" si="29"/>
        <v>1666046</v>
      </c>
    </row>
    <row r="248" spans="1:7">
      <c r="A248" t="s">
        <v>254</v>
      </c>
      <c r="B248">
        <f t="shared" si="24"/>
        <v>6</v>
      </c>
      <c r="C248" t="str">
        <f t="shared" si="25"/>
        <v xml:space="preserve"> 1753149 ** -3, -8, 43, 4, 14, 31, 47, 4</v>
      </c>
      <c r="D248" t="str">
        <f t="shared" si="26"/>
        <v>1753149 ** -3, -8, 43, 4, 14, 31, 47, 4</v>
      </c>
      <c r="E248">
        <f t="shared" si="27"/>
        <v>9</v>
      </c>
      <c r="F248" t="str">
        <f t="shared" si="28"/>
        <v xml:space="preserve">1753149 </v>
      </c>
      <c r="G248">
        <f t="shared" si="29"/>
        <v>1753149</v>
      </c>
    </row>
    <row r="249" spans="1:7">
      <c r="A249" t="s">
        <v>255</v>
      </c>
      <c r="B249">
        <f t="shared" si="24"/>
        <v>6</v>
      </c>
      <c r="C249" t="str">
        <f t="shared" si="25"/>
        <v xml:space="preserve"> 1798477 ** -3, -8, 43, 4, 14, 31, 47, 4</v>
      </c>
      <c r="D249" t="str">
        <f t="shared" si="26"/>
        <v>1798477 ** -3, -8, 43, 4, 14, 31, 47, 4</v>
      </c>
      <c r="E249">
        <f t="shared" si="27"/>
        <v>9</v>
      </c>
      <c r="F249" t="str">
        <f t="shared" si="28"/>
        <v xml:space="preserve">1798477 </v>
      </c>
      <c r="G249">
        <f t="shared" si="29"/>
        <v>1798477</v>
      </c>
    </row>
    <row r="250" spans="1:7">
      <c r="A250" t="s">
        <v>256</v>
      </c>
      <c r="B250">
        <f t="shared" si="24"/>
        <v>6</v>
      </c>
      <c r="C250" t="str">
        <f t="shared" si="25"/>
        <v xml:space="preserve"> 1772092 ** -3, -8, 43, 4, 14, 31, 47, 4</v>
      </c>
      <c r="D250" t="str">
        <f t="shared" si="26"/>
        <v>1772092 ** -3, -8, 43, 4, 14, 31, 47, 4</v>
      </c>
      <c r="E250">
        <f t="shared" si="27"/>
        <v>9</v>
      </c>
      <c r="F250" t="str">
        <f t="shared" si="28"/>
        <v xml:space="preserve">1772092 </v>
      </c>
      <c r="G250">
        <f t="shared" si="29"/>
        <v>1772092</v>
      </c>
    </row>
    <row r="251" spans="1:7">
      <c r="A251" t="s">
        <v>257</v>
      </c>
      <c r="B251">
        <f t="shared" si="24"/>
        <v>6</v>
      </c>
      <c r="C251" t="str">
        <f t="shared" si="25"/>
        <v xml:space="preserve"> 1877375 ** -3, -8, 43, 4, 14, 31, 47, 4</v>
      </c>
      <c r="D251" t="str">
        <f t="shared" si="26"/>
        <v>1877375 ** -3, -8, 43, 4, 14, 31, 47, 4</v>
      </c>
      <c r="E251">
        <f t="shared" si="27"/>
        <v>9</v>
      </c>
      <c r="F251" t="str">
        <f t="shared" si="28"/>
        <v xml:space="preserve">1877375 </v>
      </c>
      <c r="G251">
        <f t="shared" si="29"/>
        <v>1877375</v>
      </c>
    </row>
    <row r="252" spans="1:7">
      <c r="A252" t="s">
        <v>258</v>
      </c>
      <c r="B252">
        <f t="shared" si="24"/>
        <v>6</v>
      </c>
      <c r="C252" t="str">
        <f t="shared" si="25"/>
        <v xml:space="preserve"> 3322905 ** -3, -8, 43, 4, 14, 31, 47, 4</v>
      </c>
      <c r="D252" t="str">
        <f t="shared" si="26"/>
        <v>3322905 ** -3, -8, 43, 4, 14, 31, 47, 4</v>
      </c>
      <c r="E252">
        <f t="shared" si="27"/>
        <v>9</v>
      </c>
      <c r="F252" t="str">
        <f t="shared" si="28"/>
        <v xml:space="preserve">3322905 </v>
      </c>
      <c r="G252">
        <f t="shared" si="29"/>
        <v>3322905</v>
      </c>
    </row>
    <row r="253" spans="1:7">
      <c r="A253" t="s">
        <v>259</v>
      </c>
      <c r="B253">
        <f t="shared" si="24"/>
        <v>6</v>
      </c>
      <c r="C253" t="str">
        <f t="shared" si="25"/>
        <v xml:space="preserve"> 2384970 ** -3, -8, 43, 4, 14, 31, 47, 4</v>
      </c>
      <c r="D253" t="str">
        <f t="shared" si="26"/>
        <v>2384970 ** -3, -8, 43, 4, 14, 31, 47, 4</v>
      </c>
      <c r="E253">
        <f t="shared" si="27"/>
        <v>9</v>
      </c>
      <c r="F253" t="str">
        <f t="shared" si="28"/>
        <v xml:space="preserve">2384970 </v>
      </c>
      <c r="G253">
        <f t="shared" si="29"/>
        <v>2384970</v>
      </c>
    </row>
    <row r="254" spans="1:7">
      <c r="A254" t="s">
        <v>260</v>
      </c>
      <c r="B254">
        <f t="shared" si="24"/>
        <v>6</v>
      </c>
      <c r="C254" t="str">
        <f t="shared" si="25"/>
        <v xml:space="preserve"> 2774915 ** -3, -8, 43, 4, 14, 31, 47, 4</v>
      </c>
      <c r="D254" t="str">
        <f t="shared" si="26"/>
        <v>2774915 ** -3, -8, 43, 4, 14, 31, 47, 4</v>
      </c>
      <c r="E254">
        <f t="shared" si="27"/>
        <v>9</v>
      </c>
      <c r="F254" t="str">
        <f t="shared" si="28"/>
        <v xml:space="preserve">2774915 </v>
      </c>
      <c r="G254">
        <f t="shared" si="29"/>
        <v>2774915</v>
      </c>
    </row>
    <row r="255" spans="1:7">
      <c r="A255" t="s">
        <v>261</v>
      </c>
      <c r="B255">
        <f t="shared" si="24"/>
        <v>6</v>
      </c>
      <c r="C255" t="str">
        <f t="shared" si="25"/>
        <v xml:space="preserve"> 2953765 ** -3, -8, 43, 4, 14, 31, 47, 4</v>
      </c>
      <c r="D255" t="str">
        <f t="shared" si="26"/>
        <v>2953765 ** -3, -8, 43, 4, 14, 31, 47, 4</v>
      </c>
      <c r="E255">
        <f t="shared" si="27"/>
        <v>9</v>
      </c>
      <c r="F255" t="str">
        <f t="shared" si="28"/>
        <v xml:space="preserve">2953765 </v>
      </c>
      <c r="G255">
        <f t="shared" si="29"/>
        <v>2953765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A33" sqref="A33"/>
    </sheetView>
  </sheetViews>
  <sheetFormatPr defaultRowHeight="15"/>
  <cols>
    <col min="1" max="1" width="14.5703125" style="1" bestFit="1" customWidth="1"/>
    <col min="2" max="2" width="16.5703125" bestFit="1" customWidth="1"/>
    <col min="4" max="4" width="25.140625" bestFit="1" customWidth="1"/>
    <col min="5" max="5" width="13.28515625" bestFit="1" customWidth="1"/>
    <col min="7" max="7" width="30.42578125" bestFit="1" customWidth="1"/>
  </cols>
  <sheetData>
    <row r="1" spans="1:8">
      <c r="A1" s="1" t="s">
        <v>4</v>
      </c>
      <c r="B1" t="s">
        <v>3</v>
      </c>
      <c r="D1" t="s">
        <v>0</v>
      </c>
      <c r="E1" s="1">
        <f>MIN(clones!A:A)</f>
        <v>1331</v>
      </c>
    </row>
    <row r="2" spans="1:8">
      <c r="A2" s="1">
        <f>E2/H2</f>
        <v>150171.79999999999</v>
      </c>
      <c r="B2">
        <f>COUNTIFS(clones!A:A,"&gt;0",clones!A:A, CONCATENATE("&lt;=",A2))</f>
        <v>38</v>
      </c>
      <c r="D2" t="s">
        <v>1</v>
      </c>
      <c r="E2" s="1">
        <f>MAX(clones!A:A)</f>
        <v>4505154</v>
      </c>
      <c r="G2" t="s">
        <v>2</v>
      </c>
      <c r="H2">
        <v>30</v>
      </c>
    </row>
    <row r="3" spans="1:8">
      <c r="A3" s="2">
        <f>IF((A2&lt;=$E$2),A2+ $E$2/$H$2,"")</f>
        <v>300343.59999999998</v>
      </c>
      <c r="B3">
        <f>COUNTIFS(clones!A:A,CONCATENATE("&gt;",A2),clones!A:A, CONCATENATE("&lt;=",A3))</f>
        <v>49</v>
      </c>
    </row>
    <row r="4" spans="1:8">
      <c r="A4" s="2">
        <f t="shared" ref="A4:A33" si="0">IF((A3&lt;=$E$2),A3+ $E$2/$H$2,"")</f>
        <v>450515.39999999997</v>
      </c>
      <c r="B4">
        <f>COUNTIFS(clones!A:A,CONCATENATE("&gt;",A3),clones!A:A, CONCATENATE("&lt;=",A4))</f>
        <v>43</v>
      </c>
    </row>
    <row r="5" spans="1:8">
      <c r="A5" s="2">
        <f t="shared" si="0"/>
        <v>600687.19999999995</v>
      </c>
      <c r="B5">
        <f>COUNTIFS(clones!A:A,CONCATENATE("&gt;",A4),clones!A:A, CONCATENATE("&lt;=",A5))</f>
        <v>32</v>
      </c>
    </row>
    <row r="6" spans="1:8">
      <c r="A6" s="2">
        <f t="shared" si="0"/>
        <v>750859</v>
      </c>
      <c r="B6">
        <f>COUNTIFS(clones!A:A,CONCATENATE("&gt;",A5),clones!A:A, CONCATENATE("&lt;=",A6))</f>
        <v>24</v>
      </c>
    </row>
    <row r="7" spans="1:8">
      <c r="A7" s="2">
        <f t="shared" si="0"/>
        <v>901030.8</v>
      </c>
      <c r="B7">
        <f>COUNTIFS(clones!A:A,CONCATENATE("&gt;",A6),clones!A:A, CONCATENATE("&lt;=",A7))</f>
        <v>22</v>
      </c>
    </row>
    <row r="8" spans="1:8">
      <c r="A8" s="2">
        <f t="shared" si="0"/>
        <v>1051202.6000000001</v>
      </c>
      <c r="B8">
        <f>COUNTIFS(clones!A:A,CONCATENATE("&gt;",A7),clones!A:A, CONCATENATE("&lt;=",A8))</f>
        <v>19</v>
      </c>
    </row>
    <row r="9" spans="1:8">
      <c r="A9" s="2">
        <f t="shared" si="0"/>
        <v>1201374.4000000001</v>
      </c>
      <c r="B9">
        <f>COUNTIFS(clones!A:A,CONCATENATE("&gt;",A8),clones!A:A, CONCATENATE("&lt;=",A9))</f>
        <v>16</v>
      </c>
      <c r="D9" t="s">
        <v>5</v>
      </c>
      <c r="E9">
        <f>SUM(B:B)</f>
        <v>300</v>
      </c>
    </row>
    <row r="10" spans="1:8">
      <c r="A10" s="2">
        <f t="shared" si="0"/>
        <v>1351546.2000000002</v>
      </c>
      <c r="B10">
        <f>COUNTIFS(clones!A:A,CONCATENATE("&gt;",A9),clones!A:A, CONCATENATE("&lt;=",A10))</f>
        <v>13</v>
      </c>
      <c r="D10" t="s">
        <v>6</v>
      </c>
      <c r="E10" s="14">
        <f>COUNTA(clones!T:T)-1</f>
        <v>300</v>
      </c>
    </row>
    <row r="11" spans="1:8">
      <c r="A11" s="2">
        <f t="shared" si="0"/>
        <v>1501718.0000000002</v>
      </c>
      <c r="B11">
        <f>COUNTIFS(clones!A:A,CONCATENATE("&gt;",A10),clones!A:A, CONCATENATE("&lt;=",A11))</f>
        <v>11</v>
      </c>
    </row>
    <row r="12" spans="1:8">
      <c r="A12" s="2">
        <f t="shared" si="0"/>
        <v>1651889.8000000003</v>
      </c>
      <c r="B12">
        <f>COUNTIFS(clones!A:A,CONCATENATE("&gt;",A11),clones!A:A, CONCATENATE("&lt;=",A12))</f>
        <v>5</v>
      </c>
    </row>
    <row r="13" spans="1:8">
      <c r="A13" s="2">
        <f t="shared" si="0"/>
        <v>1802061.6000000003</v>
      </c>
      <c r="B13">
        <f>COUNTIFS(clones!A:A,CONCATENATE("&gt;",A12),clones!A:A, CONCATENATE("&lt;=",A13))</f>
        <v>7</v>
      </c>
    </row>
    <row r="14" spans="1:8">
      <c r="A14" s="2">
        <f t="shared" si="0"/>
        <v>1952233.4000000004</v>
      </c>
      <c r="B14">
        <f>COUNTIFS(clones!A:A,CONCATENATE("&gt;",A13),clones!A:A, CONCATENATE("&lt;=",A14))</f>
        <v>3</v>
      </c>
    </row>
    <row r="15" spans="1:8">
      <c r="A15" s="2">
        <f t="shared" si="0"/>
        <v>2102405.2000000002</v>
      </c>
      <c r="B15">
        <f>COUNTIFS(clones!A:A,CONCATENATE("&gt;",A14),clones!A:A, CONCATENATE("&lt;=",A15))</f>
        <v>2</v>
      </c>
    </row>
    <row r="16" spans="1:8">
      <c r="A16" s="2">
        <f t="shared" si="0"/>
        <v>2252577</v>
      </c>
      <c r="B16">
        <f>COUNTIFS(clones!A:A,CONCATENATE("&gt;",A15),clones!A:A, CONCATENATE("&lt;=",A16))</f>
        <v>2</v>
      </c>
    </row>
    <row r="17" spans="1:2">
      <c r="A17" s="2">
        <f t="shared" si="0"/>
        <v>2402748.7999999998</v>
      </c>
      <c r="B17">
        <f>COUNTIFS(clones!A:A,CONCATENATE("&gt;",A16),clones!A:A, CONCATENATE("&lt;=",A17))</f>
        <v>1</v>
      </c>
    </row>
    <row r="18" spans="1:2">
      <c r="A18" s="2">
        <f t="shared" si="0"/>
        <v>2552920.5999999996</v>
      </c>
      <c r="B18">
        <f>COUNTIFS(clones!A:A,CONCATENATE("&gt;",A17),clones!A:A, CONCATENATE("&lt;=",A18))</f>
        <v>3</v>
      </c>
    </row>
    <row r="19" spans="1:2">
      <c r="A19" s="2">
        <f t="shared" si="0"/>
        <v>2703092.3999999994</v>
      </c>
      <c r="B19">
        <f>COUNTIFS(clones!A:A,CONCATENATE("&gt;",A18),clones!A:A, CONCATENATE("&lt;=",A19))</f>
        <v>2</v>
      </c>
    </row>
    <row r="20" spans="1:2">
      <c r="A20" s="2">
        <f t="shared" si="0"/>
        <v>2853264.1999999993</v>
      </c>
      <c r="B20">
        <f>COUNTIFS(clones!A:A,CONCATENATE("&gt;",A19),clones!A:A, CONCATENATE("&lt;=",A20))</f>
        <v>1</v>
      </c>
    </row>
    <row r="21" spans="1:2">
      <c r="A21" s="2">
        <f t="shared" si="0"/>
        <v>3003435.9999999991</v>
      </c>
      <c r="B21">
        <f>COUNTIFS(clones!A:A,CONCATENATE("&gt;",A20),clones!A:A, CONCATENATE("&lt;=",A21))</f>
        <v>1</v>
      </c>
    </row>
    <row r="22" spans="1:2">
      <c r="A22" s="2">
        <f t="shared" si="0"/>
        <v>3153607.7999999989</v>
      </c>
      <c r="B22">
        <f>COUNTIFS(clones!A:A,CONCATENATE("&gt;",A21),clones!A:A, CONCATENATE("&lt;=",A22))</f>
        <v>1</v>
      </c>
    </row>
    <row r="23" spans="1:2">
      <c r="A23" s="2">
        <f t="shared" si="0"/>
        <v>3303779.5999999987</v>
      </c>
      <c r="B23">
        <f>COUNTIFS(clones!A:A,CONCATENATE("&gt;",A22),clones!A:A, CONCATENATE("&lt;=",A23))</f>
        <v>1</v>
      </c>
    </row>
    <row r="24" spans="1:2">
      <c r="A24" s="2">
        <f t="shared" si="0"/>
        <v>3453951.3999999985</v>
      </c>
      <c r="B24">
        <f>COUNTIFS(clones!A:A,CONCATENATE("&gt;",A23),clones!A:A, CONCATENATE("&lt;=",A24))</f>
        <v>0</v>
      </c>
    </row>
    <row r="25" spans="1:2">
      <c r="A25" s="2">
        <f t="shared" si="0"/>
        <v>3604123.1999999983</v>
      </c>
      <c r="B25">
        <f>COUNTIFS(clones!A:A,CONCATENATE("&gt;",A24),clones!A:A, CONCATENATE("&lt;=",A25))</f>
        <v>0</v>
      </c>
    </row>
    <row r="26" spans="1:2">
      <c r="A26" s="2">
        <f t="shared" si="0"/>
        <v>3754294.9999999981</v>
      </c>
      <c r="B26">
        <f>COUNTIFS(clones!A:A,CONCATENATE("&gt;",A25),clones!A:A, CONCATENATE("&lt;=",A26))</f>
        <v>0</v>
      </c>
    </row>
    <row r="27" spans="1:2">
      <c r="A27" s="2">
        <f t="shared" si="0"/>
        <v>3904466.799999998</v>
      </c>
      <c r="B27">
        <f>COUNTIFS(clones!A:A,CONCATENATE("&gt;",A26),clones!A:A, CONCATENATE("&lt;=",A27))</f>
        <v>0</v>
      </c>
    </row>
    <row r="28" spans="1:2">
      <c r="A28" s="2">
        <f t="shared" si="0"/>
        <v>4054638.5999999978</v>
      </c>
      <c r="B28">
        <f>COUNTIFS(clones!A:A,CONCATENATE("&gt;",A27),clones!A:A, CONCATENATE("&lt;=",A28))</f>
        <v>1</v>
      </c>
    </row>
    <row r="29" spans="1:2">
      <c r="A29" s="2">
        <f t="shared" si="0"/>
        <v>4204810.3999999976</v>
      </c>
      <c r="B29">
        <f>COUNTIFS(clones!A:A,CONCATENATE("&gt;",A28),clones!A:A, CONCATENATE("&lt;=",A29))</f>
        <v>2</v>
      </c>
    </row>
    <row r="30" spans="1:2">
      <c r="A30" s="2">
        <f t="shared" si="0"/>
        <v>4354982.1999999974</v>
      </c>
      <c r="B30">
        <f>COUNTIFS(clones!A:A,CONCATENATE("&gt;",A29),clones!A:A, CONCATENATE("&lt;=",A30))</f>
        <v>0</v>
      </c>
    </row>
    <row r="31" spans="1:2">
      <c r="A31" s="2">
        <f t="shared" si="0"/>
        <v>4505153.9999999972</v>
      </c>
      <c r="B31">
        <f>COUNTIFS(clones!A:A,CONCATENATE("&gt;",A30),clones!A:A, CONCATENATE("&lt;=",A31))</f>
        <v>1</v>
      </c>
    </row>
    <row r="32" spans="1:2">
      <c r="A32" s="2">
        <f t="shared" si="0"/>
        <v>4655325.799999997</v>
      </c>
      <c r="B32">
        <f>COUNTIFS(clones!A:A,CONCATENATE("&gt;",A31),clones!A:A, CONCATENATE("&lt;=",A32))</f>
        <v>0</v>
      </c>
    </row>
    <row r="33" spans="1:1">
      <c r="A33" s="2" t="str">
        <f t="shared" si="0"/>
        <v/>
      </c>
    </row>
    <row r="34" spans="1:1">
      <c r="A34" s="2" t="str">
        <f t="shared" ref="A34:A41" si="1">IF((A33&lt;$E$2),A33+ $E$2/$H$2,"")</f>
        <v/>
      </c>
    </row>
    <row r="35" spans="1:1">
      <c r="A35" s="2" t="str">
        <f t="shared" si="1"/>
        <v/>
      </c>
    </row>
    <row r="36" spans="1:1">
      <c r="A36" s="2" t="str">
        <f t="shared" si="1"/>
        <v/>
      </c>
    </row>
    <row r="37" spans="1:1">
      <c r="A37" s="2" t="str">
        <f t="shared" si="1"/>
        <v/>
      </c>
    </row>
    <row r="38" spans="1:1">
      <c r="A38" s="2" t="str">
        <f t="shared" si="1"/>
        <v/>
      </c>
    </row>
    <row r="39" spans="1:1">
      <c r="A39" s="2" t="str">
        <f t="shared" si="1"/>
        <v/>
      </c>
    </row>
    <row r="40" spans="1:1">
      <c r="A40" s="2" t="str">
        <f t="shared" si="1"/>
        <v/>
      </c>
    </row>
    <row r="41" spans="1:1">
      <c r="A41" s="2" t="str">
        <f t="shared" si="1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clones</vt:lpstr>
      <vt:lpstr>SlightMod</vt:lpstr>
      <vt:lpstr>weighted average of weights</vt:lpstr>
      <vt:lpstr>Sheet4</vt:lpstr>
      <vt:lpstr>chart of clones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paul.kline</dc:creator>
  <cp:lastModifiedBy>paul.kline</cp:lastModifiedBy>
  <dcterms:created xsi:type="dcterms:W3CDTF">2014-01-21T17:02:51Z</dcterms:created>
  <dcterms:modified xsi:type="dcterms:W3CDTF">2014-01-27T22:34:20Z</dcterms:modified>
</cp:coreProperties>
</file>